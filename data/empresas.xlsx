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yenda" sheetId="1" state="visible" r:id="rId1"/>
    <sheet xmlns:r="http://schemas.openxmlformats.org/officeDocument/2006/relationships" name="Empresas" sheetId="2" state="visible" r:id="rId2"/>
    <sheet xmlns:r="http://schemas.openxmlformats.org/officeDocument/2006/relationships" name="FX" sheetId="3" state="visible" r:id="rId3"/>
    <sheet xmlns:r="http://schemas.openxmlformats.org/officeDocument/2006/relationships" name="Umbrales" sheetId="4" state="visible" r:id="rId4"/>
  </sheets>
  <definedNames>
    <definedName name="_xlnm._FilterDatabase" localSheetId="1" hidden="1">'Empresas'!$A$1:$V$383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00"/>
    <numFmt numFmtId="165" formatCode="0.0%"/>
    <numFmt numFmtId="166" formatCode="0.0000"/>
    <numFmt numFmtId="167" formatCode="0.0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color rgb="00FFFFFF"/>
    </font>
    <font>
      <name val="Arial"/>
      <color theme="1"/>
    </font>
    <font>
      <name val="Arial"/>
      <color rgb="000000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  <xf numFmtId="3" fontId="4" fillId="0" borderId="0" pivotButton="0" quotePrefix="0" xfId="0"/>
    <xf numFmtId="166" fontId="4" fillId="0" borderId="0" pivotButton="0" quotePrefix="0" xfId="0"/>
    <xf numFmtId="10" fontId="4" fillId="0" borderId="0" pivotButton="0" quotePrefix="0" xfId="0"/>
    <xf numFmtId="167" fontId="4" fillId="0" borderId="0" pivotButton="0" quotePrefix="0" xfId="0"/>
    <xf numFmtId="0" fontId="5" fillId="3" borderId="0" pivotButton="0" quotePrefix="0" xfId="0"/>
    <xf numFmtId="2" fontId="4" fillId="0" borderId="0" pivotButton="0" quotePrefix="0" xfId="0"/>
    <xf numFmtId="164" fontId="5" fillId="3" borderId="0" pivotButton="0" quotePrefix="0" xfId="0"/>
    <xf numFmtId="3" fontId="5" fillId="3" borderId="0" pivotButton="0" quotePrefix="0" xfId="0"/>
    <xf numFmtId="165" fontId="5" fillId="3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CapitalDex</author>
  </authors>
  <commentList>
    <comment ref="I1" authorId="0" shapeId="0">
      <text>
        <t>Millones en moneda local. Fuente: Yahoo Finance, campo marketCap.</t>
      </text>
    </comment>
    <comment ref="Q1" authorId="0" shapeId="0">
      <text>
        <t>Fracción (0,02 = 2 %). Fuente: Yahoo Finance, campo dividendYield (que viene en %, dividido entre 100).</t>
      </text>
    </comment>
  </commentList>
</comments>
</file>

<file path=xl/comments/comment2.xml><?xml version="1.0" encoding="utf-8"?>
<comments xmlns="http://schemas.openxmlformats.org/spreadsheetml/2006/main">
  <authors>
    <author>CapitalDex</author>
  </authors>
  <commentList>
    <comment ref="B2" authorId="0" shapeId="0">
      <text>
        <t>Umbrales del GDD (sección 3), ajustados el 15-oct-2026 al reparto real del universo. Objetivo aproximado: 3/6/20/40/30 %.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CapitalDex — Universo de empresas</t>
        </is>
      </c>
    </row>
    <row r="2">
      <c r="A2" s="2" t="inlineStr">
        <is>
          <t>Generado el 2026-10-15 desde Yahoo Finance (yfinance). Datos con retraso; solo para diseño del juego.</t>
        </is>
      </c>
    </row>
    <row r="3">
      <c r="A3" s="2" t="inlineStr"/>
    </row>
    <row r="4">
      <c r="A4" s="1" t="inlineStr">
        <is>
          <t>Celdas editables (texto azul, fondo amarillo):</t>
        </is>
      </c>
    </row>
    <row r="5">
      <c r="A5" s="2" t="inlineStr">
        <is>
          <t xml:space="preserve">  Empresas!Incluir — SI/NO. NO saca la empresa del juego.</t>
        </is>
      </c>
    </row>
    <row r="6">
      <c r="A6" s="2" t="inlineStr">
        <is>
          <t xml:space="preserve">  Empresas!Rareza manual — fuerza una rareza (Legendaria, Épica, Rara, Poco común, Común). Vacío = automática.</t>
        </is>
      </c>
    </row>
    <row r="7">
      <c r="A7" s="2" t="inlineStr">
        <is>
          <t xml:space="preserve">  Umbrales!B2:B6 — capitalización mínima (M USD) de cada rareza.</t>
        </is>
      </c>
    </row>
    <row r="8">
      <c r="A8" s="2" t="inlineStr">
        <is>
          <t xml:space="preserve">  Umbrales!C2:C6 — probabilidad de cada rareza en el gacha (deben sumar 100 %).</t>
        </is>
      </c>
    </row>
    <row r="9">
      <c r="A9" s="2" t="inlineStr">
        <is>
          <t xml:space="preserve">  Umbrales!B9:B10 — coeficiente y exponente de la fórmula de ingresos.</t>
        </is>
      </c>
    </row>
    <row r="10">
      <c r="A10" s="2" t="inlineStr">
        <is>
          <t xml:space="preserve">  FX!B — tipo de cambio a USD.</t>
        </is>
      </c>
    </row>
    <row r="11">
      <c r="A11" s="2" t="inlineStr"/>
    </row>
    <row r="12">
      <c r="A12" s="2" t="inlineStr">
        <is>
          <t>Después de editar, ejecuta:  npm run data   (o python scripts/build_data.py) para regenerar el JSON del juego.</t>
        </is>
      </c>
    </row>
    <row r="13">
      <c r="A13" s="2" t="inlineStr">
        <is>
          <t>Los umbrales y la fórmula de ingresos también están en src/game/balance.ts; mantenlos iguales.</t>
        </is>
      </c>
    </row>
    <row r="14">
      <c r="A14" s="2" t="inlineStr">
        <is>
          <t>Nota: la moneda GBp (peniques) se normaliza a GBP porque Yahoo da la capitalización ya en libras.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8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16" customWidth="1" min="3" max="3"/>
    <col width="13" customWidth="1" min="4" max="4"/>
    <col width="18" customWidth="1" min="5" max="5"/>
    <col width="30" customWidth="1" min="6" max="6"/>
    <col width="8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26" customWidth="1" min="19" max="19"/>
    <col width="13" customWidth="1" min="20" max="20"/>
    <col width="14" customWidth="1" min="21" max="21"/>
    <col width="12" customWidth="1" min="22" max="22"/>
  </cols>
  <sheetData>
    <row r="1">
      <c r="A1" s="3" t="inlineStr">
        <is>
          <t>Ticker</t>
        </is>
      </c>
      <c r="B1" s="3" t="inlineStr">
        <is>
          <t>Nombre</t>
        </is>
      </c>
      <c r="C1" s="3" t="inlineStr">
        <is>
          <t>País</t>
        </is>
      </c>
      <c r="D1" s="3" t="inlineStr">
        <is>
          <t>Código país</t>
        </is>
      </c>
      <c r="E1" s="3" t="inlineStr">
        <is>
          <t>Sector</t>
        </is>
      </c>
      <c r="F1" s="3" t="inlineStr">
        <is>
          <t>Industria</t>
        </is>
      </c>
      <c r="G1" s="3" t="inlineStr">
        <is>
          <t>Bolsa</t>
        </is>
      </c>
      <c r="H1" s="3" t="inlineStr">
        <is>
          <t>Moneda</t>
        </is>
      </c>
      <c r="I1" s="3" t="inlineStr">
        <is>
          <t>Cap. local (M)</t>
        </is>
      </c>
      <c r="J1" s="3" t="inlineStr">
        <is>
          <t>Tipo cambio a USD</t>
        </is>
      </c>
      <c r="K1" s="3" t="inlineStr">
        <is>
          <t>Cap. USD (M)</t>
        </is>
      </c>
      <c r="L1" s="3" t="inlineStr">
        <is>
          <t>Rareza</t>
        </is>
      </c>
      <c r="M1" s="3" t="inlineStr">
        <is>
          <t>Ingresos local (M)</t>
        </is>
      </c>
      <c r="N1" s="3" t="inlineStr">
        <is>
          <t>Beneficio local (M)</t>
        </is>
      </c>
      <c r="O1" s="3" t="inlineStr">
        <is>
          <t>Ingresos USD (M)</t>
        </is>
      </c>
      <c r="P1" s="3" t="inlineStr">
        <is>
          <t>Beneficio USD (M)</t>
        </is>
      </c>
      <c r="Q1" s="3" t="inlineStr">
        <is>
          <t>Rent. dividendo</t>
        </is>
      </c>
      <c r="R1" s="3" t="inlineStr">
        <is>
          <t>PER</t>
        </is>
      </c>
      <c r="S1" s="3" t="inlineStr">
        <is>
          <t>Índices</t>
        </is>
      </c>
      <c r="T1" s="3" t="inlineStr">
        <is>
          <t>Incluir</t>
        </is>
      </c>
      <c r="U1" s="3" t="inlineStr">
        <is>
          <t>Rareza manual</t>
        </is>
      </c>
      <c r="V1" s="3" t="inlineStr">
        <is>
          <t>Ingresos/s en juego</t>
        </is>
      </c>
    </row>
    <row r="2">
      <c r="A2" s="4" t="inlineStr">
        <is>
          <t>NVDA</t>
        </is>
      </c>
      <c r="B2" s="4" t="inlineStr">
        <is>
          <t>NVIDIA Corporation</t>
        </is>
      </c>
      <c r="C2" s="4" t="inlineStr">
        <is>
          <t>United States</t>
        </is>
      </c>
      <c r="D2" s="4" t="inlineStr">
        <is>
          <t>US</t>
        </is>
      </c>
      <c r="E2" s="4" t="inlineStr">
        <is>
          <t>Tecnología</t>
        </is>
      </c>
      <c r="F2" s="4" t="inlineStr">
        <is>
          <t>Semiconductors</t>
        </is>
      </c>
      <c r="G2" s="4" t="inlineStr">
        <is>
          <t>NMS</t>
        </is>
      </c>
      <c r="H2" s="4" t="inlineStr">
        <is>
          <t>USD</t>
        </is>
      </c>
      <c r="I2" s="5" t="n">
        <v>5343730.991104</v>
      </c>
      <c r="J2" s="6">
        <f>INDEX(FX!$B:$B,MATCH(H2,FX!$A:$A,0))</f>
        <v/>
      </c>
      <c r="K2" s="5">
        <f>I2*J2</f>
        <v/>
      </c>
      <c r="L2" s="4">
        <f>IF(U2&lt;&gt;"",U2,IF(K2&gt;=Umbrales!$B$2,"Legendaria",IF(K2&gt;=Umbrales!$B$3,"Épica",IF(K2&gt;=Umbrales!$B$4,"Rara",IF(K2&gt;=Umbrales!$B$5,"Poco común","Común")))))</f>
        <v/>
      </c>
      <c r="M2" s="5" t="n">
        <v>302970.011648</v>
      </c>
      <c r="N2" s="5" t="n">
        <v>192880.001024</v>
      </c>
      <c r="O2" s="5">
        <f>IF(M2="","",M2*J2)</f>
        <v/>
      </c>
      <c r="P2" s="5">
        <f>IF(N2="","",N2*J2)</f>
        <v/>
      </c>
      <c r="Q2" s="7" t="n">
        <v>0.0044</v>
      </c>
      <c r="R2" s="8" t="n">
        <v>28.89034</v>
      </c>
      <c r="S2" s="4" t="inlineStr">
        <is>
          <t>DOW30, NASDAQ100</t>
        </is>
      </c>
      <c r="T2" s="9" t="inlineStr">
        <is>
          <t>SI</t>
        </is>
      </c>
      <c r="U2" s="9" t="inlineStr"/>
      <c r="V2" s="10">
        <f>Umbrales!$B$9*(K2/1000)^Umbrales!$B$10</f>
        <v/>
      </c>
    </row>
    <row r="3">
      <c r="A3" s="4" t="inlineStr">
        <is>
          <t>AAPL</t>
        </is>
      </c>
      <c r="B3" s="4" t="inlineStr">
        <is>
          <t>Apple Inc.</t>
        </is>
      </c>
      <c r="C3" s="4" t="inlineStr">
        <is>
          <t>United States</t>
        </is>
      </c>
      <c r="D3" s="4" t="inlineStr">
        <is>
          <t>US</t>
        </is>
      </c>
      <c r="E3" s="4" t="inlineStr">
        <is>
          <t>Tecnología</t>
        </is>
      </c>
      <c r="F3" s="4" t="inlineStr">
        <is>
          <t>Consumer Electronics</t>
        </is>
      </c>
      <c r="G3" s="4" t="inlineStr">
        <is>
          <t>NMS</t>
        </is>
      </c>
      <c r="H3" s="4" t="inlineStr">
        <is>
          <t>USD</t>
        </is>
      </c>
      <c r="I3" s="5" t="n">
        <v>5005219.725312</v>
      </c>
      <c r="J3" s="6">
        <f>INDEX(FX!$B:$B,MATCH(H3,FX!$A:$A,0))</f>
        <v/>
      </c>
      <c r="K3" s="5">
        <f>I3*J3</f>
        <v/>
      </c>
      <c r="L3" s="4">
        <f>IF(U3&lt;&gt;"",U3,IF(K3&gt;=Umbrales!$B$2,"Legendaria",IF(K3&gt;=Umbrales!$B$3,"Épica",IF(K3&gt;=Umbrales!$B$4,"Rara",IF(K3&gt;=Umbrales!$B$5,"Poco común","Común")))))</f>
        <v/>
      </c>
      <c r="M3" s="5" t="n">
        <v>466822.987776</v>
      </c>
      <c r="N3" s="5" t="n">
        <v>128929.9968</v>
      </c>
      <c r="O3" s="5">
        <f>IF(M3="","",M3*J3)</f>
        <v/>
      </c>
      <c r="P3" s="5">
        <f>IF(N3="","",N3*J3)</f>
        <v/>
      </c>
      <c r="Q3" s="7" t="n">
        <v>0.0032</v>
      </c>
      <c r="R3" s="8" t="n">
        <v>39.150684</v>
      </c>
      <c r="S3" s="4" t="inlineStr">
        <is>
          <t>DOW30, NASDAQ100</t>
        </is>
      </c>
      <c r="T3" s="9" t="inlineStr">
        <is>
          <t>SI</t>
        </is>
      </c>
      <c r="U3" s="9" t="inlineStr"/>
      <c r="V3" s="10">
        <f>Umbrales!$B$9*(K3/1000)^Umbrales!$B$10</f>
        <v/>
      </c>
    </row>
    <row r="4">
      <c r="A4" s="4" t="inlineStr">
        <is>
          <t>GOOGL</t>
        </is>
      </c>
      <c r="B4" s="4" t="inlineStr">
        <is>
          <t>Alphabet Inc.</t>
        </is>
      </c>
      <c r="C4" s="4" t="inlineStr">
        <is>
          <t>United States</t>
        </is>
      </c>
      <c r="D4" s="4" t="inlineStr">
        <is>
          <t>US</t>
        </is>
      </c>
      <c r="E4" s="4" t="inlineStr">
        <is>
          <t>Comunicación</t>
        </is>
      </c>
      <c r="F4" s="4" t="inlineStr">
        <is>
          <t>Internet Content &amp; Information</t>
        </is>
      </c>
      <c r="G4" s="4" t="inlineStr">
        <is>
          <t>NMS</t>
        </is>
      </c>
      <c r="H4" s="4" t="inlineStr">
        <is>
          <t>USD</t>
        </is>
      </c>
      <c r="I4" s="5" t="n">
        <v>4251614.707712</v>
      </c>
      <c r="J4" s="6">
        <f>INDEX(FX!$B:$B,MATCH(H4,FX!$A:$A,0))</f>
        <v/>
      </c>
      <c r="K4" s="5">
        <f>I4*J4</f>
        <v/>
      </c>
      <c r="L4" s="4">
        <f>IF(U4&lt;&gt;"",U4,IF(K4&gt;=Umbrales!$B$2,"Legendaria",IF(K4&gt;=Umbrales!$B$3,"Épica",IF(K4&gt;=Umbrales!$B$4,"Rara",IF(K4&gt;=Umbrales!$B$5,"Poco común","Común")))))</f>
        <v/>
      </c>
      <c r="M4" s="5" t="n">
        <v>445865.984</v>
      </c>
      <c r="N4" s="5" t="n">
        <v>244118.994944</v>
      </c>
      <c r="O4" s="5">
        <f>IF(M4="","",M4*J4)</f>
        <v/>
      </c>
      <c r="P4" s="5">
        <f>IF(N4="","",N4*J4)</f>
        <v/>
      </c>
      <c r="Q4" s="7" t="n">
        <v>0.0025</v>
      </c>
      <c r="R4" s="8" t="n">
        <v>17.754852</v>
      </c>
      <c r="S4" s="4" t="inlineStr">
        <is>
          <t>NASDAQ100</t>
        </is>
      </c>
      <c r="T4" s="9" t="inlineStr">
        <is>
          <t>SI</t>
        </is>
      </c>
      <c r="U4" s="9" t="inlineStr"/>
      <c r="V4" s="10">
        <f>Umbrales!$B$9*(K4/1000)^Umbrales!$B$10</f>
        <v/>
      </c>
    </row>
    <row r="5">
      <c r="A5" s="4" t="inlineStr">
        <is>
          <t>MSFT</t>
        </is>
      </c>
      <c r="B5" s="4" t="inlineStr">
        <is>
          <t>Microsoft Corporation</t>
        </is>
      </c>
      <c r="C5" s="4" t="inlineStr">
        <is>
          <t>United States</t>
        </is>
      </c>
      <c r="D5" s="4" t="inlineStr">
        <is>
          <t>US</t>
        </is>
      </c>
      <c r="E5" s="4" t="inlineStr">
        <is>
          <t>Tecnología</t>
        </is>
      </c>
      <c r="F5" s="4" t="inlineStr">
        <is>
          <t>Software - Infrastructure</t>
        </is>
      </c>
      <c r="G5" s="4" t="inlineStr">
        <is>
          <t>NMS</t>
        </is>
      </c>
      <c r="H5" s="4" t="inlineStr">
        <is>
          <t>USD</t>
        </is>
      </c>
      <c r="I5" s="5" t="n">
        <v>3962939.63776</v>
      </c>
      <c r="J5" s="6">
        <f>INDEX(FX!$B:$B,MATCH(H5,FX!$A:$A,0))</f>
        <v/>
      </c>
      <c r="K5" s="5">
        <f>I5*J5</f>
        <v/>
      </c>
      <c r="L5" s="4">
        <f>IF(U5&lt;&gt;"",U5,IF(K5&gt;=Umbrales!$B$2,"Legendaria",IF(K5&gt;=Umbrales!$B$3,"Épica",IF(K5&gt;=Umbrales!$B$4,"Rara",IF(K5&gt;=Umbrales!$B$5,"Poco común","Común")))))</f>
        <v/>
      </c>
      <c r="M5" s="5" t="n">
        <v>331839.012864</v>
      </c>
      <c r="N5" s="5" t="n">
        <v>133748.998144</v>
      </c>
      <c r="O5" s="5">
        <f>IF(M5="","",M5*J5)</f>
        <v/>
      </c>
      <c r="P5" s="5">
        <f>IF(N5="","",N5*J5)</f>
        <v/>
      </c>
      <c r="Q5" s="7" t="n">
        <v>0.0072</v>
      </c>
      <c r="R5" s="8" t="n">
        <v>30.067043</v>
      </c>
      <c r="S5" s="4" t="inlineStr">
        <is>
          <t>DOW30, NASDAQ100</t>
        </is>
      </c>
      <c r="T5" s="9" t="inlineStr">
        <is>
          <t>SI</t>
        </is>
      </c>
      <c r="U5" s="9" t="inlineStr"/>
      <c r="V5" s="10">
        <f>Umbrales!$B$9*(K5/1000)^Umbrales!$B$10</f>
        <v/>
      </c>
    </row>
    <row r="6">
      <c r="A6" s="4" t="inlineStr">
        <is>
          <t>AMZN</t>
        </is>
      </c>
      <c r="B6" s="4" t="inlineStr">
        <is>
          <t>Amazon.com, Inc.</t>
        </is>
      </c>
      <c r="C6" s="4" t="inlineStr">
        <is>
          <t>United States</t>
        </is>
      </c>
      <c r="D6" s="4" t="inlineStr">
        <is>
          <t>US</t>
        </is>
      </c>
      <c r="E6" s="4" t="inlineStr">
        <is>
          <t>Consumo cíclico</t>
        </is>
      </c>
      <c r="F6" s="4" t="inlineStr">
        <is>
          <t>Internet Retail</t>
        </is>
      </c>
      <c r="G6" s="4" t="inlineStr">
        <is>
          <t>NMS</t>
        </is>
      </c>
      <c r="H6" s="4" t="inlineStr">
        <is>
          <t>USD</t>
        </is>
      </c>
      <c r="I6" s="5" t="n">
        <v>2740586.545152</v>
      </c>
      <c r="J6" s="6">
        <f>INDEX(FX!$B:$B,MATCH(H6,FX!$A:$A,0))</f>
        <v/>
      </c>
      <c r="K6" s="5">
        <f>I6*J6</f>
        <v/>
      </c>
      <c r="L6" s="4">
        <f>IF(U6&lt;&gt;"",U6,IF(K6&gt;=Umbrales!$B$2,"Legendaria",IF(K6&gt;=Umbrales!$B$3,"Épica",IF(K6&gt;=Umbrales!$B$4,"Rara",IF(K6&gt;=Umbrales!$B$5,"Poco común","Común")))))</f>
        <v/>
      </c>
      <c r="M6" s="5" t="n">
        <v>775680.032768</v>
      </c>
      <c r="N6" s="5" t="n">
        <v>135281.000448</v>
      </c>
      <c r="O6" s="5">
        <f>IF(M6="","",M6*J6)</f>
        <v/>
      </c>
      <c r="P6" s="5">
        <f>IF(N6="","",N6*J6)</f>
        <v/>
      </c>
      <c r="Q6" s="7" t="n">
        <v>0</v>
      </c>
      <c r="R6" s="8" t="n">
        <v>20.440868</v>
      </c>
      <c r="S6" s="4" t="inlineStr">
        <is>
          <t>DOW30, NASDAQ100</t>
        </is>
      </c>
      <c r="T6" s="9" t="inlineStr">
        <is>
          <t>SI</t>
        </is>
      </c>
      <c r="U6" s="9" t="inlineStr"/>
      <c r="V6" s="10">
        <f>Umbrales!$B$9*(K6/1000)^Umbrales!$B$10</f>
        <v/>
      </c>
    </row>
    <row r="7">
      <c r="A7" s="4" t="inlineStr">
        <is>
          <t>TSM</t>
        </is>
      </c>
      <c r="B7" s="4" t="inlineStr">
        <is>
          <t>Taiwan Semiconductor Manufacturing Company Limited</t>
        </is>
      </c>
      <c r="C7" s="4" t="inlineStr">
        <is>
          <t>Taiwan</t>
        </is>
      </c>
      <c r="D7" s="4" t="inlineStr">
        <is>
          <t>TW</t>
        </is>
      </c>
      <c r="E7" s="4" t="inlineStr">
        <is>
          <t>Tecnología</t>
        </is>
      </c>
      <c r="F7" s="4" t="inlineStr">
        <is>
          <t>Semiconductors</t>
        </is>
      </c>
      <c r="G7" s="4" t="inlineStr">
        <is>
          <t>NYQ</t>
        </is>
      </c>
      <c r="H7" s="4" t="inlineStr">
        <is>
          <t>USD</t>
        </is>
      </c>
      <c r="I7" s="5" t="n">
        <v>2230183.788544</v>
      </c>
      <c r="J7" s="6">
        <f>INDEX(FX!$B:$B,MATCH(H7,FX!$A:$A,0))</f>
        <v/>
      </c>
      <c r="K7" s="5">
        <f>I7*J7</f>
        <v/>
      </c>
      <c r="L7" s="4">
        <f>IF(U7&lt;&gt;"",U7,IF(K7&gt;=Umbrales!$B$2,"Legendaria",IF(K7&gt;=Umbrales!$B$3,"Épica",IF(K7&gt;=Umbrales!$B$4,"Rara",IF(K7&gt;=Umbrales!$B$5,"Poco común","Común")))))</f>
        <v/>
      </c>
      <c r="M7" s="5" t="n">
        <v>4440492.343296</v>
      </c>
      <c r="N7" s="5" t="n">
        <v>2216808.415232</v>
      </c>
      <c r="O7" s="5">
        <f>IF(M7="","",M7*J7)</f>
        <v/>
      </c>
      <c r="P7" s="5">
        <f>IF(N7="","",N7*J7)</f>
        <v/>
      </c>
      <c r="Q7" s="7" t="n">
        <v>0.008500000000000001</v>
      </c>
      <c r="R7" s="8" t="n">
        <v>32.355156</v>
      </c>
      <c r="S7" s="4" t="inlineStr">
        <is>
          <t>ASIA_TOP</t>
        </is>
      </c>
      <c r="T7" s="9" t="inlineStr">
        <is>
          <t>SI</t>
        </is>
      </c>
      <c r="U7" s="9" t="inlineStr"/>
      <c r="V7" s="10">
        <f>Umbrales!$B$9*(K7/1000)^Umbrales!$B$10</f>
        <v/>
      </c>
    </row>
    <row r="8">
      <c r="A8" s="4" t="inlineStr">
        <is>
          <t>META</t>
        </is>
      </c>
      <c r="B8" s="4" t="inlineStr">
        <is>
          <t>Meta Platforms, Inc.</t>
        </is>
      </c>
      <c r="C8" s="4" t="inlineStr">
        <is>
          <t>United States</t>
        </is>
      </c>
      <c r="D8" s="4" t="inlineStr">
        <is>
          <t>US</t>
        </is>
      </c>
      <c r="E8" s="4" t="inlineStr">
        <is>
          <t>Comunicación</t>
        </is>
      </c>
      <c r="F8" s="4" t="inlineStr">
        <is>
          <t>Internet Content &amp; Information</t>
        </is>
      </c>
      <c r="G8" s="4" t="inlineStr">
        <is>
          <t>NMS</t>
        </is>
      </c>
      <c r="H8" s="4" t="inlineStr">
        <is>
          <t>USD</t>
        </is>
      </c>
      <c r="I8" s="5" t="n">
        <v>1878887.6288</v>
      </c>
      <c r="J8" s="6">
        <f>INDEX(FX!$B:$B,MATCH(H8,FX!$A:$A,0))</f>
        <v/>
      </c>
      <c r="K8" s="5">
        <f>I8*J8</f>
        <v/>
      </c>
      <c r="L8" s="4">
        <f>IF(U8&lt;&gt;"",U8,IF(K8&gt;=Umbrales!$B$2,"Legendaria",IF(K8&gt;=Umbrales!$B$3,"Épica",IF(K8&gt;=Umbrales!$B$4,"Rara",IF(K8&gt;=Umbrales!$B$5,"Poco común","Común")))))</f>
        <v/>
      </c>
      <c r="M8" s="5" t="n">
        <v>228246.994944</v>
      </c>
      <c r="N8" s="5" t="n">
        <v>68097.998848</v>
      </c>
      <c r="O8" s="5">
        <f>IF(M8="","",M8*J8)</f>
        <v/>
      </c>
      <c r="P8" s="5">
        <f>IF(N8="","",N8*J8)</f>
        <v/>
      </c>
      <c r="Q8" s="7" t="n">
        <v>0.0028</v>
      </c>
      <c r="R8" s="8" t="n">
        <v>27.78975</v>
      </c>
      <c r="S8" s="4" t="inlineStr">
        <is>
          <t>NASDAQ100</t>
        </is>
      </c>
      <c r="T8" s="9" t="inlineStr">
        <is>
          <t>SI</t>
        </is>
      </c>
      <c r="U8" s="9" t="inlineStr"/>
      <c r="V8" s="10">
        <f>Umbrales!$B$9*(K8/1000)^Umbrales!$B$10</f>
        <v/>
      </c>
    </row>
    <row r="9">
      <c r="A9" s="4" t="inlineStr">
        <is>
          <t>AVGO</t>
        </is>
      </c>
      <c r="B9" s="4" t="inlineStr">
        <is>
          <t>Broadcom Inc.</t>
        </is>
      </c>
      <c r="C9" s="4" t="inlineStr">
        <is>
          <t>United States</t>
        </is>
      </c>
      <c r="D9" s="4" t="inlineStr">
        <is>
          <t>US</t>
        </is>
      </c>
      <c r="E9" s="4" t="inlineStr">
        <is>
          <t>Tecnología</t>
        </is>
      </c>
      <c r="F9" s="4" t="inlineStr">
        <is>
          <t>Semiconductors</t>
        </is>
      </c>
      <c r="G9" s="4" t="inlineStr">
        <is>
          <t>NMS</t>
        </is>
      </c>
      <c r="H9" s="4" t="inlineStr">
        <is>
          <t>USD</t>
        </is>
      </c>
      <c r="I9" s="5" t="n">
        <v>1652869.431296</v>
      </c>
      <c r="J9" s="6">
        <f>INDEX(FX!$B:$B,MATCH(H9,FX!$A:$A,0))</f>
        <v/>
      </c>
      <c r="K9" s="5">
        <f>I9*J9</f>
        <v/>
      </c>
      <c r="L9" s="4">
        <f>IF(U9&lt;&gt;"",U9,IF(K9&gt;=Umbrales!$B$2,"Legendaria",IF(K9&gt;=Umbrales!$B$3,"Épica",IF(K9&gt;=Umbrales!$B$4,"Rara",IF(K9&gt;=Umbrales!$B$5,"Poco común","Común")))))</f>
        <v/>
      </c>
      <c r="M9" s="5" t="n">
        <v>89103.998976</v>
      </c>
      <c r="N9" s="5" t="n">
        <v>38264.999936</v>
      </c>
      <c r="O9" s="5">
        <f>IF(M9="","",M9*J9)</f>
        <v/>
      </c>
      <c r="P9" s="5">
        <f>IF(N9="","",N9*J9)</f>
        <v/>
      </c>
      <c r="Q9" s="7" t="n">
        <v>0.0073</v>
      </c>
      <c r="R9" s="8" t="n">
        <v>45.619236</v>
      </c>
      <c r="S9" s="4" t="inlineStr">
        <is>
          <t>NASDAQ100</t>
        </is>
      </c>
      <c r="T9" s="9" t="inlineStr">
        <is>
          <t>SI</t>
        </is>
      </c>
      <c r="U9" s="9" t="inlineStr"/>
      <c r="V9" s="10">
        <f>Umbrales!$B$9*(K9/1000)^Umbrales!$B$10</f>
        <v/>
      </c>
    </row>
    <row r="10">
      <c r="A10" s="4" t="inlineStr">
        <is>
          <t>2222.SR</t>
        </is>
      </c>
      <c r="B10" s="4" t="inlineStr">
        <is>
          <t>Saudi Arabian Oil Company</t>
        </is>
      </c>
      <c r="C10" s="4" t="inlineStr">
        <is>
          <t>Saudi Arabia</t>
        </is>
      </c>
      <c r="D10" s="4" t="inlineStr">
        <is>
          <t>SA</t>
        </is>
      </c>
      <c r="E10" s="4" t="inlineStr">
        <is>
          <t>Energía</t>
        </is>
      </c>
      <c r="F10" s="4" t="inlineStr">
        <is>
          <t>Oil &amp; Gas Integrated</t>
        </is>
      </c>
      <c r="G10" s="4" t="inlineStr">
        <is>
          <t>SAU</t>
        </is>
      </c>
      <c r="H10" s="4" t="inlineStr">
        <is>
          <t>SAR</t>
        </is>
      </c>
      <c r="I10" s="5" t="n">
        <v>6110580.834304</v>
      </c>
      <c r="J10" s="6">
        <f>INDEX(FX!$B:$B,MATCH(H10,FX!$A:$A,0))</f>
        <v/>
      </c>
      <c r="K10" s="5">
        <f>I10*J10</f>
        <v/>
      </c>
      <c r="L10" s="4">
        <f>IF(U10&lt;&gt;"",U10,IF(K10&gt;=Umbrales!$B$2,"Legendaria",IF(K10&gt;=Umbrales!$B$3,"Épica",IF(K10&gt;=Umbrales!$B$4,"Rara",IF(K10&gt;=Umbrales!$B$5,"Poco común","Común")))))</f>
        <v/>
      </c>
      <c r="M10" s="5" t="n">
        <v>1823482.970112</v>
      </c>
      <c r="N10" s="5" t="n">
        <v>408371.003392</v>
      </c>
      <c r="O10" s="5">
        <f>IF(M10="","",M10*J10)</f>
        <v/>
      </c>
      <c r="P10" s="5">
        <f>IF(N10="","",N10*J10)</f>
        <v/>
      </c>
      <c r="Q10" s="7" t="n">
        <v>0.0535</v>
      </c>
      <c r="R10" s="8" t="n">
        <v>14.686047</v>
      </c>
      <c r="S10" s="4" t="inlineStr">
        <is>
          <t>ASIA_TOP</t>
        </is>
      </c>
      <c r="T10" s="9" t="inlineStr">
        <is>
          <t>SI</t>
        </is>
      </c>
      <c r="U10" s="9" t="inlineStr"/>
      <c r="V10" s="10">
        <f>Umbrales!$B$9*(K10/1000)^Umbrales!$B$10</f>
        <v/>
      </c>
    </row>
    <row r="11">
      <c r="A11" s="4" t="inlineStr">
        <is>
          <t>TSLA</t>
        </is>
      </c>
      <c r="B11" s="4" t="inlineStr">
        <is>
          <t>Tesla, Inc.</t>
        </is>
      </c>
      <c r="C11" s="4" t="inlineStr">
        <is>
          <t>United States</t>
        </is>
      </c>
      <c r="D11" s="4" t="inlineStr">
        <is>
          <t>US</t>
        </is>
      </c>
      <c r="E11" s="4" t="inlineStr">
        <is>
          <t>Consumo cíclico</t>
        </is>
      </c>
      <c r="F11" s="4" t="inlineStr">
        <is>
          <t>Auto Manufacturers</t>
        </is>
      </c>
      <c r="G11" s="4" t="inlineStr">
        <is>
          <t>NMS</t>
        </is>
      </c>
      <c r="H11" s="4" t="inlineStr">
        <is>
          <t>USD</t>
        </is>
      </c>
      <c r="I11" s="5" t="n">
        <v>1450115.858432</v>
      </c>
      <c r="J11" s="6">
        <f>INDEX(FX!$B:$B,MATCH(H11,FX!$A:$A,0))</f>
        <v/>
      </c>
      <c r="K11" s="5">
        <f>I11*J11</f>
        <v/>
      </c>
      <c r="L11" s="4">
        <f>IF(U11&lt;&gt;"",U11,IF(K11&gt;=Umbrales!$B$2,"Legendaria",IF(K11&gt;=Umbrales!$B$3,"Épica",IF(K11&gt;=Umbrales!$B$4,"Rara",IF(K11&gt;=Umbrales!$B$5,"Poco común","Común")))))</f>
        <v/>
      </c>
      <c r="M11" s="5" t="n">
        <v>103619.002368</v>
      </c>
      <c r="N11" s="5" t="n">
        <v>3806.000128</v>
      </c>
      <c r="O11" s="5">
        <f>IF(M11="","",M11*J11)</f>
        <v/>
      </c>
      <c r="P11" s="5">
        <f>IF(N11="","",N11*J11)</f>
        <v/>
      </c>
      <c r="Q11" s="7" t="n">
        <v>0</v>
      </c>
      <c r="R11" s="8" t="n">
        <v>339.96295</v>
      </c>
      <c r="S11" s="4" t="inlineStr">
        <is>
          <t>NASDAQ100</t>
        </is>
      </c>
      <c r="T11" s="9" t="inlineStr">
        <is>
          <t>SI</t>
        </is>
      </c>
      <c r="U11" s="9" t="inlineStr"/>
      <c r="V11" s="10">
        <f>Umbrales!$B$9*(K11/1000)^Umbrales!$B$10</f>
        <v/>
      </c>
    </row>
    <row r="12">
      <c r="A12" s="4" t="inlineStr">
        <is>
          <t>BRK-B</t>
        </is>
      </c>
      <c r="B12" s="4" t="inlineStr">
        <is>
          <t>Berkshire Hathaway Inc.</t>
        </is>
      </c>
      <c r="C12" s="4" t="inlineStr">
        <is>
          <t>United States</t>
        </is>
      </c>
      <c r="D12" s="4" t="inlineStr">
        <is>
          <t>US</t>
        </is>
      </c>
      <c r="E12" s="4" t="inlineStr">
        <is>
          <t>Finanzas</t>
        </is>
      </c>
      <c r="F12" s="4" t="inlineStr">
        <is>
          <t>Insurance - Diversified</t>
        </is>
      </c>
      <c r="G12" s="4" t="inlineStr">
        <is>
          <t>NYQ</t>
        </is>
      </c>
      <c r="H12" s="4" t="inlineStr">
        <is>
          <t>USD</t>
        </is>
      </c>
      <c r="I12" s="5" t="n">
        <v>1126762.545152</v>
      </c>
      <c r="J12" s="6">
        <f>INDEX(FX!$B:$B,MATCH(H12,FX!$A:$A,0))</f>
        <v/>
      </c>
      <c r="K12" s="5">
        <f>I12*J12</f>
        <v/>
      </c>
      <c r="L12" s="4">
        <f>IF(U12&lt;&gt;"",U12,IF(K12&gt;=Umbrales!$B$2,"Legendaria",IF(K12&gt;=Umbrales!$B$3,"Épica",IF(K12&gt;=Umbrales!$B$4,"Rara",IF(K12&gt;=Umbrales!$B$5,"Poco común","Común")))))</f>
        <v/>
      </c>
      <c r="M12" s="5" t="n">
        <v>384687.013888</v>
      </c>
      <c r="N12" s="5" t="n">
        <v>85768.00358400001</v>
      </c>
      <c r="O12" s="5">
        <f>IF(M12="","",M12*J12)</f>
        <v/>
      </c>
      <c r="P12" s="5">
        <f>IF(N12="","",N12*J12)</f>
        <v/>
      </c>
      <c r="Q12" s="7" t="n">
        <v>0</v>
      </c>
      <c r="R12" s="8" t="n">
        <v>13.093283</v>
      </c>
      <c r="S12" s="4" t="inlineStr"/>
      <c r="T12" s="9" t="inlineStr">
        <is>
          <t>SI</t>
        </is>
      </c>
      <c r="U12" s="9" t="inlineStr"/>
      <c r="V12" s="10">
        <f>Umbrales!$B$9*(K12/1000)^Umbrales!$B$10</f>
        <v/>
      </c>
    </row>
    <row r="13">
      <c r="A13" s="4" t="inlineStr">
        <is>
          <t>LLY</t>
        </is>
      </c>
      <c r="B13" s="4" t="inlineStr">
        <is>
          <t>Eli Lilly and Company</t>
        </is>
      </c>
      <c r="C13" s="4" t="inlineStr">
        <is>
          <t>United States</t>
        </is>
      </c>
      <c r="D13" s="4" t="inlineStr">
        <is>
          <t>US</t>
        </is>
      </c>
      <c r="E13" s="4" t="inlineStr">
        <is>
          <t>Salud</t>
        </is>
      </c>
      <c r="F13" s="4" t="inlineStr">
        <is>
          <t>Drug Manufacturers - General</t>
        </is>
      </c>
      <c r="G13" s="4" t="inlineStr">
        <is>
          <t>NYQ</t>
        </is>
      </c>
      <c r="H13" s="4" t="inlineStr">
        <is>
          <t>USD</t>
        </is>
      </c>
      <c r="I13" s="5" t="n">
        <v>1077418.917888</v>
      </c>
      <c r="J13" s="6">
        <f>INDEX(FX!$B:$B,MATCH(H13,FX!$A:$A,0))</f>
        <v/>
      </c>
      <c r="K13" s="5">
        <f>I13*J13</f>
        <v/>
      </c>
      <c r="L13" s="4">
        <f>IF(U13&lt;&gt;"",U13,IF(K13&gt;=Umbrales!$B$2,"Legendaria",IF(K13&gt;=Umbrales!$B$3,"Épica",IF(K13&gt;=Umbrales!$B$4,"Rara",IF(K13&gt;=Umbrales!$B$5,"Poco común","Común")))))</f>
        <v/>
      </c>
      <c r="M13" s="5" t="n">
        <v>79666.003968</v>
      </c>
      <c r="N13" s="5" t="n">
        <v>26710.99904</v>
      </c>
      <c r="O13" s="5">
        <f>IF(M13="","",M13*J13)</f>
        <v/>
      </c>
      <c r="P13" s="5">
        <f>IF(N13="","",N13*J13)</f>
        <v/>
      </c>
      <c r="Q13" s="7" t="n">
        <v>0.0059</v>
      </c>
      <c r="R13" s="8" t="n">
        <v>39.155815</v>
      </c>
      <c r="S13" s="4" t="inlineStr"/>
      <c r="T13" s="9" t="inlineStr">
        <is>
          <t>SI</t>
        </is>
      </c>
      <c r="U13" s="9" t="inlineStr"/>
      <c r="V13" s="10">
        <f>Umbrales!$B$9*(K13/1000)^Umbrales!$B$10</f>
        <v/>
      </c>
    </row>
    <row r="14">
      <c r="A14" s="4" t="inlineStr">
        <is>
          <t>MU</t>
        </is>
      </c>
      <c r="B14" s="4" t="inlineStr">
        <is>
          <t>Micron Technology, Inc.</t>
        </is>
      </c>
      <c r="C14" s="4" t="inlineStr">
        <is>
          <t>United States</t>
        </is>
      </c>
      <c r="D14" s="4" t="inlineStr">
        <is>
          <t>US</t>
        </is>
      </c>
      <c r="E14" s="4" t="inlineStr">
        <is>
          <t>Tecnología</t>
        </is>
      </c>
      <c r="F14" s="4" t="inlineStr">
        <is>
          <t>Semiconductors</t>
        </is>
      </c>
      <c r="G14" s="4" t="inlineStr">
        <is>
          <t>NMS</t>
        </is>
      </c>
      <c r="H14" s="4" t="inlineStr">
        <is>
          <t>USD</t>
        </is>
      </c>
      <c r="I14" s="5" t="n">
        <v>1034267.918336</v>
      </c>
      <c r="J14" s="6">
        <f>INDEX(FX!$B:$B,MATCH(H14,FX!$A:$A,0))</f>
        <v/>
      </c>
      <c r="K14" s="5">
        <f>I14*J14</f>
        <v/>
      </c>
      <c r="L14" s="4">
        <f>IF(U14&lt;&gt;"",U14,IF(K14&gt;=Umbrales!$B$2,"Legendaria",IF(K14&gt;=Umbrales!$B$3,"Épica",IF(K14&gt;=Umbrales!$B$4,"Rara",IF(K14&gt;=Umbrales!$B$5,"Poco común","Común")))))</f>
        <v/>
      </c>
      <c r="M14" s="5" t="n">
        <v>133188.001792</v>
      </c>
      <c r="N14" s="5" t="n">
        <v>84968.996864</v>
      </c>
      <c r="O14" s="5">
        <f>IF(M14="","",M14*J14)</f>
        <v/>
      </c>
      <c r="P14" s="5">
        <f>IF(N14="","",N14*J14)</f>
        <v/>
      </c>
      <c r="Q14" s="7" t="n">
        <v>0.0005999999999999999</v>
      </c>
      <c r="R14" s="8" t="n">
        <v>12.824495</v>
      </c>
      <c r="S14" s="4" t="inlineStr">
        <is>
          <t>NASDAQ100</t>
        </is>
      </c>
      <c r="T14" s="9" t="inlineStr">
        <is>
          <t>SI</t>
        </is>
      </c>
      <c r="U14" s="9" t="inlineStr"/>
      <c r="V14" s="10">
        <f>Umbrales!$B$9*(K14/1000)^Umbrales!$B$10</f>
        <v/>
      </c>
    </row>
    <row r="15">
      <c r="A15" s="4" t="inlineStr">
        <is>
          <t>005930.KS</t>
        </is>
      </c>
      <c r="B15" s="4" t="inlineStr">
        <is>
          <t>Samsung Electronics Co., Ltd.</t>
        </is>
      </c>
      <c r="C15" s="4" t="inlineStr">
        <is>
          <t>South Korea</t>
        </is>
      </c>
      <c r="D15" s="4" t="inlineStr">
        <is>
          <t>KR</t>
        </is>
      </c>
      <c r="E15" s="4" t="inlineStr">
        <is>
          <t>Tecnología</t>
        </is>
      </c>
      <c r="F15" s="4" t="inlineStr">
        <is>
          <t>Consumer Electronics</t>
        </is>
      </c>
      <c r="G15" s="4" t="inlineStr">
        <is>
          <t>KSC</t>
        </is>
      </c>
      <c r="H15" s="4" t="inlineStr">
        <is>
          <t>KRW</t>
        </is>
      </c>
      <c r="I15" s="5" t="n">
        <v>1367503762.620416</v>
      </c>
      <c r="J15" s="6">
        <f>INDEX(FX!$B:$B,MATCH(H15,FX!$A:$A,0))</f>
        <v/>
      </c>
      <c r="K15" s="5">
        <f>I15*J15</f>
        <v/>
      </c>
      <c r="L15" s="4">
        <f>IF(U15&lt;&gt;"",U15,IF(K15&gt;=Umbrales!$B$2,"Legendaria",IF(K15&gt;=Umbrales!$B$3,"Épica",IF(K15&gt;=Umbrales!$B$4,"Rara",IF(K15&gt;=Umbrales!$B$5,"Poco común","Común")))))</f>
        <v/>
      </c>
      <c r="M15" s="5" t="n">
        <v>485272047.321088</v>
      </c>
      <c r="N15" s="5" t="n">
        <v>135264684.998656</v>
      </c>
      <c r="O15" s="5">
        <f>IF(M15="","",M15*J15)</f>
        <v/>
      </c>
      <c r="P15" s="5">
        <f>IF(N15="","",N15*J15)</f>
        <v/>
      </c>
      <c r="Q15" s="7" t="n">
        <v>0.0064</v>
      </c>
      <c r="R15" s="8" t="n"/>
      <c r="S15" s="4" t="inlineStr">
        <is>
          <t>ASIA_TOP</t>
        </is>
      </c>
      <c r="T15" s="9" t="inlineStr">
        <is>
          <t>SI</t>
        </is>
      </c>
      <c r="U15" s="9" t="inlineStr"/>
      <c r="V15" s="10">
        <f>Umbrales!$B$9*(K15/1000)^Umbrales!$B$10</f>
        <v/>
      </c>
    </row>
    <row r="16">
      <c r="A16" s="4" t="inlineStr">
        <is>
          <t>AMD</t>
        </is>
      </c>
      <c r="B16" s="4" t="inlineStr">
        <is>
          <t>Advanced Micro Devices, Inc.</t>
        </is>
      </c>
      <c r="C16" s="4" t="inlineStr">
        <is>
          <t>United States</t>
        </is>
      </c>
      <c r="D16" s="4" t="inlineStr">
        <is>
          <t>US</t>
        </is>
      </c>
      <c r="E16" s="4" t="inlineStr">
        <is>
          <t>Tecnología</t>
        </is>
      </c>
      <c r="F16" s="4" t="inlineStr">
        <is>
          <t>Semiconductors</t>
        </is>
      </c>
      <c r="G16" s="4" t="inlineStr">
        <is>
          <t>NMS</t>
        </is>
      </c>
      <c r="H16" s="4" t="inlineStr">
        <is>
          <t>USD</t>
        </is>
      </c>
      <c r="I16" s="5" t="n">
        <v>931849.371648</v>
      </c>
      <c r="J16" s="6">
        <f>INDEX(FX!$B:$B,MATCH(H16,FX!$A:$A,0))</f>
        <v/>
      </c>
      <c r="K16" s="5">
        <f>I16*J16</f>
        <v/>
      </c>
      <c r="L16" s="4">
        <f>IF(U16&lt;&gt;"",U16,IF(K16&gt;=Umbrales!$B$2,"Legendaria",IF(K16&gt;=Umbrales!$B$3,"Épica",IF(K16&gt;=Umbrales!$B$4,"Rara",IF(K16&gt;=Umbrales!$B$5,"Poco común","Común")))))</f>
        <v/>
      </c>
      <c r="M16" s="5" t="n">
        <v>41305.001984</v>
      </c>
      <c r="N16" s="5" t="n">
        <v>6469.000192</v>
      </c>
      <c r="O16" s="5">
        <f>IF(M16="","",M16*J16)</f>
        <v/>
      </c>
      <c r="P16" s="5">
        <f>IF(N16="","",N16*J16)</f>
        <v/>
      </c>
      <c r="Q16" s="7" t="n">
        <v>0</v>
      </c>
      <c r="R16" s="8" t="n">
        <v>145.61734</v>
      </c>
      <c r="S16" s="4" t="inlineStr">
        <is>
          <t>NASDAQ100</t>
        </is>
      </c>
      <c r="T16" s="9" t="inlineStr">
        <is>
          <t>SI</t>
        </is>
      </c>
      <c r="U16" s="9" t="inlineStr"/>
      <c r="V16" s="10">
        <f>Umbrales!$B$9*(K16/1000)^Umbrales!$B$10</f>
        <v/>
      </c>
    </row>
    <row r="17">
      <c r="A17" s="4" t="inlineStr">
        <is>
          <t>WMT</t>
        </is>
      </c>
      <c r="B17" s="4" t="inlineStr">
        <is>
          <t>Walmart Inc.</t>
        </is>
      </c>
      <c r="C17" s="4" t="inlineStr">
        <is>
          <t>United States</t>
        </is>
      </c>
      <c r="D17" s="4" t="inlineStr">
        <is>
          <t>US</t>
        </is>
      </c>
      <c r="E17" s="4" t="inlineStr">
        <is>
          <t>Consumo básico</t>
        </is>
      </c>
      <c r="F17" s="4" t="inlineStr">
        <is>
          <t>Discount Stores</t>
        </is>
      </c>
      <c r="G17" s="4" t="inlineStr">
        <is>
          <t>NMS</t>
        </is>
      </c>
      <c r="H17" s="4" t="inlineStr">
        <is>
          <t>USD</t>
        </is>
      </c>
      <c r="I17" s="5" t="n">
        <v>921584.009216</v>
      </c>
      <c r="J17" s="6">
        <f>INDEX(FX!$B:$B,MATCH(H17,FX!$A:$A,0))</f>
        <v/>
      </c>
      <c r="K17" s="5">
        <f>I17*J17</f>
        <v/>
      </c>
      <c r="L17" s="4">
        <f>IF(U17&lt;&gt;"",U17,IF(K17&gt;=Umbrales!$B$2,"Legendaria",IF(K17&gt;=Umbrales!$B$3,"Épica",IF(K17&gt;=Umbrales!$B$4,"Rara",IF(K17&gt;=Umbrales!$B$5,"Poco común","Común")))))</f>
        <v/>
      </c>
      <c r="M17" s="5" t="n">
        <v>735839.9774720001</v>
      </c>
      <c r="N17" s="5" t="n">
        <v>22076.000256</v>
      </c>
      <c r="O17" s="5">
        <f>IF(M17="","",M17*J17)</f>
        <v/>
      </c>
      <c r="P17" s="5">
        <f>IF(N17="","",N17*J17)</f>
        <v/>
      </c>
      <c r="Q17" s="7" t="n">
        <v>0.008800000000000001</v>
      </c>
      <c r="R17" s="8" t="n">
        <v>42.08696</v>
      </c>
      <c r="S17" s="4" t="inlineStr">
        <is>
          <t>DOW30</t>
        </is>
      </c>
      <c r="T17" s="9" t="inlineStr">
        <is>
          <t>SI</t>
        </is>
      </c>
      <c r="U17" s="9" t="inlineStr"/>
      <c r="V17" s="10">
        <f>Umbrales!$B$9*(K17/1000)^Umbrales!$B$10</f>
        <v/>
      </c>
    </row>
    <row r="18">
      <c r="A18" s="4" t="inlineStr">
        <is>
          <t>JPM</t>
        </is>
      </c>
      <c r="B18" s="4" t="inlineStr">
        <is>
          <t>JPMorgan Chase &amp; Co.</t>
        </is>
      </c>
      <c r="C18" s="4" t="inlineStr">
        <is>
          <t>United States</t>
        </is>
      </c>
      <c r="D18" s="4" t="inlineStr">
        <is>
          <t>US</t>
        </is>
      </c>
      <c r="E18" s="4" t="inlineStr">
        <is>
          <t>Finanzas</t>
        </is>
      </c>
      <c r="F18" s="4" t="inlineStr">
        <is>
          <t>Banks - Diversified</t>
        </is>
      </c>
      <c r="G18" s="4" t="inlineStr">
        <is>
          <t>NYQ</t>
        </is>
      </c>
      <c r="H18" s="4" t="inlineStr">
        <is>
          <t>USD</t>
        </is>
      </c>
      <c r="I18" s="5" t="n">
        <v>890369.605632</v>
      </c>
      <c r="J18" s="6">
        <f>INDEX(FX!$B:$B,MATCH(H18,FX!$A:$A,0))</f>
        <v/>
      </c>
      <c r="K18" s="5">
        <f>I18*J18</f>
        <v/>
      </c>
      <c r="L18" s="4">
        <f>IF(U18&lt;&gt;"",U18,IF(K18&gt;=Umbrales!$B$2,"Legendaria",IF(K18&gt;=Umbrales!$B$3,"Épica",IF(K18&gt;=Umbrales!$B$4,"Rara",IF(K18&gt;=Umbrales!$B$5,"Poco común","Común")))))</f>
        <v/>
      </c>
      <c r="M18" s="5" t="n">
        <v>190732.992512</v>
      </c>
      <c r="N18" s="5" t="n">
        <v>64526.999552</v>
      </c>
      <c r="O18" s="5">
        <f>IF(M18="","",M18*J18)</f>
        <v/>
      </c>
      <c r="P18" s="5">
        <f>IF(N18="","",N18*J18)</f>
        <v/>
      </c>
      <c r="Q18" s="7" t="n">
        <v>0.0199</v>
      </c>
      <c r="R18" s="8" t="n">
        <v>13.900497</v>
      </c>
      <c r="S18" s="4" t="inlineStr">
        <is>
          <t>DOW30</t>
        </is>
      </c>
      <c r="T18" s="9" t="inlineStr">
        <is>
          <t>SI</t>
        </is>
      </c>
      <c r="U18" s="9" t="inlineStr"/>
      <c r="V18" s="10">
        <f>Umbrales!$B$9*(K18/1000)^Umbrales!$B$10</f>
        <v/>
      </c>
    </row>
    <row r="19">
      <c r="A19" s="4" t="inlineStr">
        <is>
          <t>V</t>
        </is>
      </c>
      <c r="B19" s="4" t="inlineStr">
        <is>
          <t>Visa Inc.</t>
        </is>
      </c>
      <c r="C19" s="4" t="inlineStr">
        <is>
          <t>United States</t>
        </is>
      </c>
      <c r="D19" s="4" t="inlineStr">
        <is>
          <t>US</t>
        </is>
      </c>
      <c r="E19" s="4" t="inlineStr">
        <is>
          <t>Finanzas</t>
        </is>
      </c>
      <c r="F19" s="4" t="inlineStr">
        <is>
          <t>Credit Services</t>
        </is>
      </c>
      <c r="G19" s="4" t="inlineStr">
        <is>
          <t>NYQ</t>
        </is>
      </c>
      <c r="H19" s="4" t="inlineStr">
        <is>
          <t>USD</t>
        </is>
      </c>
      <c r="I19" s="5" t="n">
        <v>734853.136384</v>
      </c>
      <c r="J19" s="6">
        <f>INDEX(FX!$B:$B,MATCH(H19,FX!$A:$A,0))</f>
        <v/>
      </c>
      <c r="K19" s="5">
        <f>I19*J19</f>
        <v/>
      </c>
      <c r="L19" s="4">
        <f>IF(U19&lt;&gt;"",U19,IF(K19&gt;=Umbrales!$B$2,"Legendaria",IF(K19&gt;=Umbrales!$B$3,"Épica",IF(K19&gt;=Umbrales!$B$4,"Rara",IF(K19&gt;=Umbrales!$B$5,"Poco común","Común")))))</f>
        <v/>
      </c>
      <c r="M19" s="5" t="n">
        <v>44487.999488</v>
      </c>
      <c r="N19" s="5" t="n">
        <v>22397.999104</v>
      </c>
      <c r="O19" s="5">
        <f>IF(M19="","",M19*J19)</f>
        <v/>
      </c>
      <c r="P19" s="5">
        <f>IF(N19="","",N19*J19)</f>
        <v/>
      </c>
      <c r="Q19" s="7" t="n">
        <v>0.0068</v>
      </c>
      <c r="R19" s="8" t="n">
        <v>33.31319</v>
      </c>
      <c r="S19" s="4" t="inlineStr">
        <is>
          <t>DOW30</t>
        </is>
      </c>
      <c r="T19" s="9" t="inlineStr">
        <is>
          <t>SI</t>
        </is>
      </c>
      <c r="U19" s="9" t="inlineStr"/>
      <c r="V19" s="10">
        <f>Umbrales!$B$9*(K19/1000)^Umbrales!$B$10</f>
        <v/>
      </c>
    </row>
    <row r="20">
      <c r="A20" s="4" t="inlineStr">
        <is>
          <t>XOM</t>
        </is>
      </c>
      <c r="B20" s="4" t="inlineStr">
        <is>
          <t>ExxonMobil Holdings Corporation</t>
        </is>
      </c>
      <c r="C20" s="4" t="inlineStr">
        <is>
          <t>United States</t>
        </is>
      </c>
      <c r="D20" s="4" t="inlineStr">
        <is>
          <t>US</t>
        </is>
      </c>
      <c r="E20" s="4" t="inlineStr">
        <is>
          <t>Energía</t>
        </is>
      </c>
      <c r="F20" s="4" t="inlineStr">
        <is>
          <t>Oil &amp; Gas Integrated</t>
        </is>
      </c>
      <c r="G20" s="4" t="inlineStr">
        <is>
          <t>NYQ</t>
        </is>
      </c>
      <c r="H20" s="4" t="inlineStr">
        <is>
          <t>USD</t>
        </is>
      </c>
      <c r="I20" s="5" t="n">
        <v>727849.500672</v>
      </c>
      <c r="J20" s="6">
        <f>INDEX(FX!$B:$B,MATCH(H20,FX!$A:$A,0))</f>
        <v/>
      </c>
      <c r="K20" s="5">
        <f>I20*J20</f>
        <v/>
      </c>
      <c r="L20" s="4">
        <f>IF(U20&lt;&gt;"",U20,IF(K20&gt;=Umbrales!$B$2,"Legendaria",IF(K20&gt;=Umbrales!$B$3,"Épica",IF(K20&gt;=Umbrales!$B$4,"Rara",IF(K20&gt;=Umbrales!$B$5,"Poco común","Común")))))</f>
        <v/>
      </c>
      <c r="M20" s="5" t="n">
        <v>361060.007936</v>
      </c>
      <c r="N20" s="5" t="n">
        <v>32757.000192</v>
      </c>
      <c r="O20" s="5">
        <f>IF(M20="","",M20*J20)</f>
        <v/>
      </c>
      <c r="P20" s="5">
        <f>IF(N20="","",N20*J20)</f>
        <v/>
      </c>
      <c r="Q20" s="7" t="n">
        <v>0.0237</v>
      </c>
      <c r="R20" s="8" t="n">
        <v>22.406328</v>
      </c>
      <c r="S20" s="4" t="inlineStr"/>
      <c r="T20" s="9" t="inlineStr">
        <is>
          <t>SI</t>
        </is>
      </c>
      <c r="U20" s="9" t="inlineStr"/>
      <c r="V20" s="10">
        <f>Umbrales!$B$9*(K20/1000)^Umbrales!$B$10</f>
        <v/>
      </c>
    </row>
    <row r="21">
      <c r="A21" s="4" t="inlineStr">
        <is>
          <t>000660.KS</t>
        </is>
      </c>
      <c r="B21" s="4" t="inlineStr">
        <is>
          <t>SK hynix Inc.</t>
        </is>
      </c>
      <c r="C21" s="4" t="inlineStr">
        <is>
          <t>South Korea</t>
        </is>
      </c>
      <c r="D21" s="4" t="inlineStr">
        <is>
          <t>KR</t>
        </is>
      </c>
      <c r="E21" s="4" t="inlineStr">
        <is>
          <t>Tecnología</t>
        </is>
      </c>
      <c r="F21" s="4" t="inlineStr">
        <is>
          <t>Semiconductors</t>
        </is>
      </c>
      <c r="G21" s="4" t="inlineStr">
        <is>
          <t>KSC</t>
        </is>
      </c>
      <c r="H21" s="4" t="inlineStr">
        <is>
          <t>KRW</t>
        </is>
      </c>
      <c r="I21" s="5" t="n">
        <v>897377313.488896</v>
      </c>
      <c r="J21" s="6">
        <f>INDEX(FX!$B:$B,MATCH(H21,FX!$A:$A,0))</f>
        <v/>
      </c>
      <c r="K21" s="5">
        <f>I21*J21</f>
        <v/>
      </c>
      <c r="L21" s="4">
        <f>IF(U21&lt;&gt;"",U21,IF(K21&gt;=Umbrales!$B$2,"Legendaria",IF(K21&gt;=Umbrales!$B$3,"Épica",IF(K21&gt;=Umbrales!$B$4,"Rara",IF(K21&gt;=Umbrales!$B$5,"Poco común","Común")))))</f>
        <v/>
      </c>
      <c r="M21" s="5" t="n">
        <v>189170609.815552</v>
      </c>
      <c r="N21" s="5" t="n">
        <v>161965397.77024</v>
      </c>
      <c r="O21" s="5">
        <f>IF(M21="","",M21*J21)</f>
        <v/>
      </c>
      <c r="P21" s="5">
        <f>IF(N21="","",N21*J21)</f>
        <v/>
      </c>
      <c r="Q21" s="7" t="n">
        <v>0.0011</v>
      </c>
      <c r="R21" s="8" t="n"/>
      <c r="S21" s="4" t="inlineStr">
        <is>
          <t>ASIA_TOP</t>
        </is>
      </c>
      <c r="T21" s="9" t="inlineStr">
        <is>
          <t>SI</t>
        </is>
      </c>
      <c r="U21" s="9" t="inlineStr"/>
      <c r="V21" s="10">
        <f>Umbrales!$B$9*(K21/1000)^Umbrales!$B$10</f>
        <v/>
      </c>
    </row>
    <row r="22">
      <c r="A22" s="4" t="inlineStr">
        <is>
          <t>ASML.AS</t>
        </is>
      </c>
      <c r="B22" s="4" t="inlineStr">
        <is>
          <t>ASML Holding N.V.</t>
        </is>
      </c>
      <c r="C22" s="4" t="inlineStr">
        <is>
          <t>Netherlands</t>
        </is>
      </c>
      <c r="D22" s="4" t="inlineStr">
        <is>
          <t>NL</t>
        </is>
      </c>
      <c r="E22" s="4" t="inlineStr">
        <is>
          <t>Tecnología</t>
        </is>
      </c>
      <c r="F22" s="4" t="inlineStr">
        <is>
          <t>Semiconductor Equipment &amp; Materials</t>
        </is>
      </c>
      <c r="G22" s="4" t="inlineStr">
        <is>
          <t>AMS</t>
        </is>
      </c>
      <c r="H22" s="4" t="inlineStr">
        <is>
          <t>EUR</t>
        </is>
      </c>
      <c r="I22" s="5" t="n">
        <v>553027.1744</v>
      </c>
      <c r="J22" s="6">
        <f>INDEX(FX!$B:$B,MATCH(H22,FX!$A:$A,0))</f>
        <v/>
      </c>
      <c r="K22" s="5">
        <f>I22*J22</f>
        <v/>
      </c>
      <c r="L22" s="4">
        <f>IF(U22&lt;&gt;"",U22,IF(K22&gt;=Umbrales!$B$2,"Legendaria",IF(K22&gt;=Umbrales!$B$3,"Épica",IF(K22&gt;=Umbrales!$B$4,"Rara",IF(K22&gt;=Umbrales!$B$5,"Poco común","Común")))))</f>
        <v/>
      </c>
      <c r="M22" s="5" t="n">
        <v>35327.500288</v>
      </c>
      <c r="N22" s="5" t="n">
        <v>10638.399488</v>
      </c>
      <c r="O22" s="5">
        <f>IF(M22="","",M22*J22)</f>
        <v/>
      </c>
      <c r="P22" s="5">
        <f>IF(N22="","",N22*J22)</f>
        <v/>
      </c>
      <c r="Q22" s="7" t="n">
        <v>0.0052</v>
      </c>
      <c r="R22" s="8" t="n">
        <v>54.51723</v>
      </c>
      <c r="S22" s="4" t="inlineStr">
        <is>
          <t>EUROSTOXX50, NASDAQ100</t>
        </is>
      </c>
      <c r="T22" s="9" t="inlineStr">
        <is>
          <t>SI</t>
        </is>
      </c>
      <c r="U22" s="9" t="inlineStr"/>
      <c r="V22" s="10">
        <f>Umbrales!$B$9*(K22/1000)^Umbrales!$B$10</f>
        <v/>
      </c>
    </row>
    <row r="23">
      <c r="A23" s="4" t="inlineStr">
        <is>
          <t>JNJ</t>
        </is>
      </c>
      <c r="B23" s="4" t="inlineStr">
        <is>
          <t>Johnson &amp; Johnson</t>
        </is>
      </c>
      <c r="C23" s="4" t="inlineStr">
        <is>
          <t>United States</t>
        </is>
      </c>
      <c r="D23" s="4" t="inlineStr">
        <is>
          <t>US</t>
        </is>
      </c>
      <c r="E23" s="4" t="inlineStr">
        <is>
          <t>Salud</t>
        </is>
      </c>
      <c r="F23" s="4" t="inlineStr">
        <is>
          <t>Drug Manufacturers - General</t>
        </is>
      </c>
      <c r="G23" s="4" t="inlineStr">
        <is>
          <t>NYQ</t>
        </is>
      </c>
      <c r="H23" s="4" t="inlineStr">
        <is>
          <t>USD</t>
        </is>
      </c>
      <c r="I23" s="5" t="n">
        <v>611897.311232</v>
      </c>
      <c r="J23" s="6">
        <f>INDEX(FX!$B:$B,MATCH(H23,FX!$A:$A,0))</f>
        <v/>
      </c>
      <c r="K23" s="5">
        <f>I23*J23</f>
        <v/>
      </c>
      <c r="L23" s="4">
        <f>IF(U23&lt;&gt;"",U23,IF(K23&gt;=Umbrales!$B$2,"Legendaria",IF(K23&gt;=Umbrales!$B$3,"Épica",IF(K23&gt;=Umbrales!$B$4,"Rara",IF(K23&gt;=Umbrales!$B$5,"Poco común","Común")))))</f>
        <v/>
      </c>
      <c r="M23" s="5" t="n">
        <v>97929.003008</v>
      </c>
      <c r="N23" s="5" t="n">
        <v>21037.000704</v>
      </c>
      <c r="O23" s="5">
        <f>IF(M23="","",M23*J23)</f>
        <v/>
      </c>
      <c r="P23" s="5">
        <f>IF(N23="","",N23*J23)</f>
        <v/>
      </c>
      <c r="Q23" s="7" t="n">
        <v>0.0216</v>
      </c>
      <c r="R23" s="8" t="n">
        <v>28.820658</v>
      </c>
      <c r="S23" s="4" t="inlineStr">
        <is>
          <t>DOW30</t>
        </is>
      </c>
      <c r="T23" s="9" t="inlineStr">
        <is>
          <t>SI</t>
        </is>
      </c>
      <c r="U23" s="9" t="inlineStr"/>
      <c r="V23" s="10">
        <f>Umbrales!$B$9*(K23/1000)^Umbrales!$B$10</f>
        <v/>
      </c>
    </row>
    <row r="24">
      <c r="A24" s="4" t="inlineStr">
        <is>
          <t>MA</t>
        </is>
      </c>
      <c r="B24" s="4" t="inlineStr">
        <is>
          <t>Mastercard Incorporated</t>
        </is>
      </c>
      <c r="C24" s="4" t="inlineStr">
        <is>
          <t>United States</t>
        </is>
      </c>
      <c r="D24" s="4" t="inlineStr">
        <is>
          <t>US</t>
        </is>
      </c>
      <c r="E24" s="4" t="inlineStr">
        <is>
          <t>Finanzas</t>
        </is>
      </c>
      <c r="F24" s="4" t="inlineStr">
        <is>
          <t>Credit Services</t>
        </is>
      </c>
      <c r="G24" s="4" t="inlineStr">
        <is>
          <t>NYQ</t>
        </is>
      </c>
      <c r="H24" s="4" t="inlineStr">
        <is>
          <t>USD</t>
        </is>
      </c>
      <c r="I24" s="5" t="n">
        <v>528444.227584</v>
      </c>
      <c r="J24" s="6">
        <f>INDEX(FX!$B:$B,MATCH(H24,FX!$A:$A,0))</f>
        <v/>
      </c>
      <c r="K24" s="5">
        <f>I24*J24</f>
        <v/>
      </c>
      <c r="L24" s="4">
        <f>IF(U24&lt;&gt;"",U24,IF(K24&gt;=Umbrales!$B$2,"Legendaria",IF(K24&gt;=Umbrales!$B$3,"Épica",IF(K24&gt;=Umbrales!$B$4,"Rara",IF(K24&gt;=Umbrales!$B$5,"Poco común","Común")))))</f>
        <v/>
      </c>
      <c r="M24" s="5" t="n">
        <v>35083.001856</v>
      </c>
      <c r="N24" s="5" t="n">
        <v>16257.000448</v>
      </c>
      <c r="O24" s="5">
        <f>IF(M24="","",M24*J24)</f>
        <v/>
      </c>
      <c r="P24" s="5">
        <f>IF(N24="","",N24*J24)</f>
        <v/>
      </c>
      <c r="Q24" s="7" t="n">
        <v>0.0058</v>
      </c>
      <c r="R24" s="8" t="n">
        <v>33.18152</v>
      </c>
      <c r="S24" s="4" t="inlineStr"/>
      <c r="T24" s="9" t="inlineStr">
        <is>
          <t>SI</t>
        </is>
      </c>
      <c r="U24" s="9" t="inlineStr"/>
      <c r="V24" s="10">
        <f>Umbrales!$B$9*(K24/1000)^Umbrales!$B$10</f>
        <v/>
      </c>
    </row>
    <row r="25">
      <c r="A25" s="4" t="inlineStr">
        <is>
          <t>INTC</t>
        </is>
      </c>
      <c r="B25" s="4" t="inlineStr">
        <is>
          <t>Intel Corporation</t>
        </is>
      </c>
      <c r="C25" s="4" t="inlineStr">
        <is>
          <t>United States</t>
        </is>
      </c>
      <c r="D25" s="4" t="inlineStr">
        <is>
          <t>US</t>
        </is>
      </c>
      <c r="E25" s="4" t="inlineStr">
        <is>
          <t>Tecnología</t>
        </is>
      </c>
      <c r="F25" s="4" t="inlineStr">
        <is>
          <t>Semiconductors</t>
        </is>
      </c>
      <c r="G25" s="4" t="inlineStr">
        <is>
          <t>NMS</t>
        </is>
      </c>
      <c r="H25" s="4" t="inlineStr">
        <is>
          <t>USD</t>
        </is>
      </c>
      <c r="I25" s="5" t="n">
        <v>518672.646144</v>
      </c>
      <c r="J25" s="6">
        <f>INDEX(FX!$B:$B,MATCH(H25,FX!$A:$A,0))</f>
        <v/>
      </c>
      <c r="K25" s="5">
        <f>I25*J25</f>
        <v/>
      </c>
      <c r="L25" s="4">
        <f>IF(U25&lt;&gt;"",U25,IF(K25&gt;=Umbrales!$B$2,"Legendaria",IF(K25&gt;=Umbrales!$B$3,"Épica",IF(K25&gt;=Umbrales!$B$4,"Rara",IF(K25&gt;=Umbrales!$B$5,"Poco común","Común")))))</f>
        <v/>
      </c>
      <c r="M25" s="5" t="n">
        <v>57031.999488</v>
      </c>
      <c r="N25" s="5" t="n">
        <v>-11288.999936</v>
      </c>
      <c r="O25" s="5">
        <f>IF(M25="","",M25*J25)</f>
        <v/>
      </c>
      <c r="P25" s="5">
        <f>IF(N25="","",N25*J25)</f>
        <v/>
      </c>
      <c r="Q25" s="7" t="n">
        <v>0</v>
      </c>
      <c r="R25" s="8" t="n"/>
      <c r="S25" s="4" t="inlineStr">
        <is>
          <t>NASDAQ100</t>
        </is>
      </c>
      <c r="T25" s="9" t="inlineStr">
        <is>
          <t>SI</t>
        </is>
      </c>
      <c r="U25" s="9" t="inlineStr"/>
      <c r="V25" s="10">
        <f>Umbrales!$B$9*(K25/1000)^Umbrales!$B$10</f>
        <v/>
      </c>
    </row>
    <row r="26">
      <c r="A26" s="4" t="inlineStr">
        <is>
          <t>ABBV</t>
        </is>
      </c>
      <c r="B26" s="4" t="inlineStr">
        <is>
          <t>AbbVie Inc.</t>
        </is>
      </c>
      <c r="C26" s="4" t="inlineStr">
        <is>
          <t>United States</t>
        </is>
      </c>
      <c r="D26" s="4" t="inlineStr">
        <is>
          <t>US</t>
        </is>
      </c>
      <c r="E26" s="4" t="inlineStr">
        <is>
          <t>Salud</t>
        </is>
      </c>
      <c r="F26" s="4" t="inlineStr">
        <is>
          <t>Drug Manufacturers - General</t>
        </is>
      </c>
      <c r="G26" s="4" t="inlineStr">
        <is>
          <t>NYQ</t>
        </is>
      </c>
      <c r="H26" s="4" t="inlineStr">
        <is>
          <t>USD</t>
        </is>
      </c>
      <c r="I26" s="5" t="n">
        <v>500942.4384</v>
      </c>
      <c r="J26" s="6">
        <f>INDEX(FX!$B:$B,MATCH(H26,FX!$A:$A,0))</f>
        <v/>
      </c>
      <c r="K26" s="5">
        <f>I26*J26</f>
        <v/>
      </c>
      <c r="L26" s="4">
        <f>IF(U26&lt;&gt;"",U26,IF(K26&gt;=Umbrales!$B$2,"Legendaria",IF(K26&gt;=Umbrales!$B$3,"Épica",IF(K26&gt;=Umbrales!$B$4,"Rara",IF(K26&gt;=Umbrales!$B$5,"Poco común","Común")))))</f>
        <v/>
      </c>
      <c r="M26" s="5" t="n">
        <v>64385.998848</v>
      </c>
      <c r="N26" s="5" t="n">
        <v>6270.000128</v>
      </c>
      <c r="O26" s="5">
        <f>IF(M26="","",M26*J26)</f>
        <v/>
      </c>
      <c r="P26" s="5">
        <f>IF(N26="","",N26*J26)</f>
        <v/>
      </c>
      <c r="Q26" s="7" t="n">
        <v>0.0252</v>
      </c>
      <c r="R26" s="8" t="n">
        <v>80.0791</v>
      </c>
      <c r="S26" s="4" t="inlineStr"/>
      <c r="T26" s="9" t="inlineStr">
        <is>
          <t>SI</t>
        </is>
      </c>
      <c r="U26" s="9" t="inlineStr"/>
      <c r="V26" s="10">
        <f>Umbrales!$B$9*(K26/1000)^Umbrales!$B$10</f>
        <v/>
      </c>
    </row>
    <row r="27">
      <c r="A27" s="4" t="inlineStr">
        <is>
          <t>PLTR</t>
        </is>
      </c>
      <c r="B27" s="4" t="inlineStr">
        <is>
          <t>Palantir Technologies Inc.</t>
        </is>
      </c>
      <c r="C27" s="4" t="inlineStr">
        <is>
          <t>United States</t>
        </is>
      </c>
      <c r="D27" s="4" t="inlineStr">
        <is>
          <t>US</t>
        </is>
      </c>
      <c r="E27" s="4" t="inlineStr">
        <is>
          <t>Tecnología</t>
        </is>
      </c>
      <c r="F27" s="4" t="inlineStr">
        <is>
          <t>Software - Infrastructure</t>
        </is>
      </c>
      <c r="G27" s="4" t="inlineStr">
        <is>
          <t>NMS</t>
        </is>
      </c>
      <c r="H27" s="4" t="inlineStr">
        <is>
          <t>USD</t>
        </is>
      </c>
      <c r="I27" s="5" t="n">
        <v>482942.64832</v>
      </c>
      <c r="J27" s="6">
        <f>INDEX(FX!$B:$B,MATCH(H27,FX!$A:$A,0))</f>
        <v/>
      </c>
      <c r="K27" s="5">
        <f>I27*J27</f>
        <v/>
      </c>
      <c r="L27" s="4">
        <f>IF(U27&lt;&gt;"",U27,IF(K27&gt;=Umbrales!$B$2,"Legendaria",IF(K27&gt;=Umbrales!$B$3,"Épica",IF(K27&gt;=Umbrales!$B$4,"Rara",IF(K27&gt;=Umbrales!$B$5,"Poco común","Común")))))</f>
        <v/>
      </c>
      <c r="M27" s="5" t="n">
        <v>6155.940864</v>
      </c>
      <c r="N27" s="5" t="n">
        <v>3016.691968</v>
      </c>
      <c r="O27" s="5">
        <f>IF(M27="","",M27*J27)</f>
        <v/>
      </c>
      <c r="P27" s="5">
        <f>IF(N27="","",N27*J27)</f>
        <v/>
      </c>
      <c r="Q27" s="7" t="n">
        <v>0</v>
      </c>
      <c r="R27" s="8" t="n">
        <v>173.25</v>
      </c>
      <c r="S27" s="4" t="inlineStr">
        <is>
          <t>NASDAQ100</t>
        </is>
      </c>
      <c r="T27" s="9" t="inlineStr">
        <is>
          <t>SI</t>
        </is>
      </c>
      <c r="U27" s="9" t="inlineStr"/>
      <c r="V27" s="10">
        <f>Umbrales!$B$9*(K27/1000)^Umbrales!$B$10</f>
        <v/>
      </c>
    </row>
    <row r="28">
      <c r="A28" s="4" t="inlineStr">
        <is>
          <t>0700.HK</t>
        </is>
      </c>
      <c r="B28" s="4" t="inlineStr">
        <is>
          <t>Tencent Holdings Limited</t>
        </is>
      </c>
      <c r="C28" s="4" t="inlineStr">
        <is>
          <t>China</t>
        </is>
      </c>
      <c r="D28" s="4" t="inlineStr">
        <is>
          <t>CN</t>
        </is>
      </c>
      <c r="E28" s="4" t="inlineStr">
        <is>
          <t>Comunicación</t>
        </is>
      </c>
      <c r="F28" s="4" t="inlineStr">
        <is>
          <t>Internet Content &amp; Information</t>
        </is>
      </c>
      <c r="G28" s="4" t="inlineStr">
        <is>
          <t>HKG</t>
        </is>
      </c>
      <c r="H28" s="4" t="inlineStr">
        <is>
          <t>HKD</t>
        </is>
      </c>
      <c r="I28" s="5" t="n">
        <v>3762314.018816</v>
      </c>
      <c r="J28" s="6">
        <f>INDEX(FX!$B:$B,MATCH(H28,FX!$A:$A,0))</f>
        <v/>
      </c>
      <c r="K28" s="5">
        <f>I28*J28</f>
        <v/>
      </c>
      <c r="L28" s="4">
        <f>IF(U28&lt;&gt;"",U28,IF(K28&gt;=Umbrales!$B$2,"Legendaria",IF(K28&gt;=Umbrales!$B$3,"Épica",IF(K28&gt;=Umbrales!$B$4,"Rara",IF(K28&gt;=Umbrales!$B$5,"Poco común","Común")))))</f>
        <v/>
      </c>
      <c r="M28" s="5" t="n">
        <v>788483.014656</v>
      </c>
      <c r="N28" s="5" t="n">
        <v>235508.006912</v>
      </c>
      <c r="O28" s="5">
        <f>IF(M28="","",M28*J28)</f>
        <v/>
      </c>
      <c r="P28" s="5">
        <f>IF(N28="","",N28*J28)</f>
        <v/>
      </c>
      <c r="Q28" s="7" t="n">
        <v>0.0125</v>
      </c>
      <c r="R28" s="8" t="n">
        <v>14.706089</v>
      </c>
      <c r="S28" s="4" t="inlineStr">
        <is>
          <t>ASIA_TOP</t>
        </is>
      </c>
      <c r="T28" s="9" t="inlineStr">
        <is>
          <t>SI</t>
        </is>
      </c>
      <c r="U28" s="9" t="inlineStr"/>
      <c r="V28" s="10">
        <f>Umbrales!$B$9*(K28/1000)^Umbrales!$B$10</f>
        <v/>
      </c>
    </row>
    <row r="29">
      <c r="A29" s="4" t="inlineStr">
        <is>
          <t>CSCO</t>
        </is>
      </c>
      <c r="B29" s="4" t="inlineStr">
        <is>
          <t>Cisco Systems, Inc.</t>
        </is>
      </c>
      <c r="C29" s="4" t="inlineStr">
        <is>
          <t>United States</t>
        </is>
      </c>
      <c r="D29" s="4" t="inlineStr">
        <is>
          <t>US</t>
        </is>
      </c>
      <c r="E29" s="4" t="inlineStr">
        <is>
          <t>Tecnología</t>
        </is>
      </c>
      <c r="F29" s="4" t="inlineStr">
        <is>
          <t>Communication Equipment</t>
        </is>
      </c>
      <c r="G29" s="4" t="inlineStr">
        <is>
          <t>NMS</t>
        </is>
      </c>
      <c r="H29" s="4" t="inlineStr">
        <is>
          <t>USD</t>
        </is>
      </c>
      <c r="I29" s="5" t="n">
        <v>448035.586048</v>
      </c>
      <c r="J29" s="6">
        <f>INDEX(FX!$B:$B,MATCH(H29,FX!$A:$A,0))</f>
        <v/>
      </c>
      <c r="K29" s="5">
        <f>I29*J29</f>
        <v/>
      </c>
      <c r="L29" s="4">
        <f>IF(U29&lt;&gt;"",U29,IF(K29&gt;=Umbrales!$B$2,"Legendaria",IF(K29&gt;=Umbrales!$B$3,"Épica",IF(K29&gt;=Umbrales!$B$4,"Rara",IF(K29&gt;=Umbrales!$B$5,"Poco común","Común")))))</f>
        <v/>
      </c>
      <c r="M29" s="5" t="n">
        <v>63324.99968</v>
      </c>
      <c r="N29" s="5" t="n">
        <v>13267.00032</v>
      </c>
      <c r="O29" s="5">
        <f>IF(M29="","",M29*J29)</f>
        <v/>
      </c>
      <c r="P29" s="5">
        <f>IF(N29="","",N29*J29)</f>
        <v/>
      </c>
      <c r="Q29" s="7" t="n">
        <v>0.0146</v>
      </c>
      <c r="R29" s="8" t="n">
        <v>34.541035</v>
      </c>
      <c r="S29" s="4" t="inlineStr">
        <is>
          <t>DOW30, NASDAQ100</t>
        </is>
      </c>
      <c r="T29" s="9" t="inlineStr">
        <is>
          <t>SI</t>
        </is>
      </c>
      <c r="U29" s="9" t="inlineStr"/>
      <c r="V29" s="10">
        <f>Umbrales!$B$9*(K29/1000)^Umbrales!$B$10</f>
        <v/>
      </c>
    </row>
    <row r="30">
      <c r="A30" s="4" t="inlineStr">
        <is>
          <t>CVX</t>
        </is>
      </c>
      <c r="B30" s="4" t="inlineStr">
        <is>
          <t>Chevron Corporation</t>
        </is>
      </c>
      <c r="C30" s="4" t="inlineStr">
        <is>
          <t>United States</t>
        </is>
      </c>
      <c r="D30" s="4" t="inlineStr">
        <is>
          <t>US</t>
        </is>
      </c>
      <c r="E30" s="4" t="inlineStr">
        <is>
          <t>Energía</t>
        </is>
      </c>
      <c r="F30" s="4" t="inlineStr">
        <is>
          <t>Oil &amp; Gas Integrated</t>
        </is>
      </c>
      <c r="G30" s="4" t="inlineStr">
        <is>
          <t>NYQ</t>
        </is>
      </c>
      <c r="H30" s="4" t="inlineStr">
        <is>
          <t>USD</t>
        </is>
      </c>
      <c r="I30" s="5" t="n">
        <v>435554.38592</v>
      </c>
      <c r="J30" s="6">
        <f>INDEX(FX!$B:$B,MATCH(H30,FX!$A:$A,0))</f>
        <v/>
      </c>
      <c r="K30" s="5">
        <f>I30*J30</f>
        <v/>
      </c>
      <c r="L30" s="4">
        <f>IF(U30&lt;&gt;"",U30,IF(K30&gt;=Umbrales!$B$2,"Legendaria",IF(K30&gt;=Umbrales!$B$3,"Épica",IF(K30&gt;=Umbrales!$B$4,"Rara",IF(K30&gt;=Umbrales!$B$5,"Poco común","Común")))))</f>
        <v/>
      </c>
      <c r="M30" s="5" t="n">
        <v>209383.99744</v>
      </c>
      <c r="N30" s="5" t="n">
        <v>20590.999552</v>
      </c>
      <c r="O30" s="5">
        <f>IF(M30="","",M30*J30)</f>
        <v/>
      </c>
      <c r="P30" s="5">
        <f>IF(N30="","",N30*J30)</f>
        <v/>
      </c>
      <c r="Q30" s="7" t="n">
        <v>0.0327</v>
      </c>
      <c r="R30" s="8" t="n">
        <v>21.370546</v>
      </c>
      <c r="S30" s="4" t="inlineStr">
        <is>
          <t>DOW30</t>
        </is>
      </c>
      <c r="T30" s="9" t="inlineStr">
        <is>
          <t>SI</t>
        </is>
      </c>
      <c r="U30" s="9" t="inlineStr"/>
      <c r="V30" s="10">
        <f>Umbrales!$B$9*(K30/1000)^Umbrales!$B$10</f>
        <v/>
      </c>
    </row>
    <row r="31">
      <c r="A31" s="4" t="inlineStr">
        <is>
          <t>COST</t>
        </is>
      </c>
      <c r="B31" s="4" t="inlineStr">
        <is>
          <t>Costco Wholesale Corporation</t>
        </is>
      </c>
      <c r="C31" s="4" t="inlineStr">
        <is>
          <t>United States</t>
        </is>
      </c>
      <c r="D31" s="4" t="inlineStr">
        <is>
          <t>US</t>
        </is>
      </c>
      <c r="E31" s="4" t="inlineStr">
        <is>
          <t>Consumo básico</t>
        </is>
      </c>
      <c r="F31" s="4" t="inlineStr">
        <is>
          <t>Discount Stores</t>
        </is>
      </c>
      <c r="G31" s="4" t="inlineStr">
        <is>
          <t>NMS</t>
        </is>
      </c>
      <c r="H31" s="4" t="inlineStr">
        <is>
          <t>USD</t>
        </is>
      </c>
      <c r="I31" s="5" t="n">
        <v>435153.010688</v>
      </c>
      <c r="J31" s="6">
        <f>INDEX(FX!$B:$B,MATCH(H31,FX!$A:$A,0))</f>
        <v/>
      </c>
      <c r="K31" s="5">
        <f>I31*J31</f>
        <v/>
      </c>
      <c r="L31" s="4">
        <f>IF(U31&lt;&gt;"",U31,IF(K31&gt;=Umbrales!$B$2,"Legendaria",IF(K31&gt;=Umbrales!$B$3,"Épica",IF(K31&gt;=Umbrales!$B$4,"Rara",IF(K31&gt;=Umbrales!$B$5,"Poco común","Común")))))</f>
        <v/>
      </c>
      <c r="M31" s="5" t="n">
        <v>303154.003968</v>
      </c>
      <c r="N31" s="5" t="n">
        <v>9226.000384000001</v>
      </c>
      <c r="O31" s="5">
        <f>IF(M31="","",M31*J31)</f>
        <v/>
      </c>
      <c r="P31" s="5">
        <f>IF(N31="","",N31*J31)</f>
        <v/>
      </c>
      <c r="Q31" s="7" t="n">
        <v>0.0062</v>
      </c>
      <c r="R31" s="8" t="n">
        <v>47.302505</v>
      </c>
      <c r="S31" s="4" t="inlineStr">
        <is>
          <t>NASDAQ100</t>
        </is>
      </c>
      <c r="T31" s="9" t="inlineStr">
        <is>
          <t>SI</t>
        </is>
      </c>
      <c r="U31" s="9" t="inlineStr"/>
      <c r="V31" s="10">
        <f>Umbrales!$B$9*(K31/1000)^Umbrales!$B$10</f>
        <v/>
      </c>
    </row>
    <row r="32">
      <c r="A32" s="4" t="inlineStr">
        <is>
          <t>ORCL</t>
        </is>
      </c>
      <c r="B32" s="4" t="inlineStr">
        <is>
          <t>Oracle Corporation</t>
        </is>
      </c>
      <c r="C32" s="4" t="inlineStr">
        <is>
          <t>United States</t>
        </is>
      </c>
      <c r="D32" s="4" t="inlineStr">
        <is>
          <t>US</t>
        </is>
      </c>
      <c r="E32" s="4" t="inlineStr">
        <is>
          <t>Tecnología</t>
        </is>
      </c>
      <c r="F32" s="4" t="inlineStr">
        <is>
          <t>Software - Infrastructure</t>
        </is>
      </c>
      <c r="G32" s="4" t="inlineStr">
        <is>
          <t>NYQ</t>
        </is>
      </c>
      <c r="H32" s="4" t="inlineStr">
        <is>
          <t>USD</t>
        </is>
      </c>
      <c r="I32" s="5" t="n">
        <v>395762.466816</v>
      </c>
      <c r="J32" s="6">
        <f>INDEX(FX!$B:$B,MATCH(H32,FX!$A:$A,0))</f>
        <v/>
      </c>
      <c r="K32" s="5">
        <f>I32*J32</f>
        <v/>
      </c>
      <c r="L32" s="4">
        <f>IF(U32&lt;&gt;"",U32,IF(K32&gt;=Umbrales!$B$2,"Legendaria",IF(K32&gt;=Umbrales!$B$3,"Épica",IF(K32&gt;=Umbrales!$B$4,"Rara",IF(K32&gt;=Umbrales!$B$5,"Poco común","Común")))))</f>
        <v/>
      </c>
      <c r="M32" s="5" t="n">
        <v>71776.00204799999</v>
      </c>
      <c r="N32" s="5" t="n">
        <v>18736.001024</v>
      </c>
      <c r="O32" s="5">
        <f>IF(M32="","",M32*J32)</f>
        <v/>
      </c>
      <c r="P32" s="5">
        <f>IF(N32="","",N32*J32)</f>
        <v/>
      </c>
      <c r="Q32" s="7" t="n">
        <v>0.014</v>
      </c>
      <c r="R32" s="8" t="n">
        <v>22.43127</v>
      </c>
      <c r="S32" s="4" t="inlineStr"/>
      <c r="T32" s="9" t="inlineStr">
        <is>
          <t>SI</t>
        </is>
      </c>
      <c r="U32" s="9" t="inlineStr"/>
      <c r="V32" s="10">
        <f>Umbrales!$B$9*(K32/1000)^Umbrales!$B$10</f>
        <v/>
      </c>
    </row>
    <row r="33">
      <c r="A33" s="4" t="inlineStr">
        <is>
          <t>KO</t>
        </is>
      </c>
      <c r="B33" s="4" t="inlineStr">
        <is>
          <t>The Coca-Cola Company</t>
        </is>
      </c>
      <c r="C33" s="4" t="inlineStr">
        <is>
          <t>United States</t>
        </is>
      </c>
      <c r="D33" s="4" t="inlineStr">
        <is>
          <t>US</t>
        </is>
      </c>
      <c r="E33" s="4" t="inlineStr">
        <is>
          <t>Consumo básico</t>
        </is>
      </c>
      <c r="F33" s="4" t="inlineStr">
        <is>
          <t>Beverages - Non-Alcoholic</t>
        </is>
      </c>
      <c r="G33" s="4" t="inlineStr">
        <is>
          <t>NYQ</t>
        </is>
      </c>
      <c r="H33" s="4" t="inlineStr">
        <is>
          <t>USD</t>
        </is>
      </c>
      <c r="I33" s="5" t="n">
        <v>394887.954432</v>
      </c>
      <c r="J33" s="6">
        <f>INDEX(FX!$B:$B,MATCH(H33,FX!$A:$A,0))</f>
        <v/>
      </c>
      <c r="K33" s="5">
        <f>I33*J33</f>
        <v/>
      </c>
      <c r="L33" s="4">
        <f>IF(U33&lt;&gt;"",U33,IF(K33&gt;=Umbrales!$B$2,"Legendaria",IF(K33&gt;=Umbrales!$B$3,"Épica",IF(K33&gt;=Umbrales!$B$4,"Rara",IF(K33&gt;=Umbrales!$B$5,"Poco común","Común")))))</f>
        <v/>
      </c>
      <c r="M33" s="5" t="n">
        <v>50128.9984</v>
      </c>
      <c r="N33" s="5" t="n">
        <v>14316.000256</v>
      </c>
      <c r="O33" s="5">
        <f>IF(M33="","",M33*J33)</f>
        <v/>
      </c>
      <c r="P33" s="5">
        <f>IF(N33="","",N33*J33)</f>
        <v/>
      </c>
      <c r="Q33" s="7" t="n">
        <v>0.0235</v>
      </c>
      <c r="R33" s="8" t="n">
        <v>27.561562</v>
      </c>
      <c r="S33" s="4" t="inlineStr">
        <is>
          <t>DOW30</t>
        </is>
      </c>
      <c r="T33" s="9" t="inlineStr">
        <is>
          <t>SI</t>
        </is>
      </c>
      <c r="U33" s="9" t="inlineStr"/>
      <c r="V33" s="10">
        <f>Umbrales!$B$9*(K33/1000)^Umbrales!$B$10</f>
        <v/>
      </c>
    </row>
    <row r="34">
      <c r="A34" s="4" t="inlineStr">
        <is>
          <t>PG</t>
        </is>
      </c>
      <c r="B34" s="4" t="inlineStr">
        <is>
          <t>The Procter &amp; Gamble Company</t>
        </is>
      </c>
      <c r="C34" s="4" t="inlineStr">
        <is>
          <t>United States</t>
        </is>
      </c>
      <c r="D34" s="4" t="inlineStr">
        <is>
          <t>US</t>
        </is>
      </c>
      <c r="E34" s="4" t="inlineStr">
        <is>
          <t>Consumo básico</t>
        </is>
      </c>
      <c r="F34" s="4" t="inlineStr">
        <is>
          <t>Household &amp; Personal Products</t>
        </is>
      </c>
      <c r="G34" s="4" t="inlineStr">
        <is>
          <t>NYQ</t>
        </is>
      </c>
      <c r="H34" s="4" t="inlineStr">
        <is>
          <t>USD</t>
        </is>
      </c>
      <c r="I34" s="5" t="n">
        <v>363843.518464</v>
      </c>
      <c r="J34" s="6">
        <f>INDEX(FX!$B:$B,MATCH(H34,FX!$A:$A,0))</f>
        <v/>
      </c>
      <c r="K34" s="5">
        <f>I34*J34</f>
        <v/>
      </c>
      <c r="L34" s="4">
        <f>IF(U34&lt;&gt;"",U34,IF(K34&gt;=Umbrales!$B$2,"Legendaria",IF(K34&gt;=Umbrales!$B$3,"Épica",IF(K34&gt;=Umbrales!$B$4,"Rara",IF(K34&gt;=Umbrales!$B$5,"Poco común","Común")))))</f>
        <v/>
      </c>
      <c r="M34" s="5" t="n">
        <v>87031.99641599999</v>
      </c>
      <c r="N34" s="5" t="n">
        <v>15754.000384</v>
      </c>
      <c r="O34" s="5">
        <f>IF(M34="","",M34*J34)</f>
        <v/>
      </c>
      <c r="P34" s="5">
        <f>IF(N34="","",N34*J34)</f>
        <v/>
      </c>
      <c r="Q34" s="7" t="n">
        <v>0.0284</v>
      </c>
      <c r="R34" s="8" t="n">
        <v>23.121122</v>
      </c>
      <c r="S34" s="4" t="inlineStr">
        <is>
          <t>DOW30</t>
        </is>
      </c>
      <c r="T34" s="9" t="inlineStr">
        <is>
          <t>SI</t>
        </is>
      </c>
      <c r="U34" s="9" t="inlineStr"/>
      <c r="V34" s="10">
        <f>Umbrales!$B$9*(K34/1000)^Umbrales!$B$10</f>
        <v/>
      </c>
    </row>
    <row r="35">
      <c r="A35" s="4" t="inlineStr">
        <is>
          <t>MRK</t>
        </is>
      </c>
      <c r="B35" s="4" t="inlineStr">
        <is>
          <t>Merck &amp; Co., Inc.</t>
        </is>
      </c>
      <c r="C35" s="4" t="inlineStr">
        <is>
          <t>United States</t>
        </is>
      </c>
      <c r="D35" s="4" t="inlineStr">
        <is>
          <t>US</t>
        </is>
      </c>
      <c r="E35" s="4" t="inlineStr">
        <is>
          <t>Salud</t>
        </is>
      </c>
      <c r="F35" s="4" t="inlineStr">
        <is>
          <t>Drug Manufacturers - General</t>
        </is>
      </c>
      <c r="G35" s="4" t="inlineStr">
        <is>
          <t>NYQ</t>
        </is>
      </c>
      <c r="H35" s="4" t="inlineStr">
        <is>
          <t>USD</t>
        </is>
      </c>
      <c r="I35" s="5" t="n">
        <v>363587.076096</v>
      </c>
      <c r="J35" s="6">
        <f>INDEX(FX!$B:$B,MATCH(H35,FX!$A:$A,0))</f>
        <v/>
      </c>
      <c r="K35" s="5">
        <f>I35*J35</f>
        <v/>
      </c>
      <c r="L35" s="4">
        <f>IF(U35&lt;&gt;"",U35,IF(K35&gt;=Umbrales!$B$2,"Legendaria",IF(K35&gt;=Umbrales!$B$3,"Épica",IF(K35&gt;=Umbrales!$B$4,"Rara",IF(K35&gt;=Umbrales!$B$5,"Poco común","Común")))))</f>
        <v/>
      </c>
      <c r="M35" s="5" t="n">
        <v>66568.998912</v>
      </c>
      <c r="N35" s="5" t="n">
        <v>3172.999936</v>
      </c>
      <c r="O35" s="5">
        <f>IF(M35="","",M35*J35)</f>
        <v/>
      </c>
      <c r="P35" s="5">
        <f>IF(N35="","",N35*J35)</f>
        <v/>
      </c>
      <c r="Q35" s="7" t="n">
        <v>0.0239</v>
      </c>
      <c r="R35" s="8" t="n">
        <v>116.96031</v>
      </c>
      <c r="S35" s="4" t="inlineStr">
        <is>
          <t>DOW30</t>
        </is>
      </c>
      <c r="T35" s="9" t="inlineStr">
        <is>
          <t>SI</t>
        </is>
      </c>
      <c r="U35" s="9" t="inlineStr"/>
      <c r="V35" s="10">
        <f>Umbrales!$B$9*(K35/1000)^Umbrales!$B$10</f>
        <v/>
      </c>
    </row>
    <row r="36">
      <c r="A36" s="4" t="inlineStr">
        <is>
          <t>BAC</t>
        </is>
      </c>
      <c r="B36" s="4" t="inlineStr">
        <is>
          <t>Bank of America Corporation</t>
        </is>
      </c>
      <c r="C36" s="4" t="inlineStr">
        <is>
          <t>United States</t>
        </is>
      </c>
      <c r="D36" s="4" t="inlineStr">
        <is>
          <t>US</t>
        </is>
      </c>
      <c r="E36" s="4" t="inlineStr">
        <is>
          <t>Finanzas</t>
        </is>
      </c>
      <c r="F36" s="4" t="inlineStr">
        <is>
          <t>Banks - Diversified</t>
        </is>
      </c>
      <c r="G36" s="4" t="inlineStr">
        <is>
          <t>NYQ</t>
        </is>
      </c>
      <c r="H36" s="4" t="inlineStr">
        <is>
          <t>USD</t>
        </is>
      </c>
      <c r="I36" s="5" t="n">
        <v>359357.349888</v>
      </c>
      <c r="J36" s="6">
        <f>INDEX(FX!$B:$B,MATCH(H36,FX!$A:$A,0))</f>
        <v/>
      </c>
      <c r="K36" s="5">
        <f>I36*J36</f>
        <v/>
      </c>
      <c r="L36" s="4">
        <f>IF(U36&lt;&gt;"",U36,IF(K36&gt;=Umbrales!$B$2,"Legendaria",IF(K36&gt;=Umbrales!$B$3,"Épica",IF(K36&gt;=Umbrales!$B$4,"Rara",IF(K36&gt;=Umbrales!$B$5,"Poco común","Común")))))</f>
        <v/>
      </c>
      <c r="M36" s="5" t="n">
        <v>113931.001856</v>
      </c>
      <c r="N36" s="5" t="n">
        <v>32124.99968</v>
      </c>
      <c r="O36" s="5">
        <f>IF(M36="","",M36*J36)</f>
        <v/>
      </c>
      <c r="P36" s="5">
        <f>IF(N36="","",N36*J36)</f>
        <v/>
      </c>
      <c r="Q36" s="7" t="n">
        <v>0.0237</v>
      </c>
      <c r="R36" s="8" t="n">
        <v>12.473301</v>
      </c>
      <c r="S36" s="4" t="inlineStr"/>
      <c r="T36" s="9" t="inlineStr">
        <is>
          <t>SI</t>
        </is>
      </c>
      <c r="U36" s="9" t="inlineStr"/>
      <c r="V36" s="10">
        <f>Umbrales!$B$9*(K36/1000)^Umbrales!$B$10</f>
        <v/>
      </c>
    </row>
    <row r="37">
      <c r="A37" s="4" t="inlineStr">
        <is>
          <t>LRCX</t>
        </is>
      </c>
      <c r="B37" s="4" t="inlineStr">
        <is>
          <t>Lam Research Corporation</t>
        </is>
      </c>
      <c r="C37" s="4" t="inlineStr">
        <is>
          <t>United States</t>
        </is>
      </c>
      <c r="D37" s="4" t="inlineStr">
        <is>
          <t>US</t>
        </is>
      </c>
      <c r="E37" s="4" t="inlineStr">
        <is>
          <t>Tecnología</t>
        </is>
      </c>
      <c r="F37" s="4" t="inlineStr">
        <is>
          <t>Semiconductor Equipment &amp; Materials</t>
        </is>
      </c>
      <c r="G37" s="4" t="inlineStr">
        <is>
          <t>NMS</t>
        </is>
      </c>
      <c r="H37" s="4" t="inlineStr">
        <is>
          <t>USD</t>
        </is>
      </c>
      <c r="I37" s="5" t="n">
        <v>359058.702336</v>
      </c>
      <c r="J37" s="6">
        <f>INDEX(FX!$B:$B,MATCH(H37,FX!$A:$A,0))</f>
        <v/>
      </c>
      <c r="K37" s="5">
        <f>I37*J37</f>
        <v/>
      </c>
      <c r="L37" s="4">
        <f>IF(U37&lt;&gt;"",U37,IF(K37&gt;=Umbrales!$B$2,"Legendaria",IF(K37&gt;=Umbrales!$B$3,"Épica",IF(K37&gt;=Umbrales!$B$4,"Rara",IF(K37&gt;=Umbrales!$B$5,"Poco común","Común")))))</f>
        <v/>
      </c>
      <c r="M37" s="5" t="n">
        <v>23232.690176</v>
      </c>
      <c r="N37" s="5" t="n">
        <v>7265.396224</v>
      </c>
      <c r="O37" s="5">
        <f>IF(M37="","",M37*J37)</f>
        <v/>
      </c>
      <c r="P37" s="5">
        <f>IF(N37="","",N37*J37)</f>
        <v/>
      </c>
      <c r="Q37" s="7" t="n">
        <v>0.0044</v>
      </c>
      <c r="R37" s="8" t="n">
        <v>49.8125</v>
      </c>
      <c r="S37" s="4" t="inlineStr">
        <is>
          <t>NASDAQ100</t>
        </is>
      </c>
      <c r="T37" s="9" t="inlineStr">
        <is>
          <t>SI</t>
        </is>
      </c>
      <c r="U37" s="9" t="inlineStr"/>
      <c r="V37" s="10">
        <f>Umbrales!$B$9*(K37/1000)^Umbrales!$B$10</f>
        <v/>
      </c>
    </row>
    <row r="38">
      <c r="A38" s="4" t="inlineStr">
        <is>
          <t>UNH</t>
        </is>
      </c>
      <c r="B38" s="4" t="inlineStr">
        <is>
          <t>UnitedHealth Group Incorporated</t>
        </is>
      </c>
      <c r="C38" s="4" t="inlineStr">
        <is>
          <t>United States</t>
        </is>
      </c>
      <c r="D38" s="4" t="inlineStr">
        <is>
          <t>US</t>
        </is>
      </c>
      <c r="E38" s="4" t="inlineStr">
        <is>
          <t>Salud</t>
        </is>
      </c>
      <c r="F38" s="4" t="inlineStr">
        <is>
          <t>Healthcare Plans</t>
        </is>
      </c>
      <c r="G38" s="4" t="inlineStr">
        <is>
          <t>NYQ</t>
        </is>
      </c>
      <c r="H38" s="4" t="inlineStr">
        <is>
          <t>USD</t>
        </is>
      </c>
      <c r="I38" s="5" t="n">
        <v>355106.455552</v>
      </c>
      <c r="J38" s="6">
        <f>INDEX(FX!$B:$B,MATCH(H38,FX!$A:$A,0))</f>
        <v/>
      </c>
      <c r="K38" s="5">
        <f>I38*J38</f>
        <v/>
      </c>
      <c r="L38" s="4">
        <f>IF(U38&lt;&gt;"",U38,IF(K38&gt;=Umbrales!$B$2,"Legendaria",IF(K38&gt;=Umbrales!$B$3,"Épica",IF(K38&gt;=Umbrales!$B$4,"Rara",IF(K38&gt;=Umbrales!$B$5,"Poco común","Común")))))</f>
        <v/>
      </c>
      <c r="M38" s="5" t="n">
        <v>450059.010048</v>
      </c>
      <c r="N38" s="5" t="n">
        <v>15884.000256</v>
      </c>
      <c r="O38" s="5">
        <f>IF(M38="","",M38*J38)</f>
        <v/>
      </c>
      <c r="P38" s="5">
        <f>IF(N38="","",N38*J38)</f>
        <v/>
      </c>
      <c r="Q38" s="7" t="n">
        <v>0.0246</v>
      </c>
      <c r="R38" s="8" t="n">
        <v>24.286064</v>
      </c>
      <c r="S38" s="4" t="inlineStr">
        <is>
          <t>DOW30</t>
        </is>
      </c>
      <c r="T38" s="9" t="inlineStr">
        <is>
          <t>SI</t>
        </is>
      </c>
      <c r="U38" s="9" t="inlineStr"/>
      <c r="V38" s="10">
        <f>Umbrales!$B$9*(K38/1000)^Umbrales!$B$10</f>
        <v/>
      </c>
    </row>
    <row r="39">
      <c r="A39" s="4" t="inlineStr">
        <is>
          <t>AMAT</t>
        </is>
      </c>
      <c r="B39" s="4" t="inlineStr">
        <is>
          <t>Applied Materials, Inc.</t>
        </is>
      </c>
      <c r="C39" s="4" t="inlineStr">
        <is>
          <t>United States</t>
        </is>
      </c>
      <c r="D39" s="4" t="inlineStr">
        <is>
          <t>US</t>
        </is>
      </c>
      <c r="E39" s="4" t="inlineStr">
        <is>
          <t>Tecnología</t>
        </is>
      </c>
      <c r="F39" s="4" t="inlineStr">
        <is>
          <t>Semiconductor Equipment &amp; Materials</t>
        </is>
      </c>
      <c r="G39" s="4" t="inlineStr">
        <is>
          <t>NMS</t>
        </is>
      </c>
      <c r="H39" s="4" t="inlineStr">
        <is>
          <t>USD</t>
        </is>
      </c>
      <c r="I39" s="5" t="n">
        <v>354444.443648</v>
      </c>
      <c r="J39" s="6">
        <f>INDEX(FX!$B:$B,MATCH(H39,FX!$A:$A,0))</f>
        <v/>
      </c>
      <c r="K39" s="5">
        <f>I39*J39</f>
        <v/>
      </c>
      <c r="L39" s="4">
        <f>IF(U39&lt;&gt;"",U39,IF(K39&gt;=Umbrales!$B$2,"Legendaria",IF(K39&gt;=Umbrales!$B$3,"Épica",IF(K39&gt;=Umbrales!$B$4,"Rara",IF(K39&gt;=Umbrales!$B$5,"Poco común","Común")))))</f>
        <v/>
      </c>
      <c r="M39" s="5" t="n">
        <v>30837.000192</v>
      </c>
      <c r="N39" s="5" t="n">
        <v>9267.000319999999</v>
      </c>
      <c r="O39" s="5">
        <f>IF(M39="","",M39*J39)</f>
        <v/>
      </c>
      <c r="P39" s="5">
        <f>IF(N39="","",N39*J39)</f>
        <v/>
      </c>
      <c r="Q39" s="7" t="n">
        <v>0.0046</v>
      </c>
      <c r="R39" s="8" t="n">
        <v>40.056503</v>
      </c>
      <c r="S39" s="4" t="inlineStr">
        <is>
          <t>NASDAQ100</t>
        </is>
      </c>
      <c r="T39" s="9" t="inlineStr">
        <is>
          <t>SI</t>
        </is>
      </c>
      <c r="U39" s="9" t="inlineStr"/>
      <c r="V39" s="10">
        <f>Umbrales!$B$9*(K39/1000)^Umbrales!$B$10</f>
        <v/>
      </c>
    </row>
    <row r="40">
      <c r="A40" s="4" t="inlineStr">
        <is>
          <t>1398.HK</t>
        </is>
      </c>
      <c r="B40" s="4" t="inlineStr">
        <is>
          <t>Industrial and Commercial Bank of China Limited</t>
        </is>
      </c>
      <c r="C40" s="4" t="inlineStr">
        <is>
          <t>China</t>
        </is>
      </c>
      <c r="D40" s="4" t="inlineStr">
        <is>
          <t>CN</t>
        </is>
      </c>
      <c r="E40" s="4" t="inlineStr">
        <is>
          <t>Finanzas</t>
        </is>
      </c>
      <c r="F40" s="4" t="inlineStr">
        <is>
          <t>Banks - Diversified</t>
        </is>
      </c>
      <c r="G40" s="4" t="inlineStr">
        <is>
          <t>HKG</t>
        </is>
      </c>
      <c r="H40" s="4" t="inlineStr">
        <is>
          <t>HKD</t>
        </is>
      </c>
      <c r="I40" s="5" t="n">
        <v>2742546.333696</v>
      </c>
      <c r="J40" s="6">
        <f>INDEX(FX!$B:$B,MATCH(H40,FX!$A:$A,0))</f>
        <v/>
      </c>
      <c r="K40" s="5">
        <f>I40*J40</f>
        <v/>
      </c>
      <c r="L40" s="4">
        <f>IF(U40&lt;&gt;"",U40,IF(K40&gt;=Umbrales!$B$2,"Legendaria",IF(K40&gt;=Umbrales!$B$3,"Épica",IF(K40&gt;=Umbrales!$B$4,"Rara",IF(K40&gt;=Umbrales!$B$5,"Poco común","Común")))))</f>
        <v/>
      </c>
      <c r="M40" s="5" t="n">
        <v>682491.969536</v>
      </c>
      <c r="N40" s="5" t="n">
        <v>361632.006144</v>
      </c>
      <c r="O40" s="5">
        <f>IF(M40="","",M40*J40)</f>
        <v/>
      </c>
      <c r="P40" s="5">
        <f>IF(N40="","",N40*J40)</f>
        <v/>
      </c>
      <c r="Q40" s="7" t="n">
        <v>0.0491</v>
      </c>
      <c r="R40" s="8" t="n">
        <v>6.809735</v>
      </c>
      <c r="S40" s="4" t="inlineStr">
        <is>
          <t>ASIA_TOP</t>
        </is>
      </c>
      <c r="T40" s="9" t="inlineStr">
        <is>
          <t>SI</t>
        </is>
      </c>
      <c r="U40" s="9" t="inlineStr"/>
      <c r="V40" s="10">
        <f>Umbrales!$B$9*(K40/1000)^Umbrales!$B$10</f>
        <v/>
      </c>
    </row>
    <row r="41">
      <c r="A41" s="4" t="inlineStr">
        <is>
          <t>CAT</t>
        </is>
      </c>
      <c r="B41" s="4" t="inlineStr">
        <is>
          <t>Caterpillar Inc.</t>
        </is>
      </c>
      <c r="C41" s="4" t="inlineStr">
        <is>
          <t>United States</t>
        </is>
      </c>
      <c r="D41" s="4" t="inlineStr">
        <is>
          <t>US</t>
        </is>
      </c>
      <c r="E41" s="4" t="inlineStr">
        <is>
          <t>Industria</t>
        </is>
      </c>
      <c r="F41" s="4" t="inlineStr">
        <is>
          <t>Farm &amp; Heavy Construction Machinery</t>
        </is>
      </c>
      <c r="G41" s="4" t="inlineStr">
        <is>
          <t>NYQ</t>
        </is>
      </c>
      <c r="H41" s="4" t="inlineStr">
        <is>
          <t>USD</t>
        </is>
      </c>
      <c r="I41" s="5" t="n">
        <v>344287.281152</v>
      </c>
      <c r="J41" s="6">
        <f>INDEX(FX!$B:$B,MATCH(H41,FX!$A:$A,0))</f>
        <v/>
      </c>
      <c r="K41" s="5">
        <f>I41*J41</f>
        <v/>
      </c>
      <c r="L41" s="4">
        <f>IF(U41&lt;&gt;"",U41,IF(K41&gt;=Umbrales!$B$2,"Legendaria",IF(K41&gt;=Umbrales!$B$3,"Épica",IF(K41&gt;=Umbrales!$B$4,"Rara",IF(K41&gt;=Umbrales!$B$5,"Poco común","Común")))))</f>
        <v/>
      </c>
      <c r="M41" s="5" t="n">
        <v>74728.996864</v>
      </c>
      <c r="N41" s="5" t="n">
        <v>10844.000256</v>
      </c>
      <c r="O41" s="5">
        <f>IF(M41="","",M41*J41)</f>
        <v/>
      </c>
      <c r="P41" s="5">
        <f>IF(N41="","",N41*J41)</f>
        <v/>
      </c>
      <c r="Q41" s="7" t="n">
        <v>0.008399999999999999</v>
      </c>
      <c r="R41" s="8" t="n">
        <v>33.273212</v>
      </c>
      <c r="S41" s="4" t="inlineStr">
        <is>
          <t>DOW30</t>
        </is>
      </c>
      <c r="T41" s="9" t="inlineStr">
        <is>
          <t>SI</t>
        </is>
      </c>
      <c r="U41" s="9" t="inlineStr"/>
      <c r="V41" s="10">
        <f>Umbrales!$B$9*(K41/1000)^Umbrales!$B$10</f>
        <v/>
      </c>
    </row>
    <row r="42">
      <c r="A42" s="4" t="inlineStr">
        <is>
          <t>DELL</t>
        </is>
      </c>
      <c r="B42" s="4" t="inlineStr">
        <is>
          <t>Dell Technologies Inc.</t>
        </is>
      </c>
      <c r="C42" s="4" t="inlineStr">
        <is>
          <t>United States</t>
        </is>
      </c>
      <c r="D42" s="4" t="inlineStr">
        <is>
          <t>US</t>
        </is>
      </c>
      <c r="E42" s="4" t="inlineStr">
        <is>
          <t>Tecnología</t>
        </is>
      </c>
      <c r="F42" s="4" t="inlineStr">
        <is>
          <t>Computer Hardware</t>
        </is>
      </c>
      <c r="G42" s="4" t="inlineStr">
        <is>
          <t>NYQ</t>
        </is>
      </c>
      <c r="H42" s="4" t="inlineStr">
        <is>
          <t>USD</t>
        </is>
      </c>
      <c r="I42" s="5" t="n">
        <v>322948.366336</v>
      </c>
      <c r="J42" s="6">
        <f>INDEX(FX!$B:$B,MATCH(H42,FX!$A:$A,0))</f>
        <v/>
      </c>
      <c r="K42" s="5">
        <f>I42*J42</f>
        <v/>
      </c>
      <c r="L42" s="4">
        <f>IF(U42&lt;&gt;"",U42,IF(K42&gt;=Umbrales!$B$2,"Legendaria",IF(K42&gt;=Umbrales!$B$3,"Épica",IF(K42&gt;=Umbrales!$B$4,"Rara",IF(K42&gt;=Umbrales!$B$5,"Poco común","Común")))))</f>
        <v/>
      </c>
      <c r="M42" s="5" t="n">
        <v>151197.007872</v>
      </c>
      <c r="N42" s="5" t="n">
        <v>11377.999872</v>
      </c>
      <c r="O42" s="5">
        <f>IF(M42="","",M42*J42)</f>
        <v/>
      </c>
      <c r="P42" s="5">
        <f>IF(N42="","",N42*J42)</f>
        <v/>
      </c>
      <c r="Q42" s="7" t="n">
        <v>0.0044</v>
      </c>
      <c r="R42" s="8" t="n">
        <v>29.530811</v>
      </c>
      <c r="S42" s="4" t="inlineStr"/>
      <c r="T42" s="9" t="inlineStr">
        <is>
          <t>SI</t>
        </is>
      </c>
      <c r="U42" s="9" t="inlineStr"/>
      <c r="V42" s="10">
        <f>Umbrales!$B$9*(K42/1000)^Umbrales!$B$10</f>
        <v/>
      </c>
    </row>
    <row r="43">
      <c r="A43" s="4" t="inlineStr">
        <is>
          <t>HSBA.L</t>
        </is>
      </c>
      <c r="B43" s="4" t="inlineStr">
        <is>
          <t>HSBC Holdings plc</t>
        </is>
      </c>
      <c r="C43" s="4" t="inlineStr">
        <is>
          <t>United Kingdom</t>
        </is>
      </c>
      <c r="D43" s="4" t="inlineStr">
        <is>
          <t>GB</t>
        </is>
      </c>
      <c r="E43" s="4" t="inlineStr">
        <is>
          <t>Finanzas</t>
        </is>
      </c>
      <c r="F43" s="4" t="inlineStr">
        <is>
          <t>Banks - Diversified</t>
        </is>
      </c>
      <c r="G43" s="4" t="inlineStr">
        <is>
          <t>LSE</t>
        </is>
      </c>
      <c r="H43" s="4" t="inlineStr">
        <is>
          <t>GBP</t>
        </is>
      </c>
      <c r="I43" s="5" t="n">
        <v>242443.026432</v>
      </c>
      <c r="J43" s="6">
        <f>INDEX(FX!$B:$B,MATCH(H43,FX!$A:$A,0))</f>
        <v/>
      </c>
      <c r="K43" s="5">
        <f>I43*J43</f>
        <v/>
      </c>
      <c r="L43" s="4">
        <f>IF(U43&lt;&gt;"",U43,IF(K43&gt;=Umbrales!$B$2,"Legendaria",IF(K43&gt;=Umbrales!$B$3,"Épica",IF(K43&gt;=Umbrales!$B$4,"Rara",IF(K43&gt;=Umbrales!$B$5,"Poco común","Común")))))</f>
        <v/>
      </c>
      <c r="M43" s="5" t="n">
        <v>67432.001536</v>
      </c>
      <c r="N43" s="5" t="n">
        <v>21102.000128</v>
      </c>
      <c r="O43" s="5">
        <f>IF(M43="","",M43*J43)</f>
        <v/>
      </c>
      <c r="P43" s="5">
        <f>IF(N43="","",N43*J43)</f>
        <v/>
      </c>
      <c r="Q43" s="7" t="n">
        <v>0.0389</v>
      </c>
      <c r="R43" s="8" t="n">
        <v>13.632693</v>
      </c>
      <c r="S43" s="4" t="inlineStr">
        <is>
          <t>UK_TOP</t>
        </is>
      </c>
      <c r="T43" s="9" t="inlineStr">
        <is>
          <t>SI</t>
        </is>
      </c>
      <c r="U43" s="9" t="inlineStr"/>
      <c r="V43" s="10">
        <f>Umbrales!$B$9*(K43/1000)^Umbrales!$B$10</f>
        <v/>
      </c>
    </row>
    <row r="44">
      <c r="A44" s="4" t="inlineStr">
        <is>
          <t>PM</t>
        </is>
      </c>
      <c r="B44" s="4" t="inlineStr">
        <is>
          <t>Philip Morris International Inc.</t>
        </is>
      </c>
      <c r="C44" s="4" t="inlineStr">
        <is>
          <t>United States</t>
        </is>
      </c>
      <c r="D44" s="4" t="inlineStr">
        <is>
          <t>US</t>
        </is>
      </c>
      <c r="E44" s="4" t="inlineStr">
        <is>
          <t>Consumo básico</t>
        </is>
      </c>
      <c r="F44" s="4" t="inlineStr">
        <is>
          <t>Tobacco</t>
        </is>
      </c>
      <c r="G44" s="4" t="inlineStr">
        <is>
          <t>NYQ</t>
        </is>
      </c>
      <c r="H44" s="4" t="inlineStr">
        <is>
          <t>USD</t>
        </is>
      </c>
      <c r="I44" s="5" t="n">
        <v>320419.725312</v>
      </c>
      <c r="J44" s="6">
        <f>INDEX(FX!$B:$B,MATCH(H44,FX!$A:$A,0))</f>
        <v/>
      </c>
      <c r="K44" s="5">
        <f>I44*J44</f>
        <v/>
      </c>
      <c r="L44" s="4">
        <f>IF(U44&lt;&gt;"",U44,IF(K44&gt;=Umbrales!$B$2,"Legendaria",IF(K44&gt;=Umbrales!$B$3,"Épica",IF(K44&gt;=Umbrales!$B$4,"Rara",IF(K44&gt;=Umbrales!$B$5,"Poco común","Común")))))</f>
        <v/>
      </c>
      <c r="M44" s="5" t="n">
        <v>42545.000448</v>
      </c>
      <c r="N44" s="5" t="n">
        <v>10844.000256</v>
      </c>
      <c r="O44" s="5">
        <f>IF(M44="","",M44*J44)</f>
        <v/>
      </c>
      <c r="P44" s="5">
        <f>IF(N44="","",N44*J44)</f>
        <v/>
      </c>
      <c r="Q44" s="7" t="n">
        <v>0.0321</v>
      </c>
      <c r="R44" s="8" t="n">
        <v>28.632313</v>
      </c>
      <c r="S44" s="4" t="inlineStr"/>
      <c r="T44" s="9" t="inlineStr">
        <is>
          <t>SI</t>
        </is>
      </c>
      <c r="U44" s="9" t="inlineStr"/>
      <c r="V44" s="10">
        <f>Umbrales!$B$9*(K44/1000)^Umbrales!$B$10</f>
        <v/>
      </c>
    </row>
    <row r="45">
      <c r="A45" s="4" t="inlineStr">
        <is>
          <t>GE</t>
        </is>
      </c>
      <c r="B45" s="4" t="inlineStr">
        <is>
          <t>GE Aerospace</t>
        </is>
      </c>
      <c r="C45" s="4" t="inlineStr">
        <is>
          <t>United States</t>
        </is>
      </c>
      <c r="D45" s="4" t="inlineStr">
        <is>
          <t>US</t>
        </is>
      </c>
      <c r="E45" s="4" t="inlineStr">
        <is>
          <t>Industria</t>
        </is>
      </c>
      <c r="F45" s="4" t="inlineStr">
        <is>
          <t>Aerospace &amp; Defense</t>
        </is>
      </c>
      <c r="G45" s="4" t="inlineStr">
        <is>
          <t>NYQ</t>
        </is>
      </c>
      <c r="H45" s="4" t="inlineStr">
        <is>
          <t>USD</t>
        </is>
      </c>
      <c r="I45" s="5" t="n">
        <v>318552.440832</v>
      </c>
      <c r="J45" s="6">
        <f>INDEX(FX!$B:$B,MATCH(H45,FX!$A:$A,0))</f>
        <v/>
      </c>
      <c r="K45" s="5">
        <f>I45*J45</f>
        <v/>
      </c>
      <c r="L45" s="4">
        <f>IF(U45&lt;&gt;"",U45,IF(K45&gt;=Umbrales!$B$2,"Legendaria",IF(K45&gt;=Umbrales!$B$3,"Épica",IF(K45&gt;=Umbrales!$B$4,"Rara",IF(K45&gt;=Umbrales!$B$5,"Poco común","Común")))))</f>
        <v/>
      </c>
      <c r="M45" s="5" t="n">
        <v>50638.999552</v>
      </c>
      <c r="N45" s="5" t="n">
        <v>8963.999744000001</v>
      </c>
      <c r="O45" s="5">
        <f>IF(M45="","",M45*J45)</f>
        <v/>
      </c>
      <c r="P45" s="5">
        <f>IF(N45="","",N45*J45)</f>
        <v/>
      </c>
      <c r="Q45" s="7" t="n">
        <v>0.0061</v>
      </c>
      <c r="R45" s="8" t="n">
        <v>36.29078</v>
      </c>
      <c r="S45" s="4" t="inlineStr"/>
      <c r="T45" s="9" t="inlineStr">
        <is>
          <t>SI</t>
        </is>
      </c>
      <c r="U45" s="9" t="inlineStr"/>
      <c r="V45" s="10">
        <f>Umbrales!$B$9*(K45/1000)^Umbrales!$B$10</f>
        <v/>
      </c>
    </row>
    <row r="46">
      <c r="A46" s="4" t="inlineStr">
        <is>
          <t>PANW</t>
        </is>
      </c>
      <c r="B46" s="4" t="inlineStr">
        <is>
          <t>Palo Alto Networks, Inc.</t>
        </is>
      </c>
      <c r="C46" s="4" t="inlineStr">
        <is>
          <t>United States</t>
        </is>
      </c>
      <c r="D46" s="4" t="inlineStr">
        <is>
          <t>US</t>
        </is>
      </c>
      <c r="E46" s="4" t="inlineStr">
        <is>
          <t>Tecnología</t>
        </is>
      </c>
      <c r="F46" s="4" t="inlineStr">
        <is>
          <t>Software - Infrastructure</t>
        </is>
      </c>
      <c r="G46" s="4" t="inlineStr">
        <is>
          <t>NMS</t>
        </is>
      </c>
      <c r="H46" s="4" t="inlineStr">
        <is>
          <t>USD</t>
        </is>
      </c>
      <c r="I46" s="5" t="n">
        <v>306782.732288</v>
      </c>
      <c r="J46" s="6">
        <f>INDEX(FX!$B:$B,MATCH(H46,FX!$A:$A,0))</f>
        <v/>
      </c>
      <c r="K46" s="5">
        <f>I46*J46</f>
        <v/>
      </c>
      <c r="L46" s="4">
        <f>IF(U46&lt;&gt;"",U46,IF(K46&gt;=Umbrales!$B$2,"Legendaria",IF(K46&gt;=Umbrales!$B$3,"Épica",IF(K46&gt;=Umbrales!$B$4,"Rara",IF(K46&gt;=Umbrales!$B$5,"Poco común","Común")))))</f>
        <v/>
      </c>
      <c r="M46" s="5" t="n">
        <v>11480.000512</v>
      </c>
      <c r="N46" s="5" t="n">
        <v>307</v>
      </c>
      <c r="O46" s="5">
        <f>IF(M46="","",M46*J46)</f>
        <v/>
      </c>
      <c r="P46" s="5">
        <f>IF(N46="","",N46*J46)</f>
        <v/>
      </c>
      <c r="Q46" s="7" t="n">
        <v>0</v>
      </c>
      <c r="R46" s="8" t="n">
        <v>986.9474</v>
      </c>
      <c r="S46" s="4" t="inlineStr">
        <is>
          <t>NASDAQ100</t>
        </is>
      </c>
      <c r="T46" s="9" t="inlineStr">
        <is>
          <t>SI</t>
        </is>
      </c>
      <c r="U46" s="9" t="inlineStr"/>
      <c r="V46" s="10">
        <f>Umbrales!$B$9*(K46/1000)^Umbrales!$B$10</f>
        <v/>
      </c>
    </row>
    <row r="47">
      <c r="A47" s="4" t="inlineStr">
        <is>
          <t>HD</t>
        </is>
      </c>
      <c r="B47" s="4" t="inlineStr">
        <is>
          <t>The Home Depot, Inc.</t>
        </is>
      </c>
      <c r="C47" s="4" t="inlineStr">
        <is>
          <t>United States</t>
        </is>
      </c>
      <c r="D47" s="4" t="inlineStr">
        <is>
          <t>US</t>
        </is>
      </c>
      <c r="E47" s="4" t="inlineStr">
        <is>
          <t>Consumo cíclico</t>
        </is>
      </c>
      <c r="F47" s="4" t="inlineStr">
        <is>
          <t>Home Improvement Retail</t>
        </is>
      </c>
      <c r="G47" s="4" t="inlineStr">
        <is>
          <t>NYQ</t>
        </is>
      </c>
      <c r="H47" s="4" t="inlineStr">
        <is>
          <t>USD</t>
        </is>
      </c>
      <c r="I47" s="5" t="n">
        <v>294827.261952</v>
      </c>
      <c r="J47" s="6">
        <f>INDEX(FX!$B:$B,MATCH(H47,FX!$A:$A,0))</f>
        <v/>
      </c>
      <c r="K47" s="5">
        <f>I47*J47</f>
        <v/>
      </c>
      <c r="L47" s="4">
        <f>IF(U47&lt;&gt;"",U47,IF(K47&gt;=Umbrales!$B$2,"Legendaria",IF(K47&gt;=Umbrales!$B$3,"Épica",IF(K47&gt;=Umbrales!$B$4,"Rara",IF(K47&gt;=Umbrales!$B$5,"Poco común","Común")))))</f>
        <v/>
      </c>
      <c r="M47" s="5" t="n">
        <v>169176.006656</v>
      </c>
      <c r="N47" s="5" t="n">
        <v>14227.00032</v>
      </c>
      <c r="O47" s="5">
        <f>IF(M47="","",M47*J47)</f>
        <v/>
      </c>
      <c r="P47" s="5">
        <f>IF(N47="","",N47*J47)</f>
        <v/>
      </c>
      <c r="Q47" s="7" t="n">
        <v>0.0317</v>
      </c>
      <c r="R47" s="8" t="n">
        <v>20.679497</v>
      </c>
      <c r="S47" s="4" t="inlineStr">
        <is>
          <t>DOW30</t>
        </is>
      </c>
      <c r="T47" s="9" t="inlineStr">
        <is>
          <t>SI</t>
        </is>
      </c>
      <c r="U47" s="9" t="inlineStr"/>
      <c r="V47" s="10">
        <f>Umbrales!$B$9*(K47/1000)^Umbrales!$B$10</f>
        <v/>
      </c>
    </row>
    <row r="48">
      <c r="A48" s="4" t="inlineStr">
        <is>
          <t>SHEL.L</t>
        </is>
      </c>
      <c r="B48" s="4" t="inlineStr">
        <is>
          <t>Shell plc</t>
        </is>
      </c>
      <c r="C48" s="4" t="inlineStr">
        <is>
          <t>United Kingdom</t>
        </is>
      </c>
      <c r="D48" s="4" t="inlineStr">
        <is>
          <t>GB</t>
        </is>
      </c>
      <c r="E48" s="4" t="inlineStr">
        <is>
          <t>Energía</t>
        </is>
      </c>
      <c r="F48" s="4" t="inlineStr">
        <is>
          <t>Oil &amp; Gas Integrated</t>
        </is>
      </c>
      <c r="G48" s="4" t="inlineStr">
        <is>
          <t>LSE</t>
        </is>
      </c>
      <c r="H48" s="4" t="inlineStr">
        <is>
          <t>GBP</t>
        </is>
      </c>
      <c r="I48" s="5" t="n">
        <v>222007.934976</v>
      </c>
      <c r="J48" s="6">
        <f>INDEX(FX!$B:$B,MATCH(H48,FX!$A:$A,0))</f>
        <v/>
      </c>
      <c r="K48" s="5">
        <f>I48*J48</f>
        <v/>
      </c>
      <c r="L48" s="4">
        <f>IF(U48&lt;&gt;"",U48,IF(K48&gt;=Umbrales!$B$2,"Legendaria",IF(K48&gt;=Umbrales!$B$3,"Épica",IF(K48&gt;=Umbrales!$B$4,"Rara",IF(K48&gt;=Umbrales!$B$5,"Poco común","Común")))))</f>
        <v/>
      </c>
      <c r="M48" s="5" t="n">
        <v>296600.993792</v>
      </c>
      <c r="N48" s="5" t="n">
        <v>25970.999296</v>
      </c>
      <c r="O48" s="5">
        <f>IF(M48="","",M48*J48)</f>
        <v/>
      </c>
      <c r="P48" s="5">
        <f>IF(N48="","",N48*J48)</f>
        <v/>
      </c>
      <c r="Q48" s="7" t="n">
        <v>0.0299</v>
      </c>
      <c r="R48" s="8" t="n">
        <v>11.545858</v>
      </c>
      <c r="S48" s="4" t="inlineStr">
        <is>
          <t>UK_TOP</t>
        </is>
      </c>
      <c r="T48" s="9" t="inlineStr">
        <is>
          <t>SI</t>
        </is>
      </c>
      <c r="U48" s="9" t="inlineStr"/>
      <c r="V48" s="10">
        <f>Umbrales!$B$9*(K48/1000)^Umbrales!$B$10</f>
        <v/>
      </c>
    </row>
    <row r="49">
      <c r="A49" s="4" t="inlineStr">
        <is>
          <t>NFLX</t>
        </is>
      </c>
      <c r="B49" s="4" t="inlineStr">
        <is>
          <t>Netflix, Inc.</t>
        </is>
      </c>
      <c r="C49" s="4" t="inlineStr">
        <is>
          <t>United States</t>
        </is>
      </c>
      <c r="D49" s="4" t="inlineStr">
        <is>
          <t>US</t>
        </is>
      </c>
      <c r="E49" s="4" t="inlineStr">
        <is>
          <t>Comunicación</t>
        </is>
      </c>
      <c r="F49" s="4" t="inlineStr">
        <is>
          <t>Entertainment</t>
        </is>
      </c>
      <c r="G49" s="4" t="inlineStr">
        <is>
          <t>NMS</t>
        </is>
      </c>
      <c r="H49" s="4" t="inlineStr">
        <is>
          <t>USD</t>
        </is>
      </c>
      <c r="I49" s="5" t="n">
        <v>293849.202688</v>
      </c>
      <c r="J49" s="6">
        <f>INDEX(FX!$B:$B,MATCH(H49,FX!$A:$A,0))</f>
        <v/>
      </c>
      <c r="K49" s="5">
        <f>I49*J49</f>
        <v/>
      </c>
      <c r="L49" s="4">
        <f>IF(U49&lt;&gt;"",U49,IF(K49&gt;=Umbrales!$B$2,"Legendaria",IF(K49&gt;=Umbrales!$B$3,"Épica",IF(K49&gt;=Umbrales!$B$4,"Rara",IF(K49&gt;=Umbrales!$B$5,"Poco común","Común")))))</f>
        <v/>
      </c>
      <c r="M49" s="5" t="n">
        <v>48370.765824</v>
      </c>
      <c r="N49" s="5" t="n">
        <v>13649.642496</v>
      </c>
      <c r="O49" s="5">
        <f>IF(M49="","",M49*J49)</f>
        <v/>
      </c>
      <c r="P49" s="5">
        <f>IF(N49="","",N49*J49)</f>
        <v/>
      </c>
      <c r="Q49" s="7" t="n">
        <v>0</v>
      </c>
      <c r="R49" s="8" t="n">
        <v>22.191824</v>
      </c>
      <c r="S49" s="4" t="inlineStr">
        <is>
          <t>NASDAQ100</t>
        </is>
      </c>
      <c r="T49" s="9" t="inlineStr">
        <is>
          <t>SI</t>
        </is>
      </c>
      <c r="U49" s="9" t="inlineStr"/>
      <c r="V49" s="10">
        <f>Umbrales!$B$9*(K49/1000)^Umbrales!$B$10</f>
        <v/>
      </c>
    </row>
    <row r="50">
      <c r="A50" s="4" t="inlineStr">
        <is>
          <t>MS</t>
        </is>
      </c>
      <c r="B50" s="4" t="inlineStr">
        <is>
          <t>Morgan Stanley</t>
        </is>
      </c>
      <c r="C50" s="4" t="inlineStr">
        <is>
          <t>United States</t>
        </is>
      </c>
      <c r="D50" s="4" t="inlineStr">
        <is>
          <t>US</t>
        </is>
      </c>
      <c r="E50" s="4" t="inlineStr">
        <is>
          <t>Finanzas</t>
        </is>
      </c>
      <c r="F50" s="4" t="inlineStr">
        <is>
          <t>Capital Markets</t>
        </is>
      </c>
      <c r="G50" s="4" t="inlineStr">
        <is>
          <t>NYQ</t>
        </is>
      </c>
      <c r="H50" s="4" t="inlineStr">
        <is>
          <t>USD</t>
        </is>
      </c>
      <c r="I50" s="5" t="n">
        <v>285073.473536</v>
      </c>
      <c r="J50" s="6">
        <f>INDEX(FX!$B:$B,MATCH(H50,FX!$A:$A,0))</f>
        <v/>
      </c>
      <c r="K50" s="5">
        <f>I50*J50</f>
        <v/>
      </c>
      <c r="L50" s="4">
        <f>IF(U50&lt;&gt;"",U50,IF(K50&gt;=Umbrales!$B$2,"Legendaria",IF(K50&gt;=Umbrales!$B$3,"Épica",IF(K50&gt;=Umbrales!$B$4,"Rara",IF(K50&gt;=Umbrales!$B$5,"Poco común","Común")))))</f>
        <v/>
      </c>
      <c r="M50" s="5" t="n">
        <v>77827.99769600001</v>
      </c>
      <c r="N50" s="5" t="n">
        <v>19547.000832</v>
      </c>
      <c r="O50" s="5">
        <f>IF(M50="","",M50*J50)</f>
        <v/>
      </c>
      <c r="P50" s="5">
        <f>IF(N50="","",N50*J50)</f>
        <v/>
      </c>
      <c r="Q50" s="7" t="n">
        <v>0.0246</v>
      </c>
      <c r="R50" s="8" t="n">
        <v>14.6615505</v>
      </c>
      <c r="S50" s="4" t="inlineStr"/>
      <c r="T50" s="9" t="inlineStr">
        <is>
          <t>SI</t>
        </is>
      </c>
      <c r="U50" s="9" t="inlineStr"/>
      <c r="V50" s="10">
        <f>Umbrales!$B$9*(K50/1000)^Umbrales!$B$10</f>
        <v/>
      </c>
    </row>
    <row r="51">
      <c r="A51" s="4" t="inlineStr">
        <is>
          <t>NOVN.SW</t>
        </is>
      </c>
      <c r="B51" s="4" t="inlineStr">
        <is>
          <t>Novartis AG</t>
        </is>
      </c>
      <c r="C51" s="4" t="inlineStr">
        <is>
          <t>Switzerland</t>
        </is>
      </c>
      <c r="D51" s="4" t="inlineStr">
        <is>
          <t>CH</t>
        </is>
      </c>
      <c r="E51" s="4" t="inlineStr">
        <is>
          <t>Salud</t>
        </is>
      </c>
      <c r="F51" s="4" t="inlineStr">
        <is>
          <t>Drug Manufacturers - General</t>
        </is>
      </c>
      <c r="G51" s="4" t="inlineStr">
        <is>
          <t>EBS</t>
        </is>
      </c>
      <c r="H51" s="4" t="inlineStr">
        <is>
          <t>CHF</t>
        </is>
      </c>
      <c r="I51" s="5" t="n">
        <v>235916.73856</v>
      </c>
      <c r="J51" s="6">
        <f>INDEX(FX!$B:$B,MATCH(H51,FX!$A:$A,0))</f>
        <v/>
      </c>
      <c r="K51" s="5">
        <f>I51*J51</f>
        <v/>
      </c>
      <c r="L51" s="4">
        <f>IF(U51&lt;&gt;"",U51,IF(K51&gt;=Umbrales!$B$2,"Legendaria",IF(K51&gt;=Umbrales!$B$3,"Épica",IF(K51&gt;=Umbrales!$B$4,"Rara",IF(K51&gt;=Umbrales!$B$5,"Poco común","Común")))))</f>
        <v/>
      </c>
      <c r="M51" s="5" t="n">
        <v>56692.998144</v>
      </c>
      <c r="N51" s="5" t="n">
        <v>12757.000192</v>
      </c>
      <c r="O51" s="5">
        <f>IF(M51="","",M51*J51)</f>
        <v/>
      </c>
      <c r="P51" s="5">
        <f>IF(N51="","",N51*J51)</f>
        <v/>
      </c>
      <c r="Q51" s="7" t="n">
        <v>0.0302</v>
      </c>
      <c r="R51" s="8" t="n">
        <v>23.641905</v>
      </c>
      <c r="S51" s="4" t="inlineStr"/>
      <c r="T51" s="9" t="inlineStr">
        <is>
          <t>SI</t>
        </is>
      </c>
      <c r="U51" s="9" t="inlineStr"/>
      <c r="V51" s="10">
        <f>Umbrales!$B$9*(K51/1000)^Umbrales!$B$10</f>
        <v/>
      </c>
    </row>
    <row r="52">
      <c r="A52" s="4" t="inlineStr">
        <is>
          <t>9988.HK</t>
        </is>
      </c>
      <c r="B52" s="4" t="inlineStr">
        <is>
          <t>Alibaba Group Holding Limited</t>
        </is>
      </c>
      <c r="C52" s="4" t="inlineStr">
        <is>
          <t>China</t>
        </is>
      </c>
      <c r="D52" s="4" t="inlineStr">
        <is>
          <t>CN</t>
        </is>
      </c>
      <c r="E52" s="4" t="inlineStr">
        <is>
          <t>Consumo cíclico</t>
        </is>
      </c>
      <c r="F52" s="4" t="inlineStr">
        <is>
          <t>Internet Retail</t>
        </is>
      </c>
      <c r="G52" s="4" t="inlineStr">
        <is>
          <t>HKG</t>
        </is>
      </c>
      <c r="H52" s="4" t="inlineStr">
        <is>
          <t>HKD</t>
        </is>
      </c>
      <c r="I52" s="5" t="n">
        <v>2117568.561152</v>
      </c>
      <c r="J52" s="6">
        <f>INDEX(FX!$B:$B,MATCH(H52,FX!$A:$A,0))</f>
        <v/>
      </c>
      <c r="K52" s="5">
        <f>I52*J52</f>
        <v/>
      </c>
      <c r="L52" s="4">
        <f>IF(U52&lt;&gt;"",U52,IF(K52&gt;=Umbrales!$B$2,"Legendaria",IF(K52&gt;=Umbrales!$B$3,"Épica",IF(K52&gt;=Umbrales!$B$4,"Rara",IF(K52&gt;=Umbrales!$B$5,"Poco común","Común")))))</f>
        <v/>
      </c>
      <c r="M52" s="5" t="n">
        <v>1044970.995712</v>
      </c>
      <c r="N52" s="5" t="n">
        <v>73325.002752</v>
      </c>
      <c r="O52" s="5">
        <f>IF(M52="","",M52*J52)</f>
        <v/>
      </c>
      <c r="P52" s="5">
        <f>IF(N52="","",N52*J52)</f>
        <v/>
      </c>
      <c r="Q52" s="7" t="n">
        <v>0.009300000000000001</v>
      </c>
      <c r="R52" s="8" t="n">
        <v>26.401983</v>
      </c>
      <c r="S52" s="4" t="inlineStr">
        <is>
          <t>ASIA_TOP</t>
        </is>
      </c>
      <c r="T52" s="9" t="inlineStr">
        <is>
          <t>SI</t>
        </is>
      </c>
      <c r="U52" s="9" t="inlineStr"/>
      <c r="V52" s="10">
        <f>Umbrales!$B$9*(K52/1000)^Umbrales!$B$10</f>
        <v/>
      </c>
    </row>
    <row r="53">
      <c r="A53" s="4" t="inlineStr">
        <is>
          <t>SAP.DE</t>
        </is>
      </c>
      <c r="B53" s="4" t="inlineStr">
        <is>
          <t>SAP SE</t>
        </is>
      </c>
      <c r="C53" s="4" t="inlineStr">
        <is>
          <t>Germany</t>
        </is>
      </c>
      <c r="D53" s="4" t="inlineStr">
        <is>
          <t>DE</t>
        </is>
      </c>
      <c r="E53" s="4" t="inlineStr">
        <is>
          <t>Tecnología</t>
        </is>
      </c>
      <c r="F53" s="4" t="inlineStr">
        <is>
          <t>Software - Application</t>
        </is>
      </c>
      <c r="G53" s="4" t="inlineStr">
        <is>
          <t>GER</t>
        </is>
      </c>
      <c r="H53" s="4" t="inlineStr">
        <is>
          <t>EUR</t>
        </is>
      </c>
      <c r="I53" s="5" t="n">
        <v>229340.381184</v>
      </c>
      <c r="J53" s="6">
        <f>INDEX(FX!$B:$B,MATCH(H53,FX!$A:$A,0))</f>
        <v/>
      </c>
      <c r="K53" s="5">
        <f>I53*J53</f>
        <v/>
      </c>
      <c r="L53" s="4">
        <f>IF(U53&lt;&gt;"",U53,IF(K53&gt;=Umbrales!$B$2,"Legendaria",IF(K53&gt;=Umbrales!$B$3,"Épica",IF(K53&gt;=Umbrales!$B$4,"Rara",IF(K53&gt;=Umbrales!$B$5,"Poco común","Común")))))</f>
        <v/>
      </c>
      <c r="M53" s="5" t="n">
        <v>38192.001024</v>
      </c>
      <c r="N53" s="5" t="n">
        <v>7795.999744</v>
      </c>
      <c r="O53" s="5">
        <f>IF(M53="","",M53*J53)</f>
        <v/>
      </c>
      <c r="P53" s="5">
        <f>IF(N53="","",N53*J53)</f>
        <v/>
      </c>
      <c r="Q53" s="7" t="n">
        <v>0.0133</v>
      </c>
      <c r="R53" s="8" t="n">
        <v>28.304842</v>
      </c>
      <c r="S53" s="4" t="inlineStr">
        <is>
          <t>DAX40, EUROSTOXX50</t>
        </is>
      </c>
      <c r="T53" s="9" t="inlineStr">
        <is>
          <t>SI</t>
        </is>
      </c>
      <c r="U53" s="9" t="inlineStr"/>
      <c r="V53" s="10">
        <f>Umbrales!$B$9*(K53/1000)^Umbrales!$B$10</f>
        <v/>
      </c>
    </row>
    <row r="54">
      <c r="A54" s="4" t="inlineStr">
        <is>
          <t>TXN</t>
        </is>
      </c>
      <c r="B54" s="4" t="inlineStr">
        <is>
          <t>Texas Instruments Incorporated</t>
        </is>
      </c>
      <c r="C54" s="4" t="inlineStr">
        <is>
          <t>United States</t>
        </is>
      </c>
      <c r="D54" s="4" t="inlineStr">
        <is>
          <t>US</t>
        </is>
      </c>
      <c r="E54" s="4" t="inlineStr">
        <is>
          <t>Tecnología</t>
        </is>
      </c>
      <c r="F54" s="4" t="inlineStr">
        <is>
          <t>Semiconductors</t>
        </is>
      </c>
      <c r="G54" s="4" t="inlineStr">
        <is>
          <t>NMS</t>
        </is>
      </c>
      <c r="H54" s="4" t="inlineStr">
        <is>
          <t>USD</t>
        </is>
      </c>
      <c r="I54" s="5" t="n">
        <v>256302.956544</v>
      </c>
      <c r="J54" s="6">
        <f>INDEX(FX!$B:$B,MATCH(H54,FX!$A:$A,0))</f>
        <v/>
      </c>
      <c r="K54" s="5">
        <f>I54*J54</f>
        <v/>
      </c>
      <c r="L54" s="4">
        <f>IF(U54&lt;&gt;"",U54,IF(K54&gt;=Umbrales!$B$2,"Legendaria",IF(K54&gt;=Umbrales!$B$3,"Épica",IF(K54&gt;=Umbrales!$B$4,"Rara",IF(K54&gt;=Umbrales!$B$5,"Poco común","Común")))))</f>
        <v/>
      </c>
      <c r="M54" s="5" t="n">
        <v>19452.99968</v>
      </c>
      <c r="N54" s="5" t="n">
        <v>6016.999936</v>
      </c>
      <c r="O54" s="5">
        <f>IF(M54="","",M54*J54)</f>
        <v/>
      </c>
      <c r="P54" s="5">
        <f>IF(N54="","",N54*J54)</f>
        <v/>
      </c>
      <c r="Q54" s="7" t="n">
        <v>0.0211</v>
      </c>
      <c r="R54" s="8" t="n">
        <v>43.78315</v>
      </c>
      <c r="S54" s="4" t="inlineStr">
        <is>
          <t>NASDAQ100</t>
        </is>
      </c>
      <c r="T54" s="9" t="inlineStr">
        <is>
          <t>SI</t>
        </is>
      </c>
      <c r="U54" s="9" t="inlineStr"/>
      <c r="V54" s="10">
        <f>Umbrales!$B$9*(K54/1000)^Umbrales!$B$10</f>
        <v/>
      </c>
    </row>
    <row r="55">
      <c r="A55" s="4" t="inlineStr">
        <is>
          <t>AZN.L</t>
        </is>
      </c>
      <c r="B55" s="4" t="inlineStr">
        <is>
          <t>AstraZeneca PLC</t>
        </is>
      </c>
      <c r="C55" s="4" t="inlineStr">
        <is>
          <t>United Kingdom</t>
        </is>
      </c>
      <c r="D55" s="4" t="inlineStr">
        <is>
          <t>GB</t>
        </is>
      </c>
      <c r="E55" s="4" t="inlineStr">
        <is>
          <t>Salud</t>
        </is>
      </c>
      <c r="F55" s="4" t="inlineStr">
        <is>
          <t>Drug Manufacturers - General</t>
        </is>
      </c>
      <c r="G55" s="4" t="inlineStr">
        <is>
          <t>LSE</t>
        </is>
      </c>
      <c r="H55" s="4" t="inlineStr">
        <is>
          <t>GBP</t>
        </is>
      </c>
      <c r="I55" s="5" t="n">
        <v>193180.811264</v>
      </c>
      <c r="J55" s="6">
        <f>INDEX(FX!$B:$B,MATCH(H55,FX!$A:$A,0))</f>
        <v/>
      </c>
      <c r="K55" s="5">
        <f>I55*J55</f>
        <v/>
      </c>
      <c r="L55" s="4">
        <f>IF(U55&lt;&gt;"",U55,IF(K55&gt;=Umbrales!$B$2,"Legendaria",IF(K55&gt;=Umbrales!$B$3,"Épica",IF(K55&gt;=Umbrales!$B$4,"Rara",IF(K55&gt;=Umbrales!$B$5,"Poco común","Común")))))</f>
        <v/>
      </c>
      <c r="M55" s="5" t="n">
        <v>61366.001664</v>
      </c>
      <c r="N55" s="5" t="n">
        <v>10446.000128</v>
      </c>
      <c r="O55" s="5">
        <f>IF(M55="","",M55*J55)</f>
        <v/>
      </c>
      <c r="P55" s="5">
        <f>IF(N55="","",N55*J55)</f>
        <v/>
      </c>
      <c r="Q55" s="7" t="n">
        <v>0.0201</v>
      </c>
      <c r="R55" s="8" t="n">
        <v>24.961924</v>
      </c>
      <c r="S55" s="4" t="inlineStr">
        <is>
          <t>NASDAQ100, UK_TOP</t>
        </is>
      </c>
      <c r="T55" s="9" t="inlineStr">
        <is>
          <t>SI</t>
        </is>
      </c>
      <c r="U55" s="9" t="inlineStr"/>
      <c r="V55" s="10">
        <f>Umbrales!$B$9*(K55/1000)^Umbrales!$B$10</f>
        <v/>
      </c>
    </row>
    <row r="56">
      <c r="A56" s="4" t="inlineStr">
        <is>
          <t>GS</t>
        </is>
      </c>
      <c r="B56" s="4" t="inlineStr">
        <is>
          <t>The Goldman Sachs Group, Inc.</t>
        </is>
      </c>
      <c r="C56" s="4" t="inlineStr">
        <is>
          <t>United States</t>
        </is>
      </c>
      <c r="D56" s="4" t="inlineStr">
        <is>
          <t>US</t>
        </is>
      </c>
      <c r="E56" s="4" t="inlineStr">
        <is>
          <t>Finanzas</t>
        </is>
      </c>
      <c r="F56" s="4" t="inlineStr">
        <is>
          <t>Capital Markets</t>
        </is>
      </c>
      <c r="G56" s="4" t="inlineStr">
        <is>
          <t>NYQ</t>
        </is>
      </c>
      <c r="H56" s="4" t="inlineStr">
        <is>
          <t>USD</t>
        </is>
      </c>
      <c r="I56" s="5" t="n">
        <v>255858.11456</v>
      </c>
      <c r="J56" s="6">
        <f>INDEX(FX!$B:$B,MATCH(H56,FX!$A:$A,0))</f>
        <v/>
      </c>
      <c r="K56" s="5">
        <f>I56*J56</f>
        <v/>
      </c>
      <c r="L56" s="4">
        <f>IF(U56&lt;&gt;"",U56,IF(K56&gt;=Umbrales!$B$2,"Legendaria",IF(K56&gt;=Umbrales!$B$3,"Épica",IF(K56&gt;=Umbrales!$B$4,"Rara",IF(K56&gt;=Umbrales!$B$5,"Poco común","Común")))))</f>
        <v/>
      </c>
      <c r="M56" s="5" t="n">
        <v>67569.999872</v>
      </c>
      <c r="N56" s="5" t="n">
        <v>19982.000128</v>
      </c>
      <c r="O56" s="5">
        <f>IF(M56="","",M56*J56)</f>
        <v/>
      </c>
      <c r="P56" s="5">
        <f>IF(N56="","",N56*J56)</f>
        <v/>
      </c>
      <c r="Q56" s="7" t="n">
        <v>0.0224</v>
      </c>
      <c r="R56" s="8" t="n">
        <v>12.634363</v>
      </c>
      <c r="S56" s="4" t="inlineStr">
        <is>
          <t>DOW30</t>
        </is>
      </c>
      <c r="T56" s="9" t="inlineStr">
        <is>
          <t>SI</t>
        </is>
      </c>
      <c r="U56" s="9" t="inlineStr"/>
      <c r="V56" s="10">
        <f>Umbrales!$B$9*(K56/1000)^Umbrales!$B$10</f>
        <v/>
      </c>
    </row>
    <row r="57">
      <c r="A57" s="4" t="inlineStr">
        <is>
          <t>CRWD</t>
        </is>
      </c>
      <c r="B57" s="4" t="inlineStr">
        <is>
          <t>CrowdStrike Holdings, Inc.</t>
        </is>
      </c>
      <c r="C57" s="4" t="inlineStr">
        <is>
          <t>United States</t>
        </is>
      </c>
      <c r="D57" s="4" t="inlineStr">
        <is>
          <t>US</t>
        </is>
      </c>
      <c r="E57" s="4" t="inlineStr">
        <is>
          <t>Tecnología</t>
        </is>
      </c>
      <c r="F57" s="4" t="inlineStr">
        <is>
          <t>Software - Infrastructure</t>
        </is>
      </c>
      <c r="G57" s="4" t="inlineStr">
        <is>
          <t>NMS</t>
        </is>
      </c>
      <c r="H57" s="4" t="inlineStr">
        <is>
          <t>USD</t>
        </is>
      </c>
      <c r="I57" s="5" t="n">
        <v>255256.707072</v>
      </c>
      <c r="J57" s="6">
        <f>INDEX(FX!$B:$B,MATCH(H57,FX!$A:$A,0))</f>
        <v/>
      </c>
      <c r="K57" s="5">
        <f>I57*J57</f>
        <v/>
      </c>
      <c r="L57" s="4">
        <f>IF(U57&lt;&gt;"",U57,IF(K57&gt;=Umbrales!$B$2,"Legendaria",IF(K57&gt;=Umbrales!$B$3,"Épica",IF(K57&gt;=Umbrales!$B$4,"Rara",IF(K57&gt;=Umbrales!$B$5,"Poco común","Común")))))</f>
        <v/>
      </c>
      <c r="M57" s="5" t="n">
        <v>5396.145152</v>
      </c>
      <c r="N57" s="5" t="n">
        <v>44.995</v>
      </c>
      <c r="O57" s="5">
        <f>IF(M57="","",M57*J57)</f>
        <v/>
      </c>
      <c r="P57" s="5">
        <f>IF(N57="","",N57*J57)</f>
        <v/>
      </c>
      <c r="Q57" s="7" t="n">
        <v>0</v>
      </c>
      <c r="R57" s="8" t="n">
        <v>4985.8</v>
      </c>
      <c r="S57" s="4" t="inlineStr">
        <is>
          <t>NASDAQ100</t>
        </is>
      </c>
      <c r="T57" s="9" t="inlineStr">
        <is>
          <t>SI</t>
        </is>
      </c>
      <c r="U57" s="9" t="inlineStr"/>
      <c r="V57" s="10">
        <f>Umbrales!$B$9*(K57/1000)^Umbrales!$B$10</f>
        <v/>
      </c>
    </row>
    <row r="58">
      <c r="A58" s="4" t="inlineStr">
        <is>
          <t>ARM</t>
        </is>
      </c>
      <c r="B58" s="4" t="inlineStr">
        <is>
          <t>Arm Holdings plc</t>
        </is>
      </c>
      <c r="C58" s="4" t="inlineStr">
        <is>
          <t>United Kingdom</t>
        </is>
      </c>
      <c r="D58" s="4" t="inlineStr">
        <is>
          <t>GB</t>
        </is>
      </c>
      <c r="E58" s="4" t="inlineStr">
        <is>
          <t>Tecnología</t>
        </is>
      </c>
      <c r="F58" s="4" t="inlineStr">
        <is>
          <t>Semiconductors</t>
        </is>
      </c>
      <c r="G58" s="4" t="inlineStr">
        <is>
          <t>NMS</t>
        </is>
      </c>
      <c r="H58" s="4" t="inlineStr">
        <is>
          <t>USD</t>
        </is>
      </c>
      <c r="I58" s="5" t="n">
        <v>254194.335744</v>
      </c>
      <c r="J58" s="6">
        <f>INDEX(FX!$B:$B,MATCH(H58,FX!$A:$A,0))</f>
        <v/>
      </c>
      <c r="K58" s="5">
        <f>I58*J58</f>
        <v/>
      </c>
      <c r="L58" s="4">
        <f>IF(U58&lt;&gt;"",U58,IF(K58&gt;=Umbrales!$B$2,"Legendaria",IF(K58&gt;=Umbrales!$B$3,"Épica",IF(K58&gt;=Umbrales!$B$4,"Rara",IF(K58&gt;=Umbrales!$B$5,"Poco común","Común")))))</f>
        <v/>
      </c>
      <c r="M58" s="5" t="n">
        <v>5155.999744</v>
      </c>
      <c r="N58" s="5" t="n">
        <v>1044</v>
      </c>
      <c r="O58" s="5">
        <f>IF(M58="","",M58*J58)</f>
        <v/>
      </c>
      <c r="P58" s="5">
        <f>IF(N58="","",N58*J58)</f>
        <v/>
      </c>
      <c r="Q58" s="7" t="n">
        <v>0</v>
      </c>
      <c r="R58" s="8" t="n">
        <v>245.37112</v>
      </c>
      <c r="S58" s="4" t="inlineStr">
        <is>
          <t>NASDAQ100</t>
        </is>
      </c>
      <c r="T58" s="9" t="inlineStr">
        <is>
          <t>SI</t>
        </is>
      </c>
      <c r="U58" s="9" t="inlineStr"/>
      <c r="V58" s="10">
        <f>Umbrales!$B$9*(K58/1000)^Umbrales!$B$10</f>
        <v/>
      </c>
    </row>
    <row r="59">
      <c r="A59" s="4" t="inlineStr">
        <is>
          <t>RTX</t>
        </is>
      </c>
      <c r="B59" s="4" t="inlineStr">
        <is>
          <t>RTX Corporation</t>
        </is>
      </c>
      <c r="C59" s="4" t="inlineStr">
        <is>
          <t>United States</t>
        </is>
      </c>
      <c r="D59" s="4" t="inlineStr">
        <is>
          <t>US</t>
        </is>
      </c>
      <c r="E59" s="4" t="inlineStr">
        <is>
          <t>Industria</t>
        </is>
      </c>
      <c r="F59" s="4" t="inlineStr">
        <is>
          <t>Aerospace &amp; Defense</t>
        </is>
      </c>
      <c r="G59" s="4" t="inlineStr">
        <is>
          <t>NYQ</t>
        </is>
      </c>
      <c r="H59" s="4" t="inlineStr">
        <is>
          <t>USD</t>
        </is>
      </c>
      <c r="I59" s="5" t="n">
        <v>251316.453376</v>
      </c>
      <c r="J59" s="6">
        <f>INDEX(FX!$B:$B,MATCH(H59,FX!$A:$A,0))</f>
        <v/>
      </c>
      <c r="K59" s="5">
        <f>I59*J59</f>
        <v/>
      </c>
      <c r="L59" s="4">
        <f>IF(U59&lt;&gt;"",U59,IF(K59&gt;=Umbrales!$B$2,"Legendaria",IF(K59&gt;=Umbrales!$B$3,"Épica",IF(K59&gt;=Umbrales!$B$4,"Rara",IF(K59&gt;=Umbrales!$B$5,"Poco común","Común")))))</f>
        <v/>
      </c>
      <c r="M59" s="5" t="n">
        <v>93499.998208</v>
      </c>
      <c r="N59" s="5" t="n">
        <v>7737.999872</v>
      </c>
      <c r="O59" s="5">
        <f>IF(M59="","",M59*J59)</f>
        <v/>
      </c>
      <c r="P59" s="5">
        <f>IF(N59="","",N59*J59)</f>
        <v/>
      </c>
      <c r="Q59" s="7" t="n">
        <v>0.016</v>
      </c>
      <c r="R59" s="8" t="n">
        <v>32.20553</v>
      </c>
      <c r="S59" s="4" t="inlineStr"/>
      <c r="T59" s="9" t="inlineStr">
        <is>
          <t>SI</t>
        </is>
      </c>
      <c r="U59" s="9" t="inlineStr"/>
      <c r="V59" s="10">
        <f>Umbrales!$B$9*(K59/1000)^Umbrales!$B$10</f>
        <v/>
      </c>
    </row>
    <row r="60">
      <c r="A60" s="4" t="inlineStr">
        <is>
          <t>GEV</t>
        </is>
      </c>
      <c r="B60" s="4" t="inlineStr">
        <is>
          <t>GE Vernova Inc.</t>
        </is>
      </c>
      <c r="C60" s="4" t="inlineStr">
        <is>
          <t>United States</t>
        </is>
      </c>
      <c r="D60" s="4" t="inlineStr">
        <is>
          <t>US</t>
        </is>
      </c>
      <c r="E60" s="4" t="inlineStr">
        <is>
          <t>Industria</t>
        </is>
      </c>
      <c r="F60" s="4" t="inlineStr">
        <is>
          <t>Specialty Industrial Machinery</t>
        </is>
      </c>
      <c r="G60" s="4" t="inlineStr">
        <is>
          <t>NYQ</t>
        </is>
      </c>
      <c r="H60" s="4" t="inlineStr">
        <is>
          <t>USD</t>
        </is>
      </c>
      <c r="I60" s="5" t="n">
        <v>250827.65312</v>
      </c>
      <c r="J60" s="6">
        <f>INDEX(FX!$B:$B,MATCH(H60,FX!$A:$A,0))</f>
        <v/>
      </c>
      <c r="K60" s="5">
        <f>I60*J60</f>
        <v/>
      </c>
      <c r="L60" s="4">
        <f>IF(U60&lt;&gt;"",U60,IF(K60&gt;=Umbrales!$B$2,"Legendaria",IF(K60&gt;=Umbrales!$B$3,"Épica",IF(K60&gt;=Umbrales!$B$4,"Rara",IF(K60&gt;=Umbrales!$B$5,"Poco común","Común")))))</f>
        <v/>
      </c>
      <c r="M60" s="5" t="n">
        <v>41366.99904</v>
      </c>
      <c r="N60" s="5" t="n">
        <v>9528.999936</v>
      </c>
      <c r="O60" s="5">
        <f>IF(M60="","",M60*J60)</f>
        <v/>
      </c>
      <c r="P60" s="5">
        <f>IF(N60="","",N60*J60)</f>
        <v/>
      </c>
      <c r="Q60" s="7" t="n">
        <v>0.002</v>
      </c>
      <c r="R60" s="8" t="n">
        <v>27.000574</v>
      </c>
      <c r="S60" s="4" t="inlineStr"/>
      <c r="T60" s="9" t="inlineStr">
        <is>
          <t>SI</t>
        </is>
      </c>
      <c r="U60" s="9" t="inlineStr"/>
      <c r="V60" s="10">
        <f>Umbrales!$B$9*(K60/1000)^Umbrales!$B$10</f>
        <v/>
      </c>
    </row>
    <row r="61">
      <c r="A61" s="4" t="inlineStr">
        <is>
          <t>NESN.SW</t>
        </is>
      </c>
      <c r="B61" s="4" t="inlineStr">
        <is>
          <t>Nestlé S.A.</t>
        </is>
      </c>
      <c r="C61" s="4" t="inlineStr">
        <is>
          <t>Switzerland</t>
        </is>
      </c>
      <c r="D61" s="4" t="inlineStr">
        <is>
          <t>CH</t>
        </is>
      </c>
      <c r="E61" s="4" t="inlineStr">
        <is>
          <t>Consumo básico</t>
        </is>
      </c>
      <c r="F61" s="4" t="inlineStr">
        <is>
          <t>Packaged Foods</t>
        </is>
      </c>
      <c r="G61" s="4" t="inlineStr">
        <is>
          <t>EBS</t>
        </is>
      </c>
      <c r="H61" s="4" t="inlineStr">
        <is>
          <t>CHF</t>
        </is>
      </c>
      <c r="I61" s="5" t="n">
        <v>206420.639744</v>
      </c>
      <c r="J61" s="6">
        <f>INDEX(FX!$B:$B,MATCH(H61,FX!$A:$A,0))</f>
        <v/>
      </c>
      <c r="K61" s="5">
        <f>I61*J61</f>
        <v/>
      </c>
      <c r="L61" s="4">
        <f>IF(U61&lt;&gt;"",U61,IF(K61&gt;=Umbrales!$B$2,"Legendaria",IF(K61&gt;=Umbrales!$B$3,"Épica",IF(K61&gt;=Umbrales!$B$4,"Rara",IF(K61&gt;=Umbrales!$B$5,"Poco común","Común")))))</f>
        <v/>
      </c>
      <c r="M61" s="5" t="n">
        <v>88775.00006400001</v>
      </c>
      <c r="N61" s="5" t="n">
        <v>7440</v>
      </c>
      <c r="O61" s="5">
        <f>IF(M61="","",M61*J61)</f>
        <v/>
      </c>
      <c r="P61" s="5">
        <f>IF(N61="","",N61*J61)</f>
        <v/>
      </c>
      <c r="Q61" s="7" t="n">
        <v>0.0393</v>
      </c>
      <c r="R61" s="8" t="n">
        <v>27.768166</v>
      </c>
      <c r="S61" s="4" t="inlineStr"/>
      <c r="T61" s="9" t="inlineStr">
        <is>
          <t>SI</t>
        </is>
      </c>
      <c r="U61" s="9" t="inlineStr"/>
      <c r="V61" s="10">
        <f>Umbrales!$B$9*(K61/1000)^Umbrales!$B$10</f>
        <v/>
      </c>
    </row>
    <row r="62">
      <c r="A62" s="4" t="inlineStr">
        <is>
          <t>TMO</t>
        </is>
      </c>
      <c r="B62" s="4" t="inlineStr">
        <is>
          <t>Thermo Fisher Scientific Inc.</t>
        </is>
      </c>
      <c r="C62" s="4" t="inlineStr">
        <is>
          <t>United States</t>
        </is>
      </c>
      <c r="D62" s="4" t="inlineStr">
        <is>
          <t>US</t>
        </is>
      </c>
      <c r="E62" s="4" t="inlineStr">
        <is>
          <t>Salud</t>
        </is>
      </c>
      <c r="F62" s="4" t="inlineStr">
        <is>
          <t>Diagnostics &amp; Research</t>
        </is>
      </c>
      <c r="G62" s="4" t="inlineStr">
        <is>
          <t>NYQ</t>
        </is>
      </c>
      <c r="H62" s="4" t="inlineStr">
        <is>
          <t>USD</t>
        </is>
      </c>
      <c r="I62" s="5" t="n">
        <v>248913.887232</v>
      </c>
      <c r="J62" s="6">
        <f>INDEX(FX!$B:$B,MATCH(H62,FX!$A:$A,0))</f>
        <v/>
      </c>
      <c r="K62" s="5">
        <f>I62*J62</f>
        <v/>
      </c>
      <c r="L62" s="4">
        <f>IF(U62&lt;&gt;"",U62,IF(K62&gt;=Umbrales!$B$2,"Legendaria",IF(K62&gt;=Umbrales!$B$3,"Épica",IF(K62&gt;=Umbrales!$B$4,"Rara",IF(K62&gt;=Umbrales!$B$5,"Poco común","Común")))))</f>
        <v/>
      </c>
      <c r="M62" s="5" t="n">
        <v>46336</v>
      </c>
      <c r="N62" s="5" t="n">
        <v>6967.000064</v>
      </c>
      <c r="O62" s="5">
        <f>IF(M62="","",M62*J62)</f>
        <v/>
      </c>
      <c r="P62" s="5">
        <f>IF(N62="","",N62*J62)</f>
        <v/>
      </c>
      <c r="Q62" s="7" t="n">
        <v>0.0028</v>
      </c>
      <c r="R62" s="8" t="n">
        <v>36.23251</v>
      </c>
      <c r="S62" s="4" t="inlineStr"/>
      <c r="T62" s="9" t="inlineStr">
        <is>
          <t>SI</t>
        </is>
      </c>
      <c r="U62" s="9" t="inlineStr"/>
      <c r="V62" s="10">
        <f>Umbrales!$B$9*(K62/1000)^Umbrales!$B$10</f>
        <v/>
      </c>
    </row>
    <row r="63">
      <c r="A63" s="4" t="inlineStr">
        <is>
          <t>ANET</t>
        </is>
      </c>
      <c r="B63" s="4" t="inlineStr">
        <is>
          <t>Arista Networks, Inc.</t>
        </is>
      </c>
      <c r="C63" s="4" t="inlineStr">
        <is>
          <t>United States</t>
        </is>
      </c>
      <c r="D63" s="4" t="inlineStr">
        <is>
          <t>US</t>
        </is>
      </c>
      <c r="E63" s="4" t="inlineStr">
        <is>
          <t>Tecnología</t>
        </is>
      </c>
      <c r="F63" s="4" t="inlineStr">
        <is>
          <t>Computer Hardware</t>
        </is>
      </c>
      <c r="G63" s="4" t="inlineStr">
        <is>
          <t>NYQ</t>
        </is>
      </c>
      <c r="H63" s="4" t="inlineStr">
        <is>
          <t>USD</t>
        </is>
      </c>
      <c r="I63" s="5" t="n">
        <v>246468.52608</v>
      </c>
      <c r="J63" s="6">
        <f>INDEX(FX!$B:$B,MATCH(H63,FX!$A:$A,0))</f>
        <v/>
      </c>
      <c r="K63" s="5">
        <f>I63*J63</f>
        <v/>
      </c>
      <c r="L63" s="4">
        <f>IF(U63&lt;&gt;"",U63,IF(K63&gt;=Umbrales!$B$2,"Legendaria",IF(K63&gt;=Umbrales!$B$3,"Épica",IF(K63&gt;=Umbrales!$B$4,"Rara",IF(K63&gt;=Umbrales!$B$5,"Poco común","Común")))))</f>
        <v/>
      </c>
      <c r="M63" s="5" t="n">
        <v>10540.8</v>
      </c>
      <c r="N63" s="5" t="n">
        <v>4044.600064</v>
      </c>
      <c r="O63" s="5">
        <f>IF(M63="","",M63*J63)</f>
        <v/>
      </c>
      <c r="P63" s="5">
        <f>IF(N63="","",N63*J63)</f>
        <v/>
      </c>
      <c r="Q63" s="7" t="n">
        <v>0</v>
      </c>
      <c r="R63" s="8" t="n">
        <v>61.646687</v>
      </c>
      <c r="S63" s="4" t="inlineStr"/>
      <c r="T63" s="9" t="inlineStr">
        <is>
          <t>SI</t>
        </is>
      </c>
      <c r="U63" s="9" t="inlineStr"/>
      <c r="V63" s="10">
        <f>Umbrales!$B$9*(K63/1000)^Umbrales!$B$10</f>
        <v/>
      </c>
    </row>
    <row r="64">
      <c r="A64" s="4" t="inlineStr">
        <is>
          <t>600519.SS</t>
        </is>
      </c>
      <c r="B64" s="4" t="inlineStr">
        <is>
          <t>Kweichow Moutai Co., Ltd.</t>
        </is>
      </c>
      <c r="C64" s="4" t="inlineStr">
        <is>
          <t>China</t>
        </is>
      </c>
      <c r="D64" s="4" t="inlineStr">
        <is>
          <t>CN</t>
        </is>
      </c>
      <c r="E64" s="4" t="inlineStr">
        <is>
          <t>Consumo básico</t>
        </is>
      </c>
      <c r="F64" s="4" t="inlineStr">
        <is>
          <t>Beverages - Wineries &amp; Distilleries</t>
        </is>
      </c>
      <c r="G64" s="4" t="inlineStr">
        <is>
          <t>SHH</t>
        </is>
      </c>
      <c r="H64" s="4" t="inlineStr">
        <is>
          <t>CNY</t>
        </is>
      </c>
      <c r="I64" s="5" t="n">
        <v>1641319.6288</v>
      </c>
      <c r="J64" s="6">
        <f>INDEX(FX!$B:$B,MATCH(H64,FX!$A:$A,0))</f>
        <v/>
      </c>
      <c r="K64" s="5">
        <f>I64*J64</f>
        <v/>
      </c>
      <c r="L64" s="4">
        <f>IF(U64&lt;&gt;"",U64,IF(K64&gt;=Umbrales!$B$2,"Legendaria",IF(K64&gt;=Umbrales!$B$3,"Épica",IF(K64&gt;=Umbrales!$B$4,"Rara",IF(K64&gt;=Umbrales!$B$5,"Poco común","Común")))))</f>
        <v/>
      </c>
      <c r="M64" s="5" t="n">
        <v>170152.001536</v>
      </c>
      <c r="N64" s="5" t="n">
        <v>81433.98502399999</v>
      </c>
      <c r="O64" s="5">
        <f>IF(M64="","",M64*J64)</f>
        <v/>
      </c>
      <c r="P64" s="5">
        <f>IF(N64="","",N64*J64)</f>
        <v/>
      </c>
      <c r="Q64" s="7" t="n">
        <v>0.0404</v>
      </c>
      <c r="R64" s="8" t="n">
        <v>20.184011</v>
      </c>
      <c r="S64" s="4" t="inlineStr">
        <is>
          <t>ASIA_TOP</t>
        </is>
      </c>
      <c r="T64" s="9" t="inlineStr">
        <is>
          <t>SI</t>
        </is>
      </c>
      <c r="U64" s="9" t="inlineStr"/>
      <c r="V64" s="10">
        <f>Umbrales!$B$9*(K64/1000)^Umbrales!$B$10</f>
        <v/>
      </c>
    </row>
    <row r="65">
      <c r="A65" s="4" t="inlineStr">
        <is>
          <t>8306.T</t>
        </is>
      </c>
      <c r="B65" s="4" t="inlineStr">
        <is>
          <t>Mitsubishi UFJ Financial Group, Inc.</t>
        </is>
      </c>
      <c r="C65" s="4" t="inlineStr">
        <is>
          <t>Japan</t>
        </is>
      </c>
      <c r="D65" s="4" t="inlineStr">
        <is>
          <t>JP</t>
        </is>
      </c>
      <c r="E65" s="4" t="inlineStr">
        <is>
          <t>Finanzas</t>
        </is>
      </c>
      <c r="F65" s="4" t="inlineStr">
        <is>
          <t>Banks - Diversified</t>
        </is>
      </c>
      <c r="G65" s="4" t="inlineStr">
        <is>
          <t>JPX</t>
        </is>
      </c>
      <c r="H65" s="4" t="inlineStr">
        <is>
          <t>JPY</t>
        </is>
      </c>
      <c r="I65" s="5" t="n">
        <v>38415923.93728</v>
      </c>
      <c r="J65" s="6">
        <f>INDEX(FX!$B:$B,MATCH(H65,FX!$A:$A,0))</f>
        <v/>
      </c>
      <c r="K65" s="5">
        <f>I65*J65</f>
        <v/>
      </c>
      <c r="L65" s="4">
        <f>IF(U65&lt;&gt;"",U65,IF(K65&gt;=Umbrales!$B$2,"Legendaria",IF(K65&gt;=Umbrales!$B$3,"Épica",IF(K65&gt;=Umbrales!$B$4,"Rara",IF(K65&gt;=Umbrales!$B$5,"Poco común","Común")))))</f>
        <v/>
      </c>
      <c r="M65" s="5" t="n">
        <v>7260459.237376</v>
      </c>
      <c r="N65" s="5" t="n">
        <v>1992718.024704</v>
      </c>
      <c r="O65" s="5">
        <f>IF(M65="","",M65*J65)</f>
        <v/>
      </c>
      <c r="P65" s="5">
        <f>IF(N65="","",N65*J65)</f>
        <v/>
      </c>
      <c r="Q65" s="7" t="n">
        <v>0.0276</v>
      </c>
      <c r="R65" s="8" t="n">
        <v>14.433121</v>
      </c>
      <c r="S65" s="4" t="inlineStr">
        <is>
          <t>ASIA_TOP</t>
        </is>
      </c>
      <c r="T65" s="9" t="inlineStr">
        <is>
          <t>SI</t>
        </is>
      </c>
      <c r="U65" s="9" t="inlineStr"/>
      <c r="V65" s="10">
        <f>Umbrales!$B$9*(K65/1000)^Umbrales!$B$10</f>
        <v/>
      </c>
    </row>
    <row r="66">
      <c r="A66" s="4" t="inlineStr">
        <is>
          <t>WFC</t>
        </is>
      </c>
      <c r="B66" s="4" t="inlineStr">
        <is>
          <t>Wells Fargo &amp; Company</t>
        </is>
      </c>
      <c r="C66" s="4" t="inlineStr">
        <is>
          <t>United States</t>
        </is>
      </c>
      <c r="D66" s="4" t="inlineStr">
        <is>
          <t>US</t>
        </is>
      </c>
      <c r="E66" s="4" t="inlineStr">
        <is>
          <t>Finanzas</t>
        </is>
      </c>
      <c r="F66" s="4" t="inlineStr">
        <is>
          <t>Banks - Diversified</t>
        </is>
      </c>
      <c r="G66" s="4" t="inlineStr">
        <is>
          <t>NYQ</t>
        </is>
      </c>
      <c r="H66" s="4" t="inlineStr">
        <is>
          <t>USD</t>
        </is>
      </c>
      <c r="I66" s="5" t="n">
        <v>242832.5888</v>
      </c>
      <c r="J66" s="6">
        <f>INDEX(FX!$B:$B,MATCH(H66,FX!$A:$A,0))</f>
        <v/>
      </c>
      <c r="K66" s="5">
        <f>I66*J66</f>
        <v/>
      </c>
      <c r="L66" s="4">
        <f>IF(U66&lt;&gt;"",U66,IF(K66&gt;=Umbrales!$B$2,"Legendaria",IF(K66&gt;=Umbrales!$B$3,"Épica",IF(K66&gt;=Umbrales!$B$4,"Rara",IF(K66&gt;=Umbrales!$B$5,"Poco común","Común")))))</f>
        <v/>
      </c>
      <c r="M66" s="5" t="n">
        <v>83026.00192</v>
      </c>
      <c r="N66" s="5" t="n">
        <v>21614.999552</v>
      </c>
      <c r="O66" s="5">
        <f>IF(M66="","",M66*J66)</f>
        <v/>
      </c>
      <c r="P66" s="5">
        <f>IF(N66="","",N66*J66)</f>
        <v/>
      </c>
      <c r="Q66" s="7" t="n">
        <v>0.024</v>
      </c>
      <c r="R66" s="8" t="n">
        <v>11.758721</v>
      </c>
      <c r="S66" s="4" t="inlineStr"/>
      <c r="T66" s="9" t="inlineStr">
        <is>
          <t>SI</t>
        </is>
      </c>
      <c r="U66" s="9" t="inlineStr"/>
      <c r="V66" s="10">
        <f>Umbrales!$B$9*(K66/1000)^Umbrales!$B$10</f>
        <v/>
      </c>
    </row>
    <row r="67">
      <c r="A67" s="4" t="inlineStr">
        <is>
          <t>OR.PA</t>
        </is>
      </c>
      <c r="B67" s="4" t="inlineStr">
        <is>
          <t>L'Oréal S.A.</t>
        </is>
      </c>
      <c r="C67" s="4" t="inlineStr">
        <is>
          <t>France</t>
        </is>
      </c>
      <c r="D67" s="4" t="inlineStr">
        <is>
          <t>FR</t>
        </is>
      </c>
      <c r="E67" s="4" t="inlineStr">
        <is>
          <t>Consumo básico</t>
        </is>
      </c>
      <c r="F67" s="4" t="inlineStr">
        <is>
          <t>Household &amp; Personal Products</t>
        </is>
      </c>
      <c r="G67" s="4" t="inlineStr">
        <is>
          <t>PAR</t>
        </is>
      </c>
      <c r="H67" s="4" t="inlineStr">
        <is>
          <t>EUR</t>
        </is>
      </c>
      <c r="I67" s="5" t="n">
        <v>212533.772288</v>
      </c>
      <c r="J67" s="6">
        <f>INDEX(FX!$B:$B,MATCH(H67,FX!$A:$A,0))</f>
        <v/>
      </c>
      <c r="K67" s="5">
        <f>I67*J67</f>
        <v/>
      </c>
      <c r="L67" s="4">
        <f>IF(U67&lt;&gt;"",U67,IF(K67&gt;=Umbrales!$B$2,"Legendaria",IF(K67&gt;=Umbrales!$B$3,"Épica",IF(K67&gt;=Umbrales!$B$4,"Rara",IF(K67&gt;=Umbrales!$B$5,"Poco común","Común")))))</f>
        <v/>
      </c>
      <c r="M67" s="5" t="n">
        <v>45354.799104</v>
      </c>
      <c r="N67" s="5" t="n">
        <v>6306.299904</v>
      </c>
      <c r="O67" s="5">
        <f>IF(M67="","",M67*J67)</f>
        <v/>
      </c>
      <c r="P67" s="5">
        <f>IF(N67="","",N67*J67)</f>
        <v/>
      </c>
      <c r="Q67" s="7" t="n">
        <v>0.0186</v>
      </c>
      <c r="R67" s="8" t="n">
        <v>33.887947</v>
      </c>
      <c r="S67" s="4" t="inlineStr">
        <is>
          <t>EUROSTOXX50</t>
        </is>
      </c>
      <c r="T67" s="9" t="inlineStr">
        <is>
          <t>SI</t>
        </is>
      </c>
      <c r="U67" s="9" t="inlineStr"/>
      <c r="V67" s="10">
        <f>Umbrales!$B$9*(K67/1000)^Umbrales!$B$10</f>
        <v/>
      </c>
    </row>
    <row r="68">
      <c r="A68" s="4" t="inlineStr">
        <is>
          <t>KLAC</t>
        </is>
      </c>
      <c r="B68" s="4" t="inlineStr">
        <is>
          <t>KLA Corporation</t>
        </is>
      </c>
      <c r="C68" s="4" t="inlineStr">
        <is>
          <t>United States</t>
        </is>
      </c>
      <c r="D68" s="4" t="inlineStr">
        <is>
          <t>US</t>
        </is>
      </c>
      <c r="E68" s="4" t="inlineStr">
        <is>
          <t>Tecnología</t>
        </is>
      </c>
      <c r="F68" s="4" t="inlineStr">
        <is>
          <t>Semiconductor Equipment &amp; Materials</t>
        </is>
      </c>
      <c r="G68" s="4" t="inlineStr">
        <is>
          <t>NMS</t>
        </is>
      </c>
      <c r="H68" s="4" t="inlineStr">
        <is>
          <t>USD</t>
        </is>
      </c>
      <c r="I68" s="5" t="n">
        <v>233348.202496</v>
      </c>
      <c r="J68" s="6">
        <f>INDEX(FX!$B:$B,MATCH(H68,FX!$A:$A,0))</f>
        <v/>
      </c>
      <c r="K68" s="5">
        <f>I68*J68</f>
        <v/>
      </c>
      <c r="L68" s="4">
        <f>IF(U68&lt;&gt;"",U68,IF(K68&gt;=Umbrales!$B$2,"Legendaria",IF(K68&gt;=Umbrales!$B$3,"Épica",IF(K68&gt;=Umbrales!$B$4,"Rara",IF(K68&gt;=Umbrales!$B$5,"Poco común","Común")))))</f>
        <v/>
      </c>
      <c r="M68" s="5" t="n">
        <v>13579.475968</v>
      </c>
      <c r="N68" s="5" t="n">
        <v>4830.7712</v>
      </c>
      <c r="O68" s="5">
        <f>IF(M68="","",M68*J68)</f>
        <v/>
      </c>
      <c r="P68" s="5">
        <f>IF(N68="","",N68*J68)</f>
        <v/>
      </c>
      <c r="Q68" s="7" t="n">
        <v>0.005</v>
      </c>
      <c r="R68" s="8" t="n">
        <v>50.227528</v>
      </c>
      <c r="S68" s="4" t="inlineStr">
        <is>
          <t>NASDAQ100</t>
        </is>
      </c>
      <c r="T68" s="9" t="inlineStr">
        <is>
          <t>SI</t>
        </is>
      </c>
      <c r="U68" s="9" t="inlineStr"/>
      <c r="V68" s="10">
        <f>Umbrales!$B$9*(K68/1000)^Umbrales!$B$10</f>
        <v/>
      </c>
    </row>
    <row r="69">
      <c r="A69" s="4" t="inlineStr">
        <is>
          <t>AMGN</t>
        </is>
      </c>
      <c r="B69" s="4" t="inlineStr">
        <is>
          <t>Amgen Inc.</t>
        </is>
      </c>
      <c r="C69" s="4" t="inlineStr">
        <is>
          <t>United States</t>
        </is>
      </c>
      <c r="D69" s="4" t="inlineStr">
        <is>
          <t>US</t>
        </is>
      </c>
      <c r="E69" s="4" t="inlineStr">
        <is>
          <t>Salud</t>
        </is>
      </c>
      <c r="F69" s="4" t="inlineStr">
        <is>
          <t>Drug Manufacturers - General</t>
        </is>
      </c>
      <c r="G69" s="4" t="inlineStr">
        <is>
          <t>NMS</t>
        </is>
      </c>
      <c r="H69" s="4" t="inlineStr">
        <is>
          <t>USD</t>
        </is>
      </c>
      <c r="I69" s="5" t="n">
        <v>230368.690176</v>
      </c>
      <c r="J69" s="6">
        <f>INDEX(FX!$B:$B,MATCH(H69,FX!$A:$A,0))</f>
        <v/>
      </c>
      <c r="K69" s="5">
        <f>I69*J69</f>
        <v/>
      </c>
      <c r="L69" s="4">
        <f>IF(U69&lt;&gt;"",U69,IF(K69&gt;=Umbrales!$B$2,"Legendaria",IF(K69&gt;=Umbrales!$B$3,"Épica",IF(K69&gt;=Umbrales!$B$4,"Rara",IF(K69&gt;=Umbrales!$B$5,"Poco común","Común")))))</f>
        <v/>
      </c>
      <c r="M69" s="5" t="n">
        <v>38094.999552</v>
      </c>
      <c r="N69" s="5" t="n">
        <v>8743.000064</v>
      </c>
      <c r="O69" s="5">
        <f>IF(M69="","",M69*J69)</f>
        <v/>
      </c>
      <c r="P69" s="5">
        <f>IF(N69="","",N69*J69)</f>
        <v/>
      </c>
      <c r="Q69" s="7" t="n">
        <v>0.0244</v>
      </c>
      <c r="R69" s="8" t="n">
        <v>25.638386</v>
      </c>
      <c r="S69" s="4" t="inlineStr">
        <is>
          <t>DOW30, NASDAQ100</t>
        </is>
      </c>
      <c r="T69" s="9" t="inlineStr">
        <is>
          <t>SI</t>
        </is>
      </c>
      <c r="U69" s="9" t="inlineStr"/>
      <c r="V69" s="10">
        <f>Umbrales!$B$9*(K69/1000)^Umbrales!$B$10</f>
        <v/>
      </c>
    </row>
    <row r="70">
      <c r="A70" s="4" t="inlineStr">
        <is>
          <t>SIE.DE</t>
        </is>
      </c>
      <c r="B70" s="4" t="inlineStr">
        <is>
          <t>Siemens Aktiengesellschaft</t>
        </is>
      </c>
      <c r="C70" s="4" t="inlineStr">
        <is>
          <t>Germany</t>
        </is>
      </c>
      <c r="D70" s="4" t="inlineStr">
        <is>
          <t>DE</t>
        </is>
      </c>
      <c r="E70" s="4" t="inlineStr">
        <is>
          <t>Industria</t>
        </is>
      </c>
      <c r="F70" s="4" t="inlineStr">
        <is>
          <t>Specialty Industrial Machinery</t>
        </is>
      </c>
      <c r="G70" s="4" t="inlineStr">
        <is>
          <t>GER</t>
        </is>
      </c>
      <c r="H70" s="4" t="inlineStr">
        <is>
          <t>EUR</t>
        </is>
      </c>
      <c r="I70" s="5" t="n">
        <v>204684.836864</v>
      </c>
      <c r="J70" s="6">
        <f>INDEX(FX!$B:$B,MATCH(H70,FX!$A:$A,0))</f>
        <v/>
      </c>
      <c r="K70" s="5">
        <f>I70*J70</f>
        <v/>
      </c>
      <c r="L70" s="4">
        <f>IF(U70&lt;&gt;"",U70,IF(K70&gt;=Umbrales!$B$2,"Legendaria",IF(K70&gt;=Umbrales!$B$3,"Épica",IF(K70&gt;=Umbrales!$B$4,"Rara",IF(K70&gt;=Umbrales!$B$5,"Poco común","Común")))))</f>
        <v/>
      </c>
      <c r="M70" s="5" t="n">
        <v>81113.99731200001</v>
      </c>
      <c r="N70" s="5" t="n">
        <v>7870.000128</v>
      </c>
      <c r="O70" s="5">
        <f>IF(M70="","",M70*J70)</f>
        <v/>
      </c>
      <c r="P70" s="5">
        <f>IF(N70="","",N70*J70)</f>
        <v/>
      </c>
      <c r="Q70" s="7" t="n">
        <v>0.0197</v>
      </c>
      <c r="R70" s="8" t="n">
        <v>26.422924</v>
      </c>
      <c r="S70" s="4" t="inlineStr">
        <is>
          <t>DAX40, EUROSTOXX50</t>
        </is>
      </c>
      <c r="T70" s="9" t="inlineStr">
        <is>
          <t>SI</t>
        </is>
      </c>
      <c r="U70" s="9" t="inlineStr"/>
      <c r="V70" s="10">
        <f>Umbrales!$B$9*(K70/1000)^Umbrales!$B$10</f>
        <v/>
      </c>
    </row>
    <row r="71">
      <c r="A71" s="4" t="inlineStr">
        <is>
          <t>LIN</t>
        </is>
      </c>
      <c r="B71" s="4" t="inlineStr">
        <is>
          <t>Linde plc</t>
        </is>
      </c>
      <c r="C71" s="4" t="inlineStr">
        <is>
          <t>United Kingdom</t>
        </is>
      </c>
      <c r="D71" s="4" t="inlineStr">
        <is>
          <t>GB</t>
        </is>
      </c>
      <c r="E71" s="4" t="inlineStr">
        <is>
          <t>Materiales</t>
        </is>
      </c>
      <c r="F71" s="4" t="inlineStr">
        <is>
          <t>Specialty Chemicals</t>
        </is>
      </c>
      <c r="G71" s="4" t="inlineStr">
        <is>
          <t>NMS</t>
        </is>
      </c>
      <c r="H71" s="4" t="inlineStr">
        <is>
          <t>USD</t>
        </is>
      </c>
      <c r="I71" s="5" t="n">
        <v>227124.936704</v>
      </c>
      <c r="J71" s="6">
        <f>INDEX(FX!$B:$B,MATCH(H71,FX!$A:$A,0))</f>
        <v/>
      </c>
      <c r="K71" s="5">
        <f>I71*J71</f>
        <v/>
      </c>
      <c r="L71" s="4">
        <f>IF(U71&lt;&gt;"",U71,IF(K71&gt;=Umbrales!$B$2,"Legendaria",IF(K71&gt;=Umbrales!$B$3,"Épica",IF(K71&gt;=Umbrales!$B$4,"Rara",IF(K71&gt;=Umbrales!$B$5,"Poco común","Común")))))</f>
        <v/>
      </c>
      <c r="M71" s="5" t="n">
        <v>35448.999936</v>
      </c>
      <c r="N71" s="5" t="n">
        <v>7244.000256</v>
      </c>
      <c r="O71" s="5">
        <f>IF(M71="","",M71*J71)</f>
        <v/>
      </c>
      <c r="P71" s="5">
        <f>IF(N71="","",N71*J71)</f>
        <v/>
      </c>
      <c r="Q71" s="7" t="n">
        <v>0.013</v>
      </c>
      <c r="R71" s="8" t="n">
        <v>31.766602</v>
      </c>
      <c r="S71" s="4" t="inlineStr">
        <is>
          <t>NASDAQ100</t>
        </is>
      </c>
      <c r="T71" s="9" t="inlineStr">
        <is>
          <t>SI</t>
        </is>
      </c>
      <c r="U71" s="9" t="inlineStr"/>
      <c r="V71" s="10">
        <f>Umbrales!$B$9*(K71/1000)^Umbrales!$B$10</f>
        <v/>
      </c>
    </row>
    <row r="72">
      <c r="A72" s="4" t="inlineStr">
        <is>
          <t>7203.T</t>
        </is>
      </c>
      <c r="B72" s="4" t="inlineStr">
        <is>
          <t>Toyota Motor Corporation</t>
        </is>
      </c>
      <c r="C72" s="4" t="inlineStr">
        <is>
          <t>Japan</t>
        </is>
      </c>
      <c r="D72" s="4" t="inlineStr">
        <is>
          <t>JP</t>
        </is>
      </c>
      <c r="E72" s="4" t="inlineStr">
        <is>
          <t>Consumo cíclico</t>
        </is>
      </c>
      <c r="F72" s="4" t="inlineStr">
        <is>
          <t>Auto Manufacturers</t>
        </is>
      </c>
      <c r="G72" s="4" t="inlineStr">
        <is>
          <t>JPX</t>
        </is>
      </c>
      <c r="H72" s="4" t="inlineStr">
        <is>
          <t>JPY</t>
        </is>
      </c>
      <c r="I72" s="5" t="n">
        <v>35675759.968256</v>
      </c>
      <c r="J72" s="6">
        <f>INDEX(FX!$B:$B,MATCH(H72,FX!$A:$A,0))</f>
        <v/>
      </c>
      <c r="K72" s="5">
        <f>I72*J72</f>
        <v/>
      </c>
      <c r="L72" s="4">
        <f>IF(U72&lt;&gt;"",U72,IF(K72&gt;=Umbrales!$B$2,"Legendaria",IF(K72&gt;=Umbrales!$B$3,"Épica",IF(K72&gt;=Umbrales!$B$4,"Rara",IF(K72&gt;=Umbrales!$B$5,"Poco común","Común")))))</f>
        <v/>
      </c>
      <c r="M72" s="5" t="n">
        <v>51957024.68608</v>
      </c>
      <c r="N72" s="5" t="n">
        <v>4483796.959232</v>
      </c>
      <c r="O72" s="5">
        <f>IF(M72="","",M72*J72)</f>
        <v/>
      </c>
      <c r="P72" s="5">
        <f>IF(N72="","",N72*J72)</f>
        <v/>
      </c>
      <c r="Q72" s="7" t="n">
        <v>0.0332</v>
      </c>
      <c r="R72" s="8" t="n">
        <v>8.620297000000001</v>
      </c>
      <c r="S72" s="4" t="inlineStr">
        <is>
          <t>ASIA_TOP</t>
        </is>
      </c>
      <c r="T72" s="9" t="inlineStr">
        <is>
          <t>SI</t>
        </is>
      </c>
      <c r="U72" s="9" t="inlineStr"/>
      <c r="V72" s="10">
        <f>Umbrales!$B$9*(K72/1000)^Umbrales!$B$10</f>
        <v/>
      </c>
    </row>
    <row r="73">
      <c r="A73" s="4" t="inlineStr">
        <is>
          <t>0941.HK</t>
        </is>
      </c>
      <c r="B73" s="4" t="inlineStr">
        <is>
          <t>China Mobile Limited</t>
        </is>
      </c>
      <c r="C73" s="4" t="inlineStr">
        <is>
          <t>Hong Kong</t>
        </is>
      </c>
      <c r="D73" s="4" t="inlineStr">
        <is>
          <t>HK</t>
        </is>
      </c>
      <c r="E73" s="4" t="inlineStr">
        <is>
          <t>Comunicación</t>
        </is>
      </c>
      <c r="F73" s="4" t="inlineStr">
        <is>
          <t>Telecom Services</t>
        </is>
      </c>
      <c r="G73" s="4" t="inlineStr">
        <is>
          <t>HKG</t>
        </is>
      </c>
      <c r="H73" s="4" t="inlineStr">
        <is>
          <t>HKD</t>
        </is>
      </c>
      <c r="I73" s="5" t="n">
        <v>1756379.348992</v>
      </c>
      <c r="J73" s="6">
        <f>INDEX(FX!$B:$B,MATCH(H73,FX!$A:$A,0))</f>
        <v/>
      </c>
      <c r="K73" s="5">
        <f>I73*J73</f>
        <v/>
      </c>
      <c r="L73" s="4">
        <f>IF(U73&lt;&gt;"",U73,IF(K73&gt;=Umbrales!$B$2,"Legendaria",IF(K73&gt;=Umbrales!$B$3,"Épica",IF(K73&gt;=Umbrales!$B$4,"Rara",IF(K73&gt;=Umbrales!$B$5,"Poco común","Común")))))</f>
        <v/>
      </c>
      <c r="M73" s="5" t="n">
        <v>1044452.999168</v>
      </c>
      <c r="N73" s="5" t="n">
        <v>131794.00192</v>
      </c>
      <c r="O73" s="5">
        <f>IF(M73="","",M73*J73)</f>
        <v/>
      </c>
      <c r="P73" s="5">
        <f>IF(N73="","",N73*J73)</f>
        <v/>
      </c>
      <c r="Q73" s="7" t="n">
        <v>0.067</v>
      </c>
      <c r="R73" s="8" t="n">
        <v>12</v>
      </c>
      <c r="S73" s="4" t="inlineStr">
        <is>
          <t>ASIA_TOP</t>
        </is>
      </c>
      <c r="T73" s="9" t="inlineStr">
        <is>
          <t>SI</t>
        </is>
      </c>
      <c r="U73" s="9" t="inlineStr"/>
      <c r="V73" s="10">
        <f>Umbrales!$B$9*(K73/1000)^Umbrales!$B$10</f>
        <v/>
      </c>
    </row>
    <row r="74">
      <c r="A74" s="4" t="inlineStr">
        <is>
          <t>SHOP</t>
        </is>
      </c>
      <c r="B74" s="4" t="inlineStr">
        <is>
          <t>Shopify Inc.</t>
        </is>
      </c>
      <c r="C74" s="4" t="inlineStr">
        <is>
          <t>Canada</t>
        </is>
      </c>
      <c r="D74" s="4" t="inlineStr">
        <is>
          <t>CA</t>
        </is>
      </c>
      <c r="E74" s="4" t="inlineStr">
        <is>
          <t>Tecnología</t>
        </is>
      </c>
      <c r="F74" s="4" t="inlineStr">
        <is>
          <t>Software - Application</t>
        </is>
      </c>
      <c r="G74" s="4" t="inlineStr">
        <is>
          <t>NMS</t>
        </is>
      </c>
      <c r="H74" s="4" t="inlineStr">
        <is>
          <t>USD</t>
        </is>
      </c>
      <c r="I74" s="5" t="n">
        <v>221946.085376</v>
      </c>
      <c r="J74" s="6">
        <f>INDEX(FX!$B:$B,MATCH(H74,FX!$A:$A,0))</f>
        <v/>
      </c>
      <c r="K74" s="5">
        <f>I74*J74</f>
        <v/>
      </c>
      <c r="L74" s="4">
        <f>IF(U74&lt;&gt;"",U74,IF(K74&gt;=Umbrales!$B$2,"Legendaria",IF(K74&gt;=Umbrales!$B$3,"Épica",IF(K74&gt;=Umbrales!$B$4,"Rara",IF(K74&gt;=Umbrales!$B$5,"Poco común","Común")))))</f>
        <v/>
      </c>
      <c r="M74" s="5" t="n">
        <v>13269.000192</v>
      </c>
      <c r="N74" s="5" t="n">
        <v>1928</v>
      </c>
      <c r="O74" s="5">
        <f>IF(M74="","",M74*J74)</f>
        <v/>
      </c>
      <c r="P74" s="5">
        <f>IF(N74="","",N74*J74)</f>
        <v/>
      </c>
      <c r="Q74" s="7" t="n">
        <v>0</v>
      </c>
      <c r="R74" s="8" t="n">
        <v>118.965515</v>
      </c>
      <c r="S74" s="4" t="inlineStr">
        <is>
          <t>NASDAQ100</t>
        </is>
      </c>
      <c r="T74" s="9" t="inlineStr">
        <is>
          <t>SI</t>
        </is>
      </c>
      <c r="U74" s="9" t="inlineStr"/>
      <c r="V74" s="10">
        <f>Umbrales!$B$9*(K74/1000)^Umbrales!$B$10</f>
        <v/>
      </c>
    </row>
    <row r="75">
      <c r="A75" s="4" t="inlineStr">
        <is>
          <t>MRVL</t>
        </is>
      </c>
      <c r="B75" s="4" t="inlineStr">
        <is>
          <t>Marvell Technology, Inc.</t>
        </is>
      </c>
      <c r="C75" s="4" t="inlineStr">
        <is>
          <t>United States</t>
        </is>
      </c>
      <c r="D75" s="4" t="inlineStr">
        <is>
          <t>US</t>
        </is>
      </c>
      <c r="E75" s="4" t="inlineStr">
        <is>
          <t>Tecnología</t>
        </is>
      </c>
      <c r="F75" s="4" t="inlineStr">
        <is>
          <t>Semiconductors</t>
        </is>
      </c>
      <c r="G75" s="4" t="inlineStr">
        <is>
          <t>NMS</t>
        </is>
      </c>
      <c r="H75" s="4" t="inlineStr">
        <is>
          <t>USD</t>
        </is>
      </c>
      <c r="I75" s="5" t="n">
        <v>220434.26816</v>
      </c>
      <c r="J75" s="6">
        <f>INDEX(FX!$B:$B,MATCH(H75,FX!$A:$A,0))</f>
        <v/>
      </c>
      <c r="K75" s="5">
        <f>I75*J75</f>
        <v/>
      </c>
      <c r="L75" s="4">
        <f>IF(U75&lt;&gt;"",U75,IF(K75&gt;=Umbrales!$B$2,"Legendaria",IF(K75&gt;=Umbrales!$B$3,"Épica",IF(K75&gt;=Umbrales!$B$4,"Rara",IF(K75&gt;=Umbrales!$B$5,"Poco común","Común")))))</f>
        <v/>
      </c>
      <c r="M75" s="5" t="n">
        <v>9450.300416</v>
      </c>
      <c r="N75" s="5" t="n">
        <v>2639.899904</v>
      </c>
      <c r="O75" s="5">
        <f>IF(M75="","",M75*J75)</f>
        <v/>
      </c>
      <c r="P75" s="5">
        <f>IF(N75="","",N75*J75)</f>
        <v/>
      </c>
      <c r="Q75" s="7" t="n">
        <v>0.0009</v>
      </c>
      <c r="R75" s="8" t="n">
        <v>77.86666</v>
      </c>
      <c r="S75" s="4" t="inlineStr">
        <is>
          <t>NASDAQ100</t>
        </is>
      </c>
      <c r="T75" s="9" t="inlineStr">
        <is>
          <t>SI</t>
        </is>
      </c>
      <c r="U75" s="9" t="inlineStr"/>
      <c r="V75" s="10">
        <f>Umbrales!$B$9*(K75/1000)^Umbrales!$B$10</f>
        <v/>
      </c>
    </row>
    <row r="76">
      <c r="A76" s="4" t="inlineStr">
        <is>
          <t>MC.PA</t>
        </is>
      </c>
      <c r="B76" s="4" t="inlineStr">
        <is>
          <t>LVMH Moët Hennessy - Louis Vuitton, Société Européenne</t>
        </is>
      </c>
      <c r="C76" s="4" t="inlineStr">
        <is>
          <t>France</t>
        </is>
      </c>
      <c r="D76" s="4" t="inlineStr">
        <is>
          <t>FR</t>
        </is>
      </c>
      <c r="E76" s="4" t="inlineStr">
        <is>
          <t>Consumo cíclico</t>
        </is>
      </c>
      <c r="F76" s="4" t="inlineStr">
        <is>
          <t>Luxury Goods</t>
        </is>
      </c>
      <c r="G76" s="4" t="inlineStr">
        <is>
          <t>PAR</t>
        </is>
      </c>
      <c r="H76" s="4" t="inlineStr">
        <is>
          <t>EUR</t>
        </is>
      </c>
      <c r="I76" s="5" t="n">
        <v>194006.450176</v>
      </c>
      <c r="J76" s="6">
        <f>INDEX(FX!$B:$B,MATCH(H76,FX!$A:$A,0))</f>
        <v/>
      </c>
      <c r="K76" s="5">
        <f>I76*J76</f>
        <v/>
      </c>
      <c r="L76" s="4">
        <f>IF(U76&lt;&gt;"",U76,IF(K76&gt;=Umbrales!$B$2,"Legendaria",IF(K76&gt;=Umbrales!$B$3,"Épica",IF(K76&gt;=Umbrales!$B$4,"Rara",IF(K76&gt;=Umbrales!$B$5,"Poco común","Común")))))</f>
        <v/>
      </c>
      <c r="M76" s="5" t="n">
        <v>79641.001984</v>
      </c>
      <c r="N76" s="5" t="n">
        <v>10876.99968</v>
      </c>
      <c r="O76" s="5">
        <f>IF(M76="","",M76*J76)</f>
        <v/>
      </c>
      <c r="P76" s="5">
        <f>IF(N76="","",N76*J76)</f>
        <v/>
      </c>
      <c r="Q76" s="7" t="n">
        <v>0.0339</v>
      </c>
      <c r="R76" s="8" t="n">
        <v>17.937555</v>
      </c>
      <c r="S76" s="4" t="inlineStr">
        <is>
          <t>EUROSTOXX50</t>
        </is>
      </c>
      <c r="T76" s="9" t="inlineStr">
        <is>
          <t>SI</t>
        </is>
      </c>
      <c r="U76" s="9" t="inlineStr"/>
      <c r="V76" s="10">
        <f>Umbrales!$B$9*(K76/1000)^Umbrales!$B$10</f>
        <v/>
      </c>
    </row>
    <row r="77">
      <c r="A77" s="4" t="inlineStr">
        <is>
          <t>IBM</t>
        </is>
      </c>
      <c r="B77" s="4" t="inlineStr">
        <is>
          <t>International Business Machines Corporation</t>
        </is>
      </c>
      <c r="C77" s="4" t="inlineStr">
        <is>
          <t>United States</t>
        </is>
      </c>
      <c r="D77" s="4" t="inlineStr">
        <is>
          <t>US</t>
        </is>
      </c>
      <c r="E77" s="4" t="inlineStr">
        <is>
          <t>Tecnología</t>
        </is>
      </c>
      <c r="F77" s="4" t="inlineStr">
        <is>
          <t>Information Technology Services</t>
        </is>
      </c>
      <c r="G77" s="4" t="inlineStr">
        <is>
          <t>NYQ</t>
        </is>
      </c>
      <c r="H77" s="4" t="inlineStr">
        <is>
          <t>USD</t>
        </is>
      </c>
      <c r="I77" s="5" t="n">
        <v>214693.593088</v>
      </c>
      <c r="J77" s="6">
        <f>INDEX(FX!$B:$B,MATCH(H77,FX!$A:$A,0))</f>
        <v/>
      </c>
      <c r="K77" s="5">
        <f>I77*J77</f>
        <v/>
      </c>
      <c r="L77" s="4">
        <f>IF(U77&lt;&gt;"",U77,IF(K77&gt;=Umbrales!$B$2,"Legendaria",IF(K77&gt;=Umbrales!$B$3,"Épica",IF(K77&gt;=Umbrales!$B$4,"Rara",IF(K77&gt;=Umbrales!$B$5,"Poco común","Común")))))</f>
        <v/>
      </c>
      <c r="M77" s="5" t="n">
        <v>69094.998016</v>
      </c>
      <c r="N77" s="5" t="n">
        <v>10705.000448</v>
      </c>
      <c r="O77" s="5">
        <f>IF(M77="","",M77*J77)</f>
        <v/>
      </c>
      <c r="P77" s="5">
        <f>IF(N77="","",N77*J77)</f>
        <v/>
      </c>
      <c r="Q77" s="7" t="n">
        <v>0.0293</v>
      </c>
      <c r="R77" s="8" t="n">
        <v>20.511251</v>
      </c>
      <c r="S77" s="4" t="inlineStr">
        <is>
          <t>DOW30</t>
        </is>
      </c>
      <c r="T77" s="9" t="inlineStr">
        <is>
          <t>SI</t>
        </is>
      </c>
      <c r="U77" s="9" t="inlineStr"/>
      <c r="V77" s="10">
        <f>Umbrales!$B$9*(K77/1000)^Umbrales!$B$10</f>
        <v/>
      </c>
    </row>
    <row r="78">
      <c r="A78" s="4" t="inlineStr">
        <is>
          <t>AXP</t>
        </is>
      </c>
      <c r="B78" s="4" t="inlineStr">
        <is>
          <t>American Express Company</t>
        </is>
      </c>
      <c r="C78" s="4" t="inlineStr">
        <is>
          <t>United States</t>
        </is>
      </c>
      <c r="D78" s="4" t="inlineStr">
        <is>
          <t>US</t>
        </is>
      </c>
      <c r="E78" s="4" t="inlineStr">
        <is>
          <t>Finanzas</t>
        </is>
      </c>
      <c r="F78" s="4" t="inlineStr">
        <is>
          <t>Credit Services</t>
        </is>
      </c>
      <c r="G78" s="4" t="inlineStr">
        <is>
          <t>NYQ</t>
        </is>
      </c>
      <c r="H78" s="4" t="inlineStr">
        <is>
          <t>USD</t>
        </is>
      </c>
      <c r="I78" s="5" t="n">
        <v>207286.35392</v>
      </c>
      <c r="J78" s="6">
        <f>INDEX(FX!$B:$B,MATCH(H78,FX!$A:$A,0))</f>
        <v/>
      </c>
      <c r="K78" s="5">
        <f>I78*J78</f>
        <v/>
      </c>
      <c r="L78" s="4">
        <f>IF(U78&lt;&gt;"",U78,IF(K78&gt;=Umbrales!$B$2,"Legendaria",IF(K78&gt;=Umbrales!$B$3,"Épica",IF(K78&gt;=Umbrales!$B$4,"Rara",IF(K78&gt;=Umbrales!$B$5,"Poco común","Común")))))</f>
        <v/>
      </c>
      <c r="M78" s="5" t="n">
        <v>70912.99942399999</v>
      </c>
      <c r="N78" s="5" t="n">
        <v>11310.999552</v>
      </c>
      <c r="O78" s="5">
        <f>IF(M78="","",M78*J78)</f>
        <v/>
      </c>
      <c r="P78" s="5">
        <f>IF(N78="","",N78*J78)</f>
        <v/>
      </c>
      <c r="Q78" s="7" t="n">
        <v>0.0123</v>
      </c>
      <c r="R78" s="8" t="n">
        <v>18.796694</v>
      </c>
      <c r="S78" s="4" t="inlineStr">
        <is>
          <t>DOW30</t>
        </is>
      </c>
      <c r="T78" s="9" t="inlineStr">
        <is>
          <t>SI</t>
        </is>
      </c>
      <c r="U78" s="9" t="inlineStr"/>
      <c r="V78" s="10">
        <f>Umbrales!$B$9*(K78/1000)^Umbrales!$B$10</f>
        <v/>
      </c>
    </row>
    <row r="79">
      <c r="A79" s="4" t="inlineStr">
        <is>
          <t>C</t>
        </is>
      </c>
      <c r="B79" s="4" t="inlineStr">
        <is>
          <t>Citigroup Inc.</t>
        </is>
      </c>
      <c r="C79" s="4" t="inlineStr">
        <is>
          <t>United States</t>
        </is>
      </c>
      <c r="D79" s="4" t="inlineStr">
        <is>
          <t>US</t>
        </is>
      </c>
      <c r="E79" s="4" t="inlineStr">
        <is>
          <t>Finanzas</t>
        </is>
      </c>
      <c r="F79" s="4" t="inlineStr">
        <is>
          <t>Banks - Diversified</t>
        </is>
      </c>
      <c r="G79" s="4" t="inlineStr">
        <is>
          <t>NYQ</t>
        </is>
      </c>
      <c r="H79" s="4" t="inlineStr">
        <is>
          <t>USD</t>
        </is>
      </c>
      <c r="I79" s="5" t="n">
        <v>205100.187648</v>
      </c>
      <c r="J79" s="6">
        <f>INDEX(FX!$B:$B,MATCH(H79,FX!$A:$A,0))</f>
        <v/>
      </c>
      <c r="K79" s="5">
        <f>I79*J79</f>
        <v/>
      </c>
      <c r="L79" s="4">
        <f>IF(U79&lt;&gt;"",U79,IF(K79&gt;=Umbrales!$B$2,"Legendaria",IF(K79&gt;=Umbrales!$B$3,"Épica",IF(K79&gt;=Umbrales!$B$4,"Rara",IF(K79&gt;=Umbrales!$B$5,"Poco común","Común")))))</f>
        <v/>
      </c>
      <c r="M79" s="5" t="n">
        <v>81711.99692799999</v>
      </c>
      <c r="N79" s="5" t="n">
        <v>16460.000256</v>
      </c>
      <c r="O79" s="5">
        <f>IF(M79="","",M79*J79)</f>
        <v/>
      </c>
      <c r="P79" s="5">
        <f>IF(N79="","",N79*J79)</f>
        <v/>
      </c>
      <c r="Q79" s="7" t="n">
        <v>0.0203</v>
      </c>
      <c r="R79" s="8" t="n">
        <v>12.142006</v>
      </c>
      <c r="S79" s="4" t="inlineStr"/>
      <c r="T79" s="9" t="inlineStr">
        <is>
          <t>SI</t>
        </is>
      </c>
      <c r="U79" s="9" t="inlineStr"/>
      <c r="V79" s="10">
        <f>Umbrales!$B$9*(K79/1000)^Umbrales!$B$10</f>
        <v/>
      </c>
    </row>
    <row r="80">
      <c r="A80" s="4" t="inlineStr">
        <is>
          <t>BHP.AX</t>
        </is>
      </c>
      <c r="B80" s="4" t="inlineStr">
        <is>
          <t>BHP Group Limited</t>
        </is>
      </c>
      <c r="C80" s="4" t="inlineStr">
        <is>
          <t>Australia</t>
        </is>
      </c>
      <c r="D80" s="4" t="inlineStr">
        <is>
          <t>AU</t>
        </is>
      </c>
      <c r="E80" s="4" t="inlineStr">
        <is>
          <t>Materiales</t>
        </is>
      </c>
      <c r="F80" s="4" t="inlineStr">
        <is>
          <t>Other Industrial Metals &amp; Mining</t>
        </is>
      </c>
      <c r="G80" s="4" t="inlineStr">
        <is>
          <t>ASX</t>
        </is>
      </c>
      <c r="H80" s="4" t="inlineStr">
        <is>
          <t>AUD</t>
        </is>
      </c>
      <c r="I80" s="5" t="n">
        <v>294811.303936</v>
      </c>
      <c r="J80" s="6">
        <f>INDEX(FX!$B:$B,MATCH(H80,FX!$A:$A,0))</f>
        <v/>
      </c>
      <c r="K80" s="5">
        <f>I80*J80</f>
        <v/>
      </c>
      <c r="L80" s="4">
        <f>IF(U80&lt;&gt;"",U80,IF(K80&gt;=Umbrales!$B$2,"Legendaria",IF(K80&gt;=Umbrales!$B$3,"Épica",IF(K80&gt;=Umbrales!$B$4,"Rara",IF(K80&gt;=Umbrales!$B$5,"Poco común","Común")))))</f>
        <v/>
      </c>
      <c r="M80" s="5" t="n">
        <v>58759.999488</v>
      </c>
      <c r="N80" s="5" t="n">
        <v>9832.999936</v>
      </c>
      <c r="O80" s="5">
        <f>IF(M80="","",M80*J80)</f>
        <v/>
      </c>
      <c r="P80" s="5">
        <f>IF(N80="","",N80*J80)</f>
        <v/>
      </c>
      <c r="Q80" s="7" t="n">
        <v>0.0397</v>
      </c>
      <c r="R80" s="8" t="n">
        <v>20.4947</v>
      </c>
      <c r="S80" s="4" t="inlineStr">
        <is>
          <t>ASIA_TOP</t>
        </is>
      </c>
      <c r="T80" s="9" t="inlineStr">
        <is>
          <t>SI</t>
        </is>
      </c>
      <c r="U80" s="9" t="inlineStr"/>
      <c r="V80" s="10">
        <f>Umbrales!$B$9*(K80/1000)^Umbrales!$B$10</f>
        <v/>
      </c>
    </row>
    <row r="81">
      <c r="A81" s="4" t="inlineStr">
        <is>
          <t>APH</t>
        </is>
      </c>
      <c r="B81" s="4" t="inlineStr">
        <is>
          <t>Amphenol Corporation</t>
        </is>
      </c>
      <c r="C81" s="4" t="inlineStr">
        <is>
          <t>United States</t>
        </is>
      </c>
      <c r="D81" s="4" t="inlineStr">
        <is>
          <t>US</t>
        </is>
      </c>
      <c r="E81" s="4" t="inlineStr">
        <is>
          <t>Tecnología</t>
        </is>
      </c>
      <c r="F81" s="4" t="inlineStr">
        <is>
          <t>Electronic Components</t>
        </is>
      </c>
      <c r="G81" s="4" t="inlineStr">
        <is>
          <t>NYQ</t>
        </is>
      </c>
      <c r="H81" s="4" t="inlineStr">
        <is>
          <t>USD</t>
        </is>
      </c>
      <c r="I81" s="5" t="n">
        <v>203910.807552</v>
      </c>
      <c r="J81" s="6">
        <f>INDEX(FX!$B:$B,MATCH(H81,FX!$A:$A,0))</f>
        <v/>
      </c>
      <c r="K81" s="5">
        <f>I81*J81</f>
        <v/>
      </c>
      <c r="L81" s="4">
        <f>IF(U81&lt;&gt;"",U81,IF(K81&gt;=Umbrales!$B$2,"Legendaria",IF(K81&gt;=Umbrales!$B$3,"Épica",IF(K81&gt;=Umbrales!$B$4,"Rara",IF(K81&gt;=Umbrales!$B$5,"Poco común","Común")))))</f>
        <v/>
      </c>
      <c r="M81" s="5" t="n">
        <v>29011.59936</v>
      </c>
      <c r="N81" s="5" t="n">
        <v>5143.399936</v>
      </c>
      <c r="O81" s="5">
        <f>IF(M81="","",M81*J81)</f>
        <v/>
      </c>
      <c r="P81" s="5">
        <f>IF(N81="","",N81*J81)</f>
        <v/>
      </c>
      <c r="Q81" s="7" t="n">
        <v>0.0058</v>
      </c>
      <c r="R81" s="8" t="n">
        <v>42.844563</v>
      </c>
      <c r="S81" s="4" t="inlineStr"/>
      <c r="T81" s="9" t="inlineStr">
        <is>
          <t>SI</t>
        </is>
      </c>
      <c r="U81" s="9" t="inlineStr"/>
      <c r="V81" s="10">
        <f>Umbrales!$B$9*(K81/1000)^Umbrales!$B$10</f>
        <v/>
      </c>
    </row>
    <row r="82">
      <c r="A82" s="4" t="inlineStr">
        <is>
          <t>TTE.PA</t>
        </is>
      </c>
      <c r="B82" s="4" t="inlineStr">
        <is>
          <t>TotalEnergies SE</t>
        </is>
      </c>
      <c r="C82" s="4" t="inlineStr">
        <is>
          <t>France</t>
        </is>
      </c>
      <c r="D82" s="4" t="inlineStr">
        <is>
          <t>FR</t>
        </is>
      </c>
      <c r="E82" s="4" t="inlineStr">
        <is>
          <t>Energía</t>
        </is>
      </c>
      <c r="F82" s="4" t="inlineStr">
        <is>
          <t>Oil &amp; Gas Integrated</t>
        </is>
      </c>
      <c r="G82" s="4" t="inlineStr">
        <is>
          <t>PAR</t>
        </is>
      </c>
      <c r="H82" s="4" t="inlineStr">
        <is>
          <t>EUR</t>
        </is>
      </c>
      <c r="I82" s="5" t="n">
        <v>178282.463232</v>
      </c>
      <c r="J82" s="6">
        <f>INDEX(FX!$B:$B,MATCH(H82,FX!$A:$A,0))</f>
        <v/>
      </c>
      <c r="K82" s="5">
        <f>I82*J82</f>
        <v/>
      </c>
      <c r="L82" s="4">
        <f>IF(U82&lt;&gt;"",U82,IF(K82&gt;=Umbrales!$B$2,"Legendaria",IF(K82&gt;=Umbrales!$B$3,"Épica",IF(K82&gt;=Umbrales!$B$4,"Rara",IF(K82&gt;=Umbrales!$B$5,"Poco común","Común")))))</f>
        <v/>
      </c>
      <c r="M82" s="5" t="n">
        <v>196381.999104</v>
      </c>
      <c r="N82" s="5" t="n">
        <v>17837.000704</v>
      </c>
      <c r="O82" s="5">
        <f>IF(M82="","",M82*J82)</f>
        <v/>
      </c>
      <c r="P82" s="5">
        <f>IF(N82="","",N82*J82)</f>
        <v/>
      </c>
      <c r="Q82" s="7" t="n">
        <v>0.0451</v>
      </c>
      <c r="R82" s="8" t="n">
        <v>11.804379</v>
      </c>
      <c r="S82" s="4" t="inlineStr">
        <is>
          <t>EUROSTOXX50</t>
        </is>
      </c>
      <c r="T82" s="9" t="inlineStr">
        <is>
          <t>SI</t>
        </is>
      </c>
      <c r="U82" s="9" t="inlineStr"/>
      <c r="V82" s="10">
        <f>Umbrales!$B$9*(K82/1000)^Umbrales!$B$10</f>
        <v/>
      </c>
    </row>
    <row r="83">
      <c r="A83" s="4" t="inlineStr">
        <is>
          <t>SAN.MC</t>
        </is>
      </c>
      <c r="B83" s="4" t="inlineStr">
        <is>
          <t>Banco Santander, S.A.</t>
        </is>
      </c>
      <c r="C83" s="4" t="inlineStr">
        <is>
          <t>Spain</t>
        </is>
      </c>
      <c r="D83" s="4" t="inlineStr">
        <is>
          <t>ES</t>
        </is>
      </c>
      <c r="E83" s="4" t="inlineStr">
        <is>
          <t>Finanzas</t>
        </is>
      </c>
      <c r="F83" s="4" t="inlineStr">
        <is>
          <t>Banks - Diversified</t>
        </is>
      </c>
      <c r="G83" s="4" t="inlineStr">
        <is>
          <t>MCE</t>
        </is>
      </c>
      <c r="H83" s="4" t="inlineStr">
        <is>
          <t>EUR</t>
        </is>
      </c>
      <c r="I83" s="5" t="n">
        <v>174499.67616</v>
      </c>
      <c r="J83" s="6">
        <f>INDEX(FX!$B:$B,MATCH(H83,FX!$A:$A,0))</f>
        <v/>
      </c>
      <c r="K83" s="5">
        <f>I83*J83</f>
        <v/>
      </c>
      <c r="L83" s="4">
        <f>IF(U83&lt;&gt;"",U83,IF(K83&gt;=Umbrales!$B$2,"Legendaria",IF(K83&gt;=Umbrales!$B$3,"Épica",IF(K83&gt;=Umbrales!$B$4,"Rara",IF(K83&gt;=Umbrales!$B$5,"Poco común","Común")))))</f>
        <v/>
      </c>
      <c r="M83" s="5" t="n">
        <v>48533.000192</v>
      </c>
      <c r="N83" s="5" t="n">
        <v>12899.999744</v>
      </c>
      <c r="O83" s="5">
        <f>IF(M83="","",M83*J83)</f>
        <v/>
      </c>
      <c r="P83" s="5">
        <f>IF(N83="","",N83*J83)</f>
        <v/>
      </c>
      <c r="Q83" s="7" t="n">
        <v>0.0209</v>
      </c>
      <c r="R83" s="8" t="n">
        <v>13.715909</v>
      </c>
      <c r="S83" s="4" t="inlineStr">
        <is>
          <t>EUROSTOXX50, IBEX35</t>
        </is>
      </c>
      <c r="T83" s="9" t="inlineStr">
        <is>
          <t>SI</t>
        </is>
      </c>
      <c r="U83" s="9" t="inlineStr"/>
      <c r="V83" s="10">
        <f>Umbrales!$B$9*(K83/1000)^Umbrales!$B$10</f>
        <v/>
      </c>
    </row>
    <row r="84">
      <c r="A84" s="4" t="inlineStr">
        <is>
          <t>ADI</t>
        </is>
      </c>
      <c r="B84" s="4" t="inlineStr">
        <is>
          <t>Analog Devices, Inc.</t>
        </is>
      </c>
      <c r="C84" s="4" t="inlineStr">
        <is>
          <t>United States</t>
        </is>
      </c>
      <c r="D84" s="4" t="inlineStr">
        <is>
          <t>US</t>
        </is>
      </c>
      <c r="E84" s="4" t="inlineStr">
        <is>
          <t>Tecnología</t>
        </is>
      </c>
      <c r="F84" s="4" t="inlineStr">
        <is>
          <t>Semiconductors</t>
        </is>
      </c>
      <c r="G84" s="4" t="inlineStr">
        <is>
          <t>NMS</t>
        </is>
      </c>
      <c r="H84" s="4" t="inlineStr">
        <is>
          <t>USD</t>
        </is>
      </c>
      <c r="I84" s="5" t="n">
        <v>195556.098048</v>
      </c>
      <c r="J84" s="6">
        <f>INDEX(FX!$B:$B,MATCH(H84,FX!$A:$A,0))</f>
        <v/>
      </c>
      <c r="K84" s="5">
        <f>I84*J84</f>
        <v/>
      </c>
      <c r="L84" s="4">
        <f>IF(U84&lt;&gt;"",U84,IF(K84&gt;=Umbrales!$B$2,"Legendaria",IF(K84&gt;=Umbrales!$B$3,"Épica",IF(K84&gt;=Umbrales!$B$4,"Rara",IF(K84&gt;=Umbrales!$B$5,"Poco común","Común")))))</f>
        <v/>
      </c>
      <c r="M84" s="5" t="n">
        <v>13881.744384</v>
      </c>
      <c r="N84" s="5" t="n">
        <v>4135.003904</v>
      </c>
      <c r="O84" s="5">
        <f>IF(M84="","",M84*J84)</f>
        <v/>
      </c>
      <c r="P84" s="5">
        <f>IF(N84="","",N84*J84)</f>
        <v/>
      </c>
      <c r="Q84" s="7" t="n">
        <v>0.0106</v>
      </c>
      <c r="R84" s="8" t="n">
        <v>49.27595</v>
      </c>
      <c r="S84" s="4" t="inlineStr">
        <is>
          <t>NASDAQ100</t>
        </is>
      </c>
      <c r="T84" s="9" t="inlineStr">
        <is>
          <t>SI</t>
        </is>
      </c>
      <c r="U84" s="9" t="inlineStr"/>
      <c r="V84" s="10">
        <f>Umbrales!$B$9*(K84/1000)^Umbrales!$B$10</f>
        <v/>
      </c>
    </row>
    <row r="85">
      <c r="A85" s="4" t="inlineStr">
        <is>
          <t>CRM</t>
        </is>
      </c>
      <c r="B85" s="4" t="inlineStr">
        <is>
          <t>Salesforce, Inc.</t>
        </is>
      </c>
      <c r="C85" s="4" t="inlineStr">
        <is>
          <t>United States</t>
        </is>
      </c>
      <c r="D85" s="4" t="inlineStr">
        <is>
          <t>US</t>
        </is>
      </c>
      <c r="E85" s="4" t="inlineStr">
        <is>
          <t>Tecnología</t>
        </is>
      </c>
      <c r="F85" s="4" t="inlineStr">
        <is>
          <t>Software - Application</t>
        </is>
      </c>
      <c r="G85" s="4" t="inlineStr">
        <is>
          <t>NYQ</t>
        </is>
      </c>
      <c r="H85" s="4" t="inlineStr">
        <is>
          <t>USD</t>
        </is>
      </c>
      <c r="I85" s="5" t="n">
        <v>194186.8544</v>
      </c>
      <c r="J85" s="6">
        <f>INDEX(FX!$B:$B,MATCH(H85,FX!$A:$A,0))</f>
        <v/>
      </c>
      <c r="K85" s="5">
        <f>I85*J85</f>
        <v/>
      </c>
      <c r="L85" s="4">
        <f>IF(U85&lt;&gt;"",U85,IF(K85&gt;=Umbrales!$B$2,"Legendaria",IF(K85&gt;=Umbrales!$B$3,"Épica",IF(K85&gt;=Umbrales!$B$4,"Rara",IF(K85&gt;=Umbrales!$B$5,"Poco común","Común")))))</f>
        <v/>
      </c>
      <c r="M85" s="5" t="n">
        <v>43938.000896</v>
      </c>
      <c r="N85" s="5" t="n">
        <v>9662.000128</v>
      </c>
      <c r="O85" s="5">
        <f>IF(M85="","",M85*J85)</f>
        <v/>
      </c>
      <c r="P85" s="5">
        <f>IF(N85="","",N85*J85)</f>
        <v/>
      </c>
      <c r="Q85" s="7" t="n">
        <v>0.0074</v>
      </c>
      <c r="R85" s="8" t="n">
        <v>21.587374</v>
      </c>
      <c r="S85" s="4" t="inlineStr">
        <is>
          <t>DOW30</t>
        </is>
      </c>
      <c r="T85" s="9" t="inlineStr">
        <is>
          <t>SI</t>
        </is>
      </c>
      <c r="U85" s="9" t="inlineStr"/>
      <c r="V85" s="10">
        <f>Umbrales!$B$9*(K85/1000)^Umbrales!$B$10</f>
        <v/>
      </c>
    </row>
    <row r="86">
      <c r="A86" s="4" t="inlineStr">
        <is>
          <t>ITX.MC</t>
        </is>
      </c>
      <c r="B86" s="4" t="inlineStr">
        <is>
          <t>Industria de Diseño Textil, S.A.</t>
        </is>
      </c>
      <c r="C86" s="4" t="inlineStr">
        <is>
          <t>Spain</t>
        </is>
      </c>
      <c r="D86" s="4" t="inlineStr">
        <is>
          <t>ES</t>
        </is>
      </c>
      <c r="E86" s="4" t="inlineStr">
        <is>
          <t>Consumo cíclico</t>
        </is>
      </c>
      <c r="F86" s="4" t="inlineStr">
        <is>
          <t>Apparel Retail</t>
        </is>
      </c>
      <c r="G86" s="4" t="inlineStr">
        <is>
          <t>MCE</t>
        </is>
      </c>
      <c r="H86" s="4" t="inlineStr">
        <is>
          <t>EUR</t>
        </is>
      </c>
      <c r="I86" s="5" t="n">
        <v>172322.308096</v>
      </c>
      <c r="J86" s="6">
        <f>INDEX(FX!$B:$B,MATCH(H86,FX!$A:$A,0))</f>
        <v/>
      </c>
      <c r="K86" s="5">
        <f>I86*J86</f>
        <v/>
      </c>
      <c r="L86" s="4">
        <f>IF(U86&lt;&gt;"",U86,IF(K86&gt;=Umbrales!$B$2,"Legendaria",IF(K86&gt;=Umbrales!$B$3,"Épica",IF(K86&gt;=Umbrales!$B$4,"Rara",IF(K86&gt;=Umbrales!$B$5,"Poco común","Común")))))</f>
        <v/>
      </c>
      <c r="M86" s="5" t="n">
        <v>41261.99808</v>
      </c>
      <c r="N86" s="5" t="n">
        <v>6408.999936</v>
      </c>
      <c r="O86" s="5">
        <f>IF(M86="","",M86*J86)</f>
        <v/>
      </c>
      <c r="P86" s="5">
        <f>IF(N86="","",N86*J86)</f>
        <v/>
      </c>
      <c r="Q86" s="7" t="n">
        <v>0.012</v>
      </c>
      <c r="R86" s="8" t="n">
        <v>26.85437</v>
      </c>
      <c r="S86" s="4" t="inlineStr">
        <is>
          <t>EUROSTOXX50, IBEX35</t>
        </is>
      </c>
      <c r="T86" s="9" t="inlineStr">
        <is>
          <t>SI</t>
        </is>
      </c>
      <c r="U86" s="9" t="inlineStr"/>
      <c r="V86" s="10">
        <f>Umbrales!$B$9*(K86/1000)^Umbrales!$B$10</f>
        <v/>
      </c>
    </row>
    <row r="87">
      <c r="A87" s="4" t="inlineStr">
        <is>
          <t>GILD</t>
        </is>
      </c>
      <c r="B87" s="4" t="inlineStr">
        <is>
          <t>Gilead Sciences, Inc.</t>
        </is>
      </c>
      <c r="C87" s="4" t="inlineStr">
        <is>
          <t>United States</t>
        </is>
      </c>
      <c r="D87" s="4" t="inlineStr">
        <is>
          <t>US</t>
        </is>
      </c>
      <c r="E87" s="4" t="inlineStr">
        <is>
          <t>Salud</t>
        </is>
      </c>
      <c r="F87" s="4" t="inlineStr">
        <is>
          <t>Drug Manufacturers - General</t>
        </is>
      </c>
      <c r="G87" s="4" t="inlineStr">
        <is>
          <t>NMS</t>
        </is>
      </c>
      <c r="H87" s="4" t="inlineStr">
        <is>
          <t>USD</t>
        </is>
      </c>
      <c r="I87" s="5" t="n">
        <v>190382.718976</v>
      </c>
      <c r="J87" s="6">
        <f>INDEX(FX!$B:$B,MATCH(H87,FX!$A:$A,0))</f>
        <v/>
      </c>
      <c r="K87" s="5">
        <f>I87*J87</f>
        <v/>
      </c>
      <c r="L87" s="4">
        <f>IF(U87&lt;&gt;"",U87,IF(K87&gt;=Umbrales!$B$2,"Legendaria",IF(K87&gt;=Umbrales!$B$3,"Épica",IF(K87&gt;=Umbrales!$B$4,"Rara",IF(K87&gt;=Umbrales!$B$5,"Poco común","Común")))))</f>
        <v/>
      </c>
      <c r="M87" s="5" t="n">
        <v>30456.999936</v>
      </c>
      <c r="N87" s="5" t="n">
        <v>-3240</v>
      </c>
      <c r="O87" s="5">
        <f>IF(M87="","",M87*J87)</f>
        <v/>
      </c>
      <c r="P87" s="5">
        <f>IF(N87="","",N87*J87)</f>
        <v/>
      </c>
      <c r="Q87" s="7" t="n">
        <v>0.0222</v>
      </c>
      <c r="R87" s="8" t="n"/>
      <c r="S87" s="4" t="inlineStr">
        <is>
          <t>NASDAQ100</t>
        </is>
      </c>
      <c r="T87" s="9" t="inlineStr">
        <is>
          <t>SI</t>
        </is>
      </c>
      <c r="U87" s="9" t="inlineStr"/>
      <c r="V87" s="10">
        <f>Umbrales!$B$9*(K87/1000)^Umbrales!$B$10</f>
        <v/>
      </c>
    </row>
    <row r="88">
      <c r="A88" s="4" t="inlineStr">
        <is>
          <t>DIS</t>
        </is>
      </c>
      <c r="B88" s="4" t="inlineStr">
        <is>
          <t>The Walt Disney Company</t>
        </is>
      </c>
      <c r="C88" s="4" t="inlineStr">
        <is>
          <t>United States</t>
        </is>
      </c>
      <c r="D88" s="4" t="inlineStr">
        <is>
          <t>US</t>
        </is>
      </c>
      <c r="E88" s="4" t="inlineStr">
        <is>
          <t>Comunicación</t>
        </is>
      </c>
      <c r="F88" s="4" t="inlineStr">
        <is>
          <t>Entertainment</t>
        </is>
      </c>
      <c r="G88" s="4" t="inlineStr">
        <is>
          <t>NYQ</t>
        </is>
      </c>
      <c r="H88" s="4" t="inlineStr">
        <is>
          <t>USD</t>
        </is>
      </c>
      <c r="I88" s="5" t="n">
        <v>188191.588352</v>
      </c>
      <c r="J88" s="6">
        <f>INDEX(FX!$B:$B,MATCH(H88,FX!$A:$A,0))</f>
        <v/>
      </c>
      <c r="K88" s="5">
        <f>I88*J88</f>
        <v/>
      </c>
      <c r="L88" s="4">
        <f>IF(U88&lt;&gt;"",U88,IF(K88&gt;=Umbrales!$B$2,"Legendaria",IF(K88&gt;=Umbrales!$B$3,"Épica",IF(K88&gt;=Umbrales!$B$4,"Rara",IF(K88&gt;=Umbrales!$B$5,"Poco común","Común")))))</f>
        <v/>
      </c>
      <c r="M88" s="5" t="n">
        <v>98860.998656</v>
      </c>
      <c r="N88" s="5" t="n">
        <v>8600.000512000001</v>
      </c>
      <c r="O88" s="5">
        <f>IF(M88="","",M88*J88)</f>
        <v/>
      </c>
      <c r="P88" s="5">
        <f>IF(N88="","",N88*J88)</f>
        <v/>
      </c>
      <c r="Q88" s="7" t="n">
        <v>0.0138</v>
      </c>
      <c r="R88" s="8" t="n">
        <v>22.379877</v>
      </c>
      <c r="S88" s="4" t="inlineStr">
        <is>
          <t>DOW30</t>
        </is>
      </c>
      <c r="T88" s="9" t="inlineStr">
        <is>
          <t>SI</t>
        </is>
      </c>
      <c r="U88" s="9" t="inlineStr"/>
      <c r="V88" s="10">
        <f>Umbrales!$B$9*(K88/1000)^Umbrales!$B$10</f>
        <v/>
      </c>
    </row>
    <row r="89">
      <c r="A89" s="4" t="inlineStr">
        <is>
          <t>VZ</t>
        </is>
      </c>
      <c r="B89" s="4" t="inlineStr">
        <is>
          <t>Verizon Communications Inc.</t>
        </is>
      </c>
      <c r="C89" s="4" t="inlineStr">
        <is>
          <t>United States</t>
        </is>
      </c>
      <c r="D89" s="4" t="inlineStr">
        <is>
          <t>US</t>
        </is>
      </c>
      <c r="E89" s="4" t="inlineStr">
        <is>
          <t>Comunicación</t>
        </is>
      </c>
      <c r="F89" s="4" t="inlineStr">
        <is>
          <t>Telecom Services</t>
        </is>
      </c>
      <c r="G89" s="4" t="inlineStr">
        <is>
          <t>NYQ</t>
        </is>
      </c>
      <c r="H89" s="4" t="inlineStr">
        <is>
          <t>USD</t>
        </is>
      </c>
      <c r="I89" s="5" t="n">
        <v>184555.1104</v>
      </c>
      <c r="J89" s="6">
        <f>INDEX(FX!$B:$B,MATCH(H89,FX!$A:$A,0))</f>
        <v/>
      </c>
      <c r="K89" s="5">
        <f>I89*J89</f>
        <v/>
      </c>
      <c r="L89" s="4">
        <f>IF(U89&lt;&gt;"",U89,IF(K89&gt;=Umbrales!$B$2,"Legendaria",IF(K89&gt;=Umbrales!$B$3,"Épica",IF(K89&gt;=Umbrales!$B$4,"Rara",IF(K89&gt;=Umbrales!$B$5,"Poco común","Común")))))</f>
        <v/>
      </c>
      <c r="M89" s="5" t="n">
        <v>138894.999552</v>
      </c>
      <c r="N89" s="5" t="n">
        <v>16172.000256</v>
      </c>
      <c r="O89" s="5">
        <f>IF(M89="","",M89*J89)</f>
        <v/>
      </c>
      <c r="P89" s="5">
        <f>IF(N89="","",N89*J89)</f>
        <v/>
      </c>
      <c r="Q89" s="7" t="n">
        <v>0.065</v>
      </c>
      <c r="R89" s="8" t="n">
        <v>11.331632</v>
      </c>
      <c r="S89" s="4" t="inlineStr">
        <is>
          <t>DOW30</t>
        </is>
      </c>
      <c r="T89" s="9" t="inlineStr">
        <is>
          <t>SI</t>
        </is>
      </c>
      <c r="U89" s="9" t="inlineStr"/>
      <c r="V89" s="10">
        <f>Umbrales!$B$9*(K89/1000)^Umbrales!$B$10</f>
        <v/>
      </c>
    </row>
    <row r="90">
      <c r="A90" s="4" t="inlineStr">
        <is>
          <t>QCOM</t>
        </is>
      </c>
      <c r="B90" s="4" t="inlineStr">
        <is>
          <t>QUALCOMM Incorporated</t>
        </is>
      </c>
      <c r="C90" s="4" t="inlineStr">
        <is>
          <t>United States</t>
        </is>
      </c>
      <c r="D90" s="4" t="inlineStr">
        <is>
          <t>US</t>
        </is>
      </c>
      <c r="E90" s="4" t="inlineStr">
        <is>
          <t>Tecnología</t>
        </is>
      </c>
      <c r="F90" s="4" t="inlineStr">
        <is>
          <t>Semiconductors</t>
        </is>
      </c>
      <c r="G90" s="4" t="inlineStr">
        <is>
          <t>NMS</t>
        </is>
      </c>
      <c r="H90" s="4" t="inlineStr">
        <is>
          <t>USD</t>
        </is>
      </c>
      <c r="I90" s="5" t="n">
        <v>184330.452992</v>
      </c>
      <c r="J90" s="6">
        <f>INDEX(FX!$B:$B,MATCH(H90,FX!$A:$A,0))</f>
        <v/>
      </c>
      <c r="K90" s="5">
        <f>I90*J90</f>
        <v/>
      </c>
      <c r="L90" s="4">
        <f>IF(U90&lt;&gt;"",U90,IF(K90&gt;=Umbrales!$B$2,"Legendaria",IF(K90&gt;=Umbrales!$B$3,"Épica",IF(K90&gt;=Umbrales!$B$4,"Rara",IF(K90&gt;=Umbrales!$B$5,"Poco común","Común")))))</f>
        <v/>
      </c>
      <c r="M90" s="5" t="n">
        <v>44068.999168</v>
      </c>
      <c r="N90" s="5" t="n">
        <v>9260.000255999999</v>
      </c>
      <c r="O90" s="5">
        <f>IF(M90="","",M90*J90)</f>
        <v/>
      </c>
      <c r="P90" s="5">
        <f>IF(N90="","",N90*J90)</f>
        <v/>
      </c>
      <c r="Q90" s="7" t="n">
        <v>0.0208</v>
      </c>
      <c r="R90" s="8" t="n">
        <v>20.476868</v>
      </c>
      <c r="S90" s="4" t="inlineStr">
        <is>
          <t>NASDAQ100</t>
        </is>
      </c>
      <c r="T90" s="9" t="inlineStr">
        <is>
          <t>SI</t>
        </is>
      </c>
      <c r="U90" s="9" t="inlineStr"/>
      <c r="V90" s="10">
        <f>Umbrales!$B$9*(K90/1000)^Umbrales!$B$10</f>
        <v/>
      </c>
    </row>
    <row r="91">
      <c r="A91" s="4" t="inlineStr">
        <is>
          <t>ALV.DE</t>
        </is>
      </c>
      <c r="B91" s="4" t="inlineStr">
        <is>
          <t>Allianz SE</t>
        </is>
      </c>
      <c r="C91" s="4" t="inlineStr">
        <is>
          <t>Germany</t>
        </is>
      </c>
      <c r="D91" s="4" t="inlineStr">
        <is>
          <t>DE</t>
        </is>
      </c>
      <c r="E91" s="4" t="inlineStr">
        <is>
          <t>Finanzas</t>
        </is>
      </c>
      <c r="F91" s="4" t="inlineStr">
        <is>
          <t>Insurance - Diversified</t>
        </is>
      </c>
      <c r="G91" s="4" t="inlineStr">
        <is>
          <t>GER</t>
        </is>
      </c>
      <c r="H91" s="4" t="inlineStr">
        <is>
          <t>EUR</t>
        </is>
      </c>
      <c r="I91" s="5" t="n">
        <v>164193.026048</v>
      </c>
      <c r="J91" s="6">
        <f>INDEX(FX!$B:$B,MATCH(H91,FX!$A:$A,0))</f>
        <v/>
      </c>
      <c r="K91" s="5">
        <f>I91*J91</f>
        <v/>
      </c>
      <c r="L91" s="4">
        <f>IF(U91&lt;&gt;"",U91,IF(K91&gt;=Umbrales!$B$2,"Legendaria",IF(K91&gt;=Umbrales!$B$3,"Épica",IF(K91&gt;=Umbrales!$B$4,"Rara",IF(K91&gt;=Umbrales!$B$5,"Poco común","Común")))))</f>
        <v/>
      </c>
      <c r="M91" s="5" t="n">
        <v>119421.001728</v>
      </c>
      <c r="N91" s="5" t="n">
        <v>11612.000256</v>
      </c>
      <c r="O91" s="5">
        <f>IF(M91="","",M91*J91)</f>
        <v/>
      </c>
      <c r="P91" s="5">
        <f>IF(N91="","",N91*J91)</f>
        <v/>
      </c>
      <c r="Q91" s="7" t="n">
        <v>0.04099999999999999</v>
      </c>
      <c r="R91" s="8" t="n">
        <v>13.987076</v>
      </c>
      <c r="S91" s="4" t="inlineStr">
        <is>
          <t>DAX40, EUROSTOXX50</t>
        </is>
      </c>
      <c r="T91" s="9" t="inlineStr">
        <is>
          <t>SI</t>
        </is>
      </c>
      <c r="U91" s="9" t="inlineStr"/>
      <c r="V91" s="10">
        <f>Umbrales!$B$9*(K91/1000)^Umbrales!$B$10</f>
        <v/>
      </c>
    </row>
    <row r="92">
      <c r="A92" s="4" t="inlineStr">
        <is>
          <t>CBA.AX</t>
        </is>
      </c>
      <c r="B92" s="4" t="inlineStr">
        <is>
          <t>Commonwealth Bank of Australia</t>
        </is>
      </c>
      <c r="C92" s="4" t="inlineStr">
        <is>
          <t>Australia</t>
        </is>
      </c>
      <c r="D92" s="4" t="inlineStr">
        <is>
          <t>AU</t>
        </is>
      </c>
      <c r="E92" s="4" t="inlineStr">
        <is>
          <t>Finanzas</t>
        </is>
      </c>
      <c r="F92" s="4" t="inlineStr">
        <is>
          <t>Banks - Diversified</t>
        </is>
      </c>
      <c r="G92" s="4" t="inlineStr">
        <is>
          <t>ASX</t>
        </is>
      </c>
      <c r="H92" s="4" t="inlineStr">
        <is>
          <t>AUD</t>
        </is>
      </c>
      <c r="I92" s="5" t="n">
        <v>261102.125056</v>
      </c>
      <c r="J92" s="6">
        <f>INDEX(FX!$B:$B,MATCH(H92,FX!$A:$A,0))</f>
        <v/>
      </c>
      <c r="K92" s="5">
        <f>I92*J92</f>
        <v/>
      </c>
      <c r="L92" s="4">
        <f>IF(U92&lt;&gt;"",U92,IF(K92&gt;=Umbrales!$B$2,"Legendaria",IF(K92&gt;=Umbrales!$B$3,"Épica",IF(K92&gt;=Umbrales!$B$4,"Rara",IF(K92&gt;=Umbrales!$B$5,"Poco común","Común")))))</f>
        <v/>
      </c>
      <c r="M92" s="5" t="n">
        <v>29365.000192</v>
      </c>
      <c r="N92" s="5" t="n">
        <v>10910.999552</v>
      </c>
      <c r="O92" s="5">
        <f>IF(M92="","",M92*J92)</f>
        <v/>
      </c>
      <c r="P92" s="5">
        <f>IF(N92="","",N92*J92)</f>
        <v/>
      </c>
      <c r="Q92" s="7" t="n">
        <v>0.0334</v>
      </c>
      <c r="R92" s="8" t="n">
        <v>23.949385</v>
      </c>
      <c r="S92" s="4" t="inlineStr">
        <is>
          <t>ASIA_TOP</t>
        </is>
      </c>
      <c r="T92" s="9" t="inlineStr">
        <is>
          <t>SI</t>
        </is>
      </c>
      <c r="U92" s="9" t="inlineStr"/>
      <c r="V92" s="10">
        <f>Umbrales!$B$9*(K92/1000)^Umbrales!$B$10</f>
        <v/>
      </c>
    </row>
    <row r="93">
      <c r="A93" s="4" t="inlineStr">
        <is>
          <t>ABT</t>
        </is>
      </c>
      <c r="B93" s="4" t="inlineStr">
        <is>
          <t>Abbott Laboratories</t>
        </is>
      </c>
      <c r="C93" s="4" t="inlineStr">
        <is>
          <t>United States</t>
        </is>
      </c>
      <c r="D93" s="4" t="inlineStr">
        <is>
          <t>US</t>
        </is>
      </c>
      <c r="E93" s="4" t="inlineStr">
        <is>
          <t>Salud</t>
        </is>
      </c>
      <c r="F93" s="4" t="inlineStr">
        <is>
          <t>Medical Devices</t>
        </is>
      </c>
      <c r="G93" s="4" t="inlineStr">
        <is>
          <t>NYQ</t>
        </is>
      </c>
      <c r="H93" s="4" t="inlineStr">
        <is>
          <t>USD</t>
        </is>
      </c>
      <c r="I93" s="5" t="n">
        <v>179354.50112</v>
      </c>
      <c r="J93" s="6">
        <f>INDEX(FX!$B:$B,MATCH(H93,FX!$A:$A,0))</f>
        <v/>
      </c>
      <c r="K93" s="5">
        <f>I93*J93</f>
        <v/>
      </c>
      <c r="L93" s="4">
        <f>IF(U93&lt;&gt;"",U93,IF(K93&gt;=Umbrales!$B$2,"Legendaria",IF(K93&gt;=Umbrales!$B$3,"Épica",IF(K93&gt;=Umbrales!$B$4,"Rara",IF(K93&gt;=Umbrales!$B$5,"Poco común","Común")))))</f>
        <v/>
      </c>
      <c r="M93" s="5" t="n">
        <v>46584.999936</v>
      </c>
      <c r="N93" s="5" t="n">
        <v>5400.999936</v>
      </c>
      <c r="O93" s="5">
        <f>IF(M93="","",M93*J93)</f>
        <v/>
      </c>
      <c r="P93" s="5">
        <f>IF(N93="","",N93*J93)</f>
        <v/>
      </c>
      <c r="Q93" s="7" t="n">
        <v>0.0246</v>
      </c>
      <c r="R93" s="8" t="n">
        <v>33.109325</v>
      </c>
      <c r="S93" s="4" t="inlineStr"/>
      <c r="T93" s="9" t="inlineStr">
        <is>
          <t>SI</t>
        </is>
      </c>
      <c r="U93" s="9" t="inlineStr"/>
      <c r="V93" s="10">
        <f>Umbrales!$B$9*(K93/1000)^Umbrales!$B$10</f>
        <v/>
      </c>
    </row>
    <row r="94">
      <c r="A94" s="4" t="inlineStr">
        <is>
          <t>PEP</t>
        </is>
      </c>
      <c r="B94" s="4" t="inlineStr">
        <is>
          <t>PepsiCo, Inc.</t>
        </is>
      </c>
      <c r="C94" s="4" t="inlineStr">
        <is>
          <t>United States</t>
        </is>
      </c>
      <c r="D94" s="4" t="inlineStr">
        <is>
          <t>US</t>
        </is>
      </c>
      <c r="E94" s="4" t="inlineStr">
        <is>
          <t>Consumo básico</t>
        </is>
      </c>
      <c r="F94" s="4" t="inlineStr">
        <is>
          <t>Beverages - Non-Alcoholic</t>
        </is>
      </c>
      <c r="G94" s="4" t="inlineStr">
        <is>
          <t>NMS</t>
        </is>
      </c>
      <c r="H94" s="4" t="inlineStr">
        <is>
          <t>USD</t>
        </is>
      </c>
      <c r="I94" s="5" t="n">
        <v>176161.554432</v>
      </c>
      <c r="J94" s="6">
        <f>INDEX(FX!$B:$B,MATCH(H94,FX!$A:$A,0))</f>
        <v/>
      </c>
      <c r="K94" s="5">
        <f>I94*J94</f>
        <v/>
      </c>
      <c r="L94" s="4">
        <f>IF(U94&lt;&gt;"",U94,IF(K94&gt;=Umbrales!$B$2,"Legendaria",IF(K94&gt;=Umbrales!$B$3,"Épica",IF(K94&gt;=Umbrales!$B$4,"Rara",IF(K94&gt;=Umbrales!$B$5,"Poco común","Común")))))</f>
        <v/>
      </c>
      <c r="M94" s="5" t="n">
        <v>98241.00352</v>
      </c>
      <c r="N94" s="5" t="n">
        <v>10896</v>
      </c>
      <c r="O94" s="5">
        <f>IF(M94="","",M94*J94)</f>
        <v/>
      </c>
      <c r="P94" s="5">
        <f>IF(N94="","",N94*J94)</f>
        <v/>
      </c>
      <c r="Q94" s="7" t="n">
        <v>0.04650000000000001</v>
      </c>
      <c r="R94" s="8" t="n">
        <v>16.018589</v>
      </c>
      <c r="S94" s="4" t="inlineStr">
        <is>
          <t>NASDAQ100</t>
        </is>
      </c>
      <c r="T94" s="9" t="inlineStr">
        <is>
          <t>SI</t>
        </is>
      </c>
      <c r="U94" s="9" t="inlineStr"/>
      <c r="V94" s="10">
        <f>Umbrales!$B$9*(K94/1000)^Umbrales!$B$10</f>
        <v/>
      </c>
    </row>
    <row r="95">
      <c r="A95" s="4" t="inlineStr">
        <is>
          <t>DE</t>
        </is>
      </c>
      <c r="B95" s="4" t="inlineStr">
        <is>
          <t>Deere &amp; Company</t>
        </is>
      </c>
      <c r="C95" s="4" t="inlineStr">
        <is>
          <t>United States</t>
        </is>
      </c>
      <c r="D95" s="4" t="inlineStr">
        <is>
          <t>US</t>
        </is>
      </c>
      <c r="E95" s="4" t="inlineStr">
        <is>
          <t>Industria</t>
        </is>
      </c>
      <c r="F95" s="4" t="inlineStr">
        <is>
          <t>Farm &amp; Heavy Construction Machinery</t>
        </is>
      </c>
      <c r="G95" s="4" t="inlineStr">
        <is>
          <t>NYQ</t>
        </is>
      </c>
      <c r="H95" s="4" t="inlineStr">
        <is>
          <t>USD</t>
        </is>
      </c>
      <c r="I95" s="5" t="n">
        <v>175358.967808</v>
      </c>
      <c r="J95" s="6">
        <f>INDEX(FX!$B:$B,MATCH(H95,FX!$A:$A,0))</f>
        <v/>
      </c>
      <c r="K95" s="5">
        <f>I95*J95</f>
        <v/>
      </c>
      <c r="L95" s="4">
        <f>IF(U95&lt;&gt;"",U95,IF(K95&gt;=Umbrales!$B$2,"Legendaria",IF(K95&gt;=Umbrales!$B$3,"Épica",IF(K95&gt;=Umbrales!$B$4,"Rara",IF(K95&gt;=Umbrales!$B$5,"Poco común","Común")))))</f>
        <v/>
      </c>
      <c r="M95" s="5" t="n">
        <v>47927.001088</v>
      </c>
      <c r="N95" s="5" t="n">
        <v>4872.999936</v>
      </c>
      <c r="O95" s="5">
        <f>IF(M95="","",M95*J95)</f>
        <v/>
      </c>
      <c r="P95" s="5">
        <f>IF(N95="","",N95*J95)</f>
        <v/>
      </c>
      <c r="Q95" s="7" t="n">
        <v>0.01</v>
      </c>
      <c r="R95" s="8" t="n">
        <v>36.15231</v>
      </c>
      <c r="S95" s="4" t="inlineStr"/>
      <c r="T95" s="9" t="inlineStr">
        <is>
          <t>SI</t>
        </is>
      </c>
      <c r="U95" s="9" t="inlineStr"/>
      <c r="V95" s="10">
        <f>Umbrales!$B$9*(K95/1000)^Umbrales!$B$10</f>
        <v/>
      </c>
    </row>
    <row r="96">
      <c r="A96" s="4" t="inlineStr">
        <is>
          <t>9984.T</t>
        </is>
      </c>
      <c r="B96" s="4" t="inlineStr">
        <is>
          <t>SoftBank Group Corp.</t>
        </is>
      </c>
      <c r="C96" s="4" t="inlineStr">
        <is>
          <t>Japan</t>
        </is>
      </c>
      <c r="D96" s="4" t="inlineStr">
        <is>
          <t>JP</t>
        </is>
      </c>
      <c r="E96" s="4" t="inlineStr">
        <is>
          <t>Comunicación</t>
        </is>
      </c>
      <c r="F96" s="4" t="inlineStr">
        <is>
          <t>Telecom Services</t>
        </is>
      </c>
      <c r="G96" s="4" t="inlineStr">
        <is>
          <t>JPX</t>
        </is>
      </c>
      <c r="H96" s="4" t="inlineStr">
        <is>
          <t>JPY</t>
        </is>
      </c>
      <c r="I96" s="5" t="n">
        <v>27651787.9808</v>
      </c>
      <c r="J96" s="6">
        <f>INDEX(FX!$B:$B,MATCH(H96,FX!$A:$A,0))</f>
        <v/>
      </c>
      <c r="K96" s="5">
        <f>I96*J96</f>
        <v/>
      </c>
      <c r="L96" s="4">
        <f>IF(U96&lt;&gt;"",U96,IF(K96&gt;=Umbrales!$B$2,"Legendaria",IF(K96&gt;=Umbrales!$B$3,"Épica",IF(K96&gt;=Umbrales!$B$4,"Rara",IF(K96&gt;=Umbrales!$B$5,"Poco común","Común")))))</f>
        <v/>
      </c>
      <c r="M96" s="5" t="n">
        <v>7997900.193792</v>
      </c>
      <c r="N96" s="5" t="n">
        <v>4908440.879104</v>
      </c>
      <c r="O96" s="5">
        <f>IF(M96="","",M96*J96)</f>
        <v/>
      </c>
      <c r="P96" s="5">
        <f>IF(N96="","",N96*J96)</f>
        <v/>
      </c>
      <c r="Q96" s="7" t="n">
        <v>0.0021</v>
      </c>
      <c r="R96" s="8" t="n">
        <v>5.647442</v>
      </c>
      <c r="S96" s="4" t="inlineStr">
        <is>
          <t>ASIA_TOP</t>
        </is>
      </c>
      <c r="T96" s="9" t="inlineStr">
        <is>
          <t>SI</t>
        </is>
      </c>
      <c r="U96" s="9" t="inlineStr"/>
      <c r="V96" s="10">
        <f>Umbrales!$B$9*(K96/1000)^Umbrales!$B$10</f>
        <v/>
      </c>
    </row>
    <row r="97">
      <c r="A97" s="4" t="inlineStr">
        <is>
          <t>BLK</t>
        </is>
      </c>
      <c r="B97" s="4" t="inlineStr">
        <is>
          <t>BlackRock, Inc.</t>
        </is>
      </c>
      <c r="C97" s="4" t="inlineStr">
        <is>
          <t>United States</t>
        </is>
      </c>
      <c r="D97" s="4" t="inlineStr">
        <is>
          <t>US</t>
        </is>
      </c>
      <c r="E97" s="4" t="inlineStr">
        <is>
          <t>Finanzas</t>
        </is>
      </c>
      <c r="F97" s="4" t="inlineStr">
        <is>
          <t>Asset Management</t>
        </is>
      </c>
      <c r="G97" s="4" t="inlineStr">
        <is>
          <t>NYQ</t>
        </is>
      </c>
      <c r="H97" s="4" t="inlineStr">
        <is>
          <t>USD</t>
        </is>
      </c>
      <c r="I97" s="5" t="n">
        <v>174465.318912</v>
      </c>
      <c r="J97" s="6">
        <f>INDEX(FX!$B:$B,MATCH(H97,FX!$A:$A,0))</f>
        <v/>
      </c>
      <c r="K97" s="5">
        <f>I97*J97</f>
        <v/>
      </c>
      <c r="L97" s="4">
        <f>IF(U97&lt;&gt;"",U97,IF(K97&gt;=Umbrales!$B$2,"Legendaria",IF(K97&gt;=Umbrales!$B$3,"Épica",IF(K97&gt;=Umbrales!$B$4,"Rara",IF(K97&gt;=Umbrales!$B$5,"Poco común","Común")))))</f>
        <v/>
      </c>
      <c r="M97" s="5" t="n">
        <v>27299.00032</v>
      </c>
      <c r="N97" s="5" t="n">
        <v>6576</v>
      </c>
      <c r="O97" s="5">
        <f>IF(M97="","",M97*J97)</f>
        <v/>
      </c>
      <c r="P97" s="5">
        <f>IF(N97="","",N97*J97)</f>
        <v/>
      </c>
      <c r="Q97" s="7" t="n">
        <v>0.0215</v>
      </c>
      <c r="R97" s="8" t="n">
        <v>25.517822</v>
      </c>
      <c r="S97" s="4" t="inlineStr"/>
      <c r="T97" s="9" t="inlineStr">
        <is>
          <t>SI</t>
        </is>
      </c>
      <c r="U97" s="9" t="inlineStr"/>
      <c r="V97" s="10">
        <f>Umbrales!$B$9*(K97/1000)^Umbrales!$B$10</f>
        <v/>
      </c>
    </row>
    <row r="98">
      <c r="A98" s="4" t="inlineStr">
        <is>
          <t>RELIANCE.NS</t>
        </is>
      </c>
      <c r="B98" s="4" t="inlineStr">
        <is>
          <t>Reliance Industries Limited</t>
        </is>
      </c>
      <c r="C98" s="4" t="inlineStr">
        <is>
          <t>India</t>
        </is>
      </c>
      <c r="D98" s="4" t="inlineStr">
        <is>
          <t>IN</t>
        </is>
      </c>
      <c r="E98" s="4" t="inlineStr">
        <is>
          <t>Energía</t>
        </is>
      </c>
      <c r="F98" s="4" t="inlineStr">
        <is>
          <t>Oil &amp; Gas Refining &amp; Marketing</t>
        </is>
      </c>
      <c r="G98" s="4" t="inlineStr">
        <is>
          <t>NSI</t>
        </is>
      </c>
      <c r="H98" s="4" t="inlineStr">
        <is>
          <t>INR</t>
        </is>
      </c>
      <c r="I98" s="5" t="n">
        <v>16437893.660672</v>
      </c>
      <c r="J98" s="6">
        <f>INDEX(FX!$B:$B,MATCH(H98,FX!$A:$A,0))</f>
        <v/>
      </c>
      <c r="K98" s="5">
        <f>I98*J98</f>
        <v/>
      </c>
      <c r="L98" s="4">
        <f>IF(U98&lt;&gt;"",U98,IF(K98&gt;=Umbrales!$B$2,"Legendaria",IF(K98&gt;=Umbrales!$B$3,"Épica",IF(K98&gt;=Umbrales!$B$4,"Rara",IF(K98&gt;=Umbrales!$B$5,"Poco común","Común")))))</f>
        <v/>
      </c>
      <c r="M98" s="5" t="n">
        <v>11296050.249728</v>
      </c>
      <c r="N98" s="5" t="n">
        <v>747269.98016</v>
      </c>
      <c r="O98" s="5">
        <f>IF(M98="","",M98*J98)</f>
        <v/>
      </c>
      <c r="P98" s="5">
        <f>IF(N98="","",N98*J98)</f>
        <v/>
      </c>
      <c r="Q98" s="7" t="n">
        <v>0.0051</v>
      </c>
      <c r="R98" s="8" t="n">
        <v>21.997463</v>
      </c>
      <c r="S98" s="4" t="inlineStr">
        <is>
          <t>ASIA_TOP</t>
        </is>
      </c>
      <c r="T98" s="9" t="inlineStr">
        <is>
          <t>SI</t>
        </is>
      </c>
      <c r="U98" s="9" t="inlineStr"/>
      <c r="V98" s="10">
        <f>Umbrales!$B$9*(K98/1000)^Umbrales!$B$10</f>
        <v/>
      </c>
    </row>
    <row r="99">
      <c r="A99" s="4" t="inlineStr">
        <is>
          <t>AIR.PA</t>
        </is>
      </c>
      <c r="B99" s="4" t="inlineStr">
        <is>
          <t>Airbus SE</t>
        </is>
      </c>
      <c r="C99" s="4" t="inlineStr">
        <is>
          <t>Netherlands</t>
        </is>
      </c>
      <c r="D99" s="4" t="inlineStr">
        <is>
          <t>NL</t>
        </is>
      </c>
      <c r="E99" s="4" t="inlineStr">
        <is>
          <t>Industria</t>
        </is>
      </c>
      <c r="F99" s="4" t="inlineStr">
        <is>
          <t>Aerospace &amp; Defense</t>
        </is>
      </c>
      <c r="G99" s="4" t="inlineStr">
        <is>
          <t>PAR</t>
        </is>
      </c>
      <c r="H99" s="4" t="inlineStr">
        <is>
          <t>EUR</t>
        </is>
      </c>
      <c r="I99" s="5" t="n">
        <v>152391.647232</v>
      </c>
      <c r="J99" s="6">
        <f>INDEX(FX!$B:$B,MATCH(H99,FX!$A:$A,0))</f>
        <v/>
      </c>
      <c r="K99" s="5">
        <f>I99*J99</f>
        <v/>
      </c>
      <c r="L99" s="4">
        <f>IF(U99&lt;&gt;"",U99,IF(K99&gt;=Umbrales!$B$2,"Legendaria",IF(K99&gt;=Umbrales!$B$3,"Épica",IF(K99&gt;=Umbrales!$B$4,"Rara",IF(K99&gt;=Umbrales!$B$5,"Poco común","Común")))))</f>
        <v/>
      </c>
      <c r="M99" s="5" t="n">
        <v>76985.99936</v>
      </c>
      <c r="N99" s="5" t="n">
        <v>5938.999808</v>
      </c>
      <c r="O99" s="5">
        <f>IF(M99="","",M99*J99)</f>
        <v/>
      </c>
      <c r="P99" s="5">
        <f>IF(N99="","",N99*J99)</f>
        <v/>
      </c>
      <c r="Q99" s="7" t="n">
        <v>0.0172</v>
      </c>
      <c r="R99" s="8" t="n">
        <v>25.637815</v>
      </c>
      <c r="S99" s="4" t="inlineStr">
        <is>
          <t>DAX40, EUROSTOXX50</t>
        </is>
      </c>
      <c r="T99" s="9" t="inlineStr">
        <is>
          <t>SI</t>
        </is>
      </c>
      <c r="U99" s="9" t="inlineStr"/>
      <c r="V99" s="10">
        <f>Umbrales!$B$9*(K99/1000)^Umbrales!$B$10</f>
        <v/>
      </c>
    </row>
    <row r="100">
      <c r="A100" s="4" t="inlineStr">
        <is>
          <t>COP</t>
        </is>
      </c>
      <c r="B100" s="4" t="inlineStr">
        <is>
          <t>ConocoPhillips</t>
        </is>
      </c>
      <c r="C100" s="4" t="inlineStr">
        <is>
          <t>United States</t>
        </is>
      </c>
      <c r="D100" s="4" t="inlineStr">
        <is>
          <t>US</t>
        </is>
      </c>
      <c r="E100" s="4" t="inlineStr">
        <is>
          <t>Energía</t>
        </is>
      </c>
      <c r="F100" s="4" t="inlineStr">
        <is>
          <t>Oil &amp; Gas E&amp;P</t>
        </is>
      </c>
      <c r="G100" s="4" t="inlineStr">
        <is>
          <t>NYQ</t>
        </is>
      </c>
      <c r="H100" s="4" t="inlineStr">
        <is>
          <t>USD</t>
        </is>
      </c>
      <c r="I100" s="5" t="n">
        <v>170998.366208</v>
      </c>
      <c r="J100" s="6">
        <f>INDEX(FX!$B:$B,MATCH(H100,FX!$A:$A,0))</f>
        <v/>
      </c>
      <c r="K100" s="5">
        <f>I100*J100</f>
        <v/>
      </c>
      <c r="L100" s="4">
        <f>IF(U100&lt;&gt;"",U100,IF(K100&gt;=Umbrales!$B$2,"Legendaria",IF(K100&gt;=Umbrales!$B$3,"Épica",IF(K100&gt;=Umbrales!$B$4,"Rara",IF(K100&gt;=Umbrales!$B$5,"Poco común","Común")))))</f>
        <v/>
      </c>
      <c r="M100" s="5" t="n">
        <v>64459.001856</v>
      </c>
      <c r="N100" s="5" t="n">
        <v>9253.000192</v>
      </c>
      <c r="O100" s="5">
        <f>IF(M100="","",M100*J100)</f>
        <v/>
      </c>
      <c r="P100" s="5">
        <f>IF(N100="","",N100*J100)</f>
        <v/>
      </c>
      <c r="Q100" s="7" t="n">
        <v>0.0238</v>
      </c>
      <c r="R100" s="8" t="n">
        <v>18.655308</v>
      </c>
      <c r="S100" s="4" t="inlineStr"/>
      <c r="T100" s="9" t="inlineStr">
        <is>
          <t>SI</t>
        </is>
      </c>
      <c r="U100" s="9" t="inlineStr"/>
      <c r="V100" s="10">
        <f>Umbrales!$B$9*(K100/1000)^Umbrales!$B$10</f>
        <v/>
      </c>
    </row>
    <row r="101">
      <c r="A101" s="4" t="inlineStr">
        <is>
          <t>NOVO-B.CO</t>
        </is>
      </c>
      <c r="B101" s="4" t="inlineStr">
        <is>
          <t>Novo Nordisk A/S</t>
        </is>
      </c>
      <c r="C101" s="4" t="inlineStr">
        <is>
          <t>Denmark</t>
        </is>
      </c>
      <c r="D101" s="4" t="inlineStr">
        <is>
          <t>DK</t>
        </is>
      </c>
      <c r="E101" s="4" t="inlineStr">
        <is>
          <t>Salud</t>
        </is>
      </c>
      <c r="F101" s="4" t="inlineStr">
        <is>
          <t>Drug Manufacturers - General</t>
        </is>
      </c>
      <c r="G101" s="4" t="inlineStr">
        <is>
          <t>CPH</t>
        </is>
      </c>
      <c r="H101" s="4" t="inlineStr">
        <is>
          <t>DKK</t>
        </is>
      </c>
      <c r="I101" s="5" t="n">
        <v>1135713.97632</v>
      </c>
      <c r="J101" s="6">
        <f>INDEX(FX!$B:$B,MATCH(H101,FX!$A:$A,0))</f>
        <v/>
      </c>
      <c r="K101" s="5">
        <f>I101*J101</f>
        <v/>
      </c>
      <c r="L101" s="4">
        <f>IF(U101&lt;&gt;"",U101,IF(K101&gt;=Umbrales!$B$2,"Legendaria",IF(K101&gt;=Umbrales!$B$3,"Épica",IF(K101&gt;=Umbrales!$B$4,"Rara",IF(K101&gt;=Umbrales!$B$5,"Poco común","Común")))))</f>
        <v/>
      </c>
      <c r="M101" s="5" t="n">
        <v>329430.990848</v>
      </c>
      <c r="N101" s="5" t="n">
        <v>116442.996736</v>
      </c>
      <c r="O101" s="5">
        <f>IF(M101="","",M101*J101)</f>
        <v/>
      </c>
      <c r="P101" s="5">
        <f>IF(N101="","",N101*J101)</f>
        <v/>
      </c>
      <c r="Q101" s="7" t="n">
        <v>0.0457</v>
      </c>
      <c r="R101" s="8" t="n">
        <v>9.822519</v>
      </c>
      <c r="S101" s="4" t="inlineStr"/>
      <c r="T101" s="9" t="inlineStr">
        <is>
          <t>SI</t>
        </is>
      </c>
      <c r="U101" s="9" t="inlineStr"/>
      <c r="V101" s="10">
        <f>Umbrales!$B$9*(K101/1000)^Umbrales!$B$10</f>
        <v/>
      </c>
    </row>
    <row r="102">
      <c r="A102" s="4" t="inlineStr">
        <is>
          <t>UNP</t>
        </is>
      </c>
      <c r="B102" s="4" t="inlineStr">
        <is>
          <t>Union Pacific Corporation</t>
        </is>
      </c>
      <c r="C102" s="4" t="inlineStr">
        <is>
          <t>United States</t>
        </is>
      </c>
      <c r="D102" s="4" t="inlineStr">
        <is>
          <t>US</t>
        </is>
      </c>
      <c r="E102" s="4" t="inlineStr">
        <is>
          <t>Industria</t>
        </is>
      </c>
      <c r="F102" s="4" t="inlineStr">
        <is>
          <t>Railroads</t>
        </is>
      </c>
      <c r="G102" s="4" t="inlineStr">
        <is>
          <t>NYQ</t>
        </is>
      </c>
      <c r="H102" s="4" t="inlineStr">
        <is>
          <t>USD</t>
        </is>
      </c>
      <c r="I102" s="5" t="n">
        <v>170161.045504</v>
      </c>
      <c r="J102" s="6">
        <f>INDEX(FX!$B:$B,MATCH(H102,FX!$A:$A,0))</f>
        <v/>
      </c>
      <c r="K102" s="5">
        <f>I102*J102</f>
        <v/>
      </c>
      <c r="L102" s="4">
        <f>IF(U102&lt;&gt;"",U102,IF(K102&gt;=Umbrales!$B$2,"Legendaria",IF(K102&gt;=Umbrales!$B$3,"Épica",IF(K102&gt;=Umbrales!$B$4,"Rara",IF(K102&gt;=Umbrales!$B$5,"Poco común","Común")))))</f>
        <v/>
      </c>
      <c r="M102" s="5" t="n">
        <v>25410.000896</v>
      </c>
      <c r="N102" s="5" t="n">
        <v>7329.999872</v>
      </c>
      <c r="O102" s="5">
        <f>IF(M102="","",M102*J102)</f>
        <v/>
      </c>
      <c r="P102" s="5">
        <f>IF(N102="","",N102*J102)</f>
        <v/>
      </c>
      <c r="Q102" s="7" t="n">
        <v>0.0201</v>
      </c>
      <c r="R102" s="8" t="n">
        <v>22.877794</v>
      </c>
      <c r="S102" s="4" t="inlineStr"/>
      <c r="T102" s="9" t="inlineStr">
        <is>
          <t>SI</t>
        </is>
      </c>
      <c r="U102" s="9" t="inlineStr"/>
      <c r="V102" s="10">
        <f>Umbrales!$B$9*(K102/1000)^Umbrales!$B$10</f>
        <v/>
      </c>
    </row>
    <row r="103">
      <c r="A103" s="4" t="inlineStr">
        <is>
          <t>TMUS</t>
        </is>
      </c>
      <c r="B103" s="4" t="inlineStr">
        <is>
          <t>T-Mobile US, Inc.</t>
        </is>
      </c>
      <c r="C103" s="4" t="inlineStr">
        <is>
          <t>United States</t>
        </is>
      </c>
      <c r="D103" s="4" t="inlineStr">
        <is>
          <t>US</t>
        </is>
      </c>
      <c r="E103" s="4" t="inlineStr">
        <is>
          <t>Comunicación</t>
        </is>
      </c>
      <c r="F103" s="4" t="inlineStr">
        <is>
          <t>Telecom Services</t>
        </is>
      </c>
      <c r="G103" s="4" t="inlineStr">
        <is>
          <t>NMS</t>
        </is>
      </c>
      <c r="H103" s="4" t="inlineStr">
        <is>
          <t>USD</t>
        </is>
      </c>
      <c r="I103" s="5" t="n">
        <v>169256.845312</v>
      </c>
      <c r="J103" s="6">
        <f>INDEX(FX!$B:$B,MATCH(H103,FX!$A:$A,0))</f>
        <v/>
      </c>
      <c r="K103" s="5">
        <f>I103*J103</f>
        <v/>
      </c>
      <c r="L103" s="4">
        <f>IF(U103&lt;&gt;"",U103,IF(K103&gt;=Umbrales!$B$2,"Legendaria",IF(K103&gt;=Umbrales!$B$3,"Épica",IF(K103&gt;=Umbrales!$B$4,"Rara",IF(K103&gt;=Umbrales!$B$5,"Poco común","Común")))))</f>
        <v/>
      </c>
      <c r="M103" s="5" t="n">
        <v>92188.99967999999</v>
      </c>
      <c r="N103" s="5" t="n">
        <v>10560</v>
      </c>
      <c r="O103" s="5">
        <f>IF(M103="","",M103*J103)</f>
        <v/>
      </c>
      <c r="P103" s="5">
        <f>IF(N103="","",N103*J103)</f>
        <v/>
      </c>
      <c r="Q103" s="7" t="n">
        <v>0.0304</v>
      </c>
      <c r="R103" s="8" t="n">
        <v>16.068228</v>
      </c>
      <c r="S103" s="4" t="inlineStr">
        <is>
          <t>NASDAQ100</t>
        </is>
      </c>
      <c r="T103" s="9" t="inlineStr">
        <is>
          <t>SI</t>
        </is>
      </c>
      <c r="U103" s="9" t="inlineStr"/>
      <c r="V103" s="10">
        <f>Umbrales!$B$9*(K103/1000)^Umbrales!$B$10</f>
        <v/>
      </c>
    </row>
    <row r="104">
      <c r="A104" s="4" t="inlineStr">
        <is>
          <t>MCD</t>
        </is>
      </c>
      <c r="B104" s="4" t="inlineStr">
        <is>
          <t>McDonald's Corporation</t>
        </is>
      </c>
      <c r="C104" s="4" t="inlineStr">
        <is>
          <t>United States</t>
        </is>
      </c>
      <c r="D104" s="4" t="inlineStr">
        <is>
          <t>US</t>
        </is>
      </c>
      <c r="E104" s="4" t="inlineStr">
        <is>
          <t>Consumo cíclico</t>
        </is>
      </c>
      <c r="F104" s="4" t="inlineStr">
        <is>
          <t>Restaurants</t>
        </is>
      </c>
      <c r="G104" s="4" t="inlineStr">
        <is>
          <t>NYQ</t>
        </is>
      </c>
      <c r="H104" s="4" t="inlineStr">
        <is>
          <t>USD</t>
        </is>
      </c>
      <c r="I104" s="5" t="n">
        <v>168638.0544</v>
      </c>
      <c r="J104" s="6">
        <f>INDEX(FX!$B:$B,MATCH(H104,FX!$A:$A,0))</f>
        <v/>
      </c>
      <c r="K104" s="5">
        <f>I104*J104</f>
        <v/>
      </c>
      <c r="L104" s="4">
        <f>IF(U104&lt;&gt;"",U104,IF(K104&gt;=Umbrales!$B$2,"Legendaria",IF(K104&gt;=Umbrales!$B$3,"Épica",IF(K104&gt;=Umbrales!$B$4,"Rara",IF(K104&gt;=Umbrales!$B$5,"Poco común","Común")))))</f>
        <v/>
      </c>
      <c r="M104" s="5" t="n">
        <v>27701.999616</v>
      </c>
      <c r="N104" s="5" t="n">
        <v>8787.000319999999</v>
      </c>
      <c r="O104" s="5">
        <f>IF(M104="","",M104*J104)</f>
        <v/>
      </c>
      <c r="P104" s="5">
        <f>IF(N104="","",N104*J104)</f>
        <v/>
      </c>
      <c r="Q104" s="7" t="n">
        <v>0.0327</v>
      </c>
      <c r="R104" s="8" t="n">
        <v>19.156754</v>
      </c>
      <c r="S104" s="4" t="inlineStr">
        <is>
          <t>DOW30</t>
        </is>
      </c>
      <c r="T104" s="9" t="inlineStr">
        <is>
          <t>SI</t>
        </is>
      </c>
      <c r="U104" s="9" t="inlineStr"/>
      <c r="V104" s="10">
        <f>Umbrales!$B$9*(K104/1000)^Umbrales!$B$10</f>
        <v/>
      </c>
    </row>
    <row r="105">
      <c r="A105" s="4" t="inlineStr">
        <is>
          <t>SCHW</t>
        </is>
      </c>
      <c r="B105" s="4" t="inlineStr">
        <is>
          <t>The Charles Schwab Corporation</t>
        </is>
      </c>
      <c r="C105" s="4" t="inlineStr">
        <is>
          <t>United States</t>
        </is>
      </c>
      <c r="D105" s="4" t="inlineStr">
        <is>
          <t>US</t>
        </is>
      </c>
      <c r="E105" s="4" t="inlineStr">
        <is>
          <t>Finanzas</t>
        </is>
      </c>
      <c r="F105" s="4" t="inlineStr">
        <is>
          <t>Capital Markets</t>
        </is>
      </c>
      <c r="G105" s="4" t="inlineStr">
        <is>
          <t>NYQ</t>
        </is>
      </c>
      <c r="H105" s="4" t="inlineStr">
        <is>
          <t>USD</t>
        </is>
      </c>
      <c r="I105" s="5" t="n">
        <v>167399.702528</v>
      </c>
      <c r="J105" s="6">
        <f>INDEX(FX!$B:$B,MATCH(H105,FX!$A:$A,0))</f>
        <v/>
      </c>
      <c r="K105" s="5">
        <f>I105*J105</f>
        <v/>
      </c>
      <c r="L105" s="4">
        <f>IF(U105&lt;&gt;"",U105,IF(K105&gt;=Umbrales!$B$2,"Legendaria",IF(K105&gt;=Umbrales!$B$3,"Épica",IF(K105&gt;=Umbrales!$B$4,"Rara",IF(K105&gt;=Umbrales!$B$5,"Poco común","Común")))))</f>
        <v/>
      </c>
      <c r="M105" s="5" t="n">
        <v>26025.00096</v>
      </c>
      <c r="N105" s="5" t="n">
        <v>9722.500096</v>
      </c>
      <c r="O105" s="5">
        <f>IF(M105="","",M105*J105)</f>
        <v/>
      </c>
      <c r="P105" s="5">
        <f>IF(N105="","",N105*J105)</f>
        <v/>
      </c>
      <c r="Q105" s="7" t="n">
        <v>0.0133</v>
      </c>
      <c r="R105" s="8" t="n">
        <v>17.472925</v>
      </c>
      <c r="S105" s="4" t="inlineStr"/>
      <c r="T105" s="9" t="inlineStr">
        <is>
          <t>SI</t>
        </is>
      </c>
      <c r="U105" s="9" t="inlineStr"/>
      <c r="V105" s="10">
        <f>Umbrales!$B$9*(K105/1000)^Umbrales!$B$10</f>
        <v/>
      </c>
    </row>
    <row r="106">
      <c r="A106" s="4" t="inlineStr">
        <is>
          <t>WELL</t>
        </is>
      </c>
      <c r="B106" s="4" t="inlineStr">
        <is>
          <t>Welltower Inc.</t>
        </is>
      </c>
      <c r="C106" s="4" t="inlineStr">
        <is>
          <t>United States</t>
        </is>
      </c>
      <c r="D106" s="4" t="inlineStr">
        <is>
          <t>US</t>
        </is>
      </c>
      <c r="E106" s="4" t="inlineStr">
        <is>
          <t>Inmobiliario</t>
        </is>
      </c>
      <c r="F106" s="4" t="inlineStr">
        <is>
          <t>REIT - Healthcare Facilities</t>
        </is>
      </c>
      <c r="G106" s="4" t="inlineStr">
        <is>
          <t>NYQ</t>
        </is>
      </c>
      <c r="H106" s="4" t="inlineStr">
        <is>
          <t>USD</t>
        </is>
      </c>
      <c r="I106" s="5" t="n">
        <v>167295.205376</v>
      </c>
      <c r="J106" s="6">
        <f>INDEX(FX!$B:$B,MATCH(H106,FX!$A:$A,0))</f>
        <v/>
      </c>
      <c r="K106" s="5">
        <f>I106*J106</f>
        <v/>
      </c>
      <c r="L106" s="4">
        <f>IF(U106&lt;&gt;"",U106,IF(K106&gt;=Umbrales!$B$2,"Legendaria",IF(K106&gt;=Umbrales!$B$3,"Épica",IF(K106&gt;=Umbrales!$B$4,"Rara",IF(K106&gt;=Umbrales!$B$5,"Poco común","Común")))))</f>
        <v/>
      </c>
      <c r="M106" s="5" t="n">
        <v>12763.214848</v>
      </c>
      <c r="N106" s="5" t="n">
        <v>1550.674048</v>
      </c>
      <c r="O106" s="5">
        <f>IF(M106="","",M106*J106)</f>
        <v/>
      </c>
      <c r="P106" s="5">
        <f>IF(N106="","",N106*J106)</f>
        <v/>
      </c>
      <c r="Q106" s="7" t="n">
        <v>0.0148</v>
      </c>
      <c r="R106" s="8" t="n">
        <v>104.11211</v>
      </c>
      <c r="S106" s="4" t="inlineStr"/>
      <c r="T106" s="9" t="inlineStr">
        <is>
          <t>SI</t>
        </is>
      </c>
      <c r="U106" s="9" t="inlineStr"/>
      <c r="V106" s="10">
        <f>Umbrales!$B$9*(K106/1000)^Umbrales!$B$10</f>
        <v/>
      </c>
    </row>
    <row r="107">
      <c r="A107" s="4" t="inlineStr">
        <is>
          <t>PFE</t>
        </is>
      </c>
      <c r="B107" s="4" t="inlineStr">
        <is>
          <t>Pfizer Inc.</t>
        </is>
      </c>
      <c r="C107" s="4" t="inlineStr">
        <is>
          <t>United States</t>
        </is>
      </c>
      <c r="D107" s="4" t="inlineStr">
        <is>
          <t>US</t>
        </is>
      </c>
      <c r="E107" s="4" t="inlineStr">
        <is>
          <t>Salud</t>
        </is>
      </c>
      <c r="F107" s="4" t="inlineStr">
        <is>
          <t>Drug Manufacturers - General</t>
        </is>
      </c>
      <c r="G107" s="4" t="inlineStr">
        <is>
          <t>NYQ</t>
        </is>
      </c>
      <c r="H107" s="4" t="inlineStr">
        <is>
          <t>USD</t>
        </is>
      </c>
      <c r="I107" s="5" t="n">
        <v>166487.457792</v>
      </c>
      <c r="J107" s="6">
        <f>INDEX(FX!$B:$B,MATCH(H107,FX!$A:$A,0))</f>
        <v/>
      </c>
      <c r="K107" s="5">
        <f>I107*J107</f>
        <v/>
      </c>
      <c r="L107" s="4">
        <f>IF(U107&lt;&gt;"",U107,IF(K107&gt;=Umbrales!$B$2,"Legendaria",IF(K107&gt;=Umbrales!$B$3,"Épica",IF(K107&gt;=Umbrales!$B$4,"Rara",IF(K107&gt;=Umbrales!$B$5,"Poco común","Común")))))</f>
        <v/>
      </c>
      <c r="M107" s="5" t="n">
        <v>63695.998976</v>
      </c>
      <c r="N107" s="5" t="n">
        <v>4338.999808</v>
      </c>
      <c r="O107" s="5">
        <f>IF(M107="","",M107*J107)</f>
        <v/>
      </c>
      <c r="P107" s="5">
        <f>IF(N107="","",N107*J107)</f>
        <v/>
      </c>
      <c r="Q107" s="7" t="n">
        <v>0.06059999999999999</v>
      </c>
      <c r="R107" s="8" t="n">
        <v>38.434208</v>
      </c>
      <c r="S107" s="4" t="inlineStr"/>
      <c r="T107" s="9" t="inlineStr">
        <is>
          <t>SI</t>
        </is>
      </c>
      <c r="U107" s="9" t="inlineStr"/>
      <c r="V107" s="10">
        <f>Umbrales!$B$9*(K107/1000)^Umbrales!$B$10</f>
        <v/>
      </c>
    </row>
    <row r="108">
      <c r="A108" s="4" t="inlineStr">
        <is>
          <t>ABBN.SW</t>
        </is>
      </c>
      <c r="B108" s="4" t="inlineStr">
        <is>
          <t>ABB Ltd</t>
        </is>
      </c>
      <c r="C108" s="4" t="inlineStr">
        <is>
          <t>Switzerland</t>
        </is>
      </c>
      <c r="D108" s="4" t="inlineStr">
        <is>
          <t>CH</t>
        </is>
      </c>
      <c r="E108" s="4" t="inlineStr">
        <is>
          <t>Industria</t>
        </is>
      </c>
      <c r="F108" s="4" t="inlineStr">
        <is>
          <t>Electrical Equipment &amp; Parts</t>
        </is>
      </c>
      <c r="G108" s="4" t="inlineStr">
        <is>
          <t>EBS</t>
        </is>
      </c>
      <c r="H108" s="4" t="inlineStr">
        <is>
          <t>CHF</t>
        </is>
      </c>
      <c r="I108" s="5" t="n">
        <v>135902.019584</v>
      </c>
      <c r="J108" s="6">
        <f>INDEX(FX!$B:$B,MATCH(H108,FX!$A:$A,0))</f>
        <v/>
      </c>
      <c r="K108" s="5">
        <f>I108*J108</f>
        <v/>
      </c>
      <c r="L108" s="4">
        <f>IF(U108&lt;&gt;"",U108,IF(K108&gt;=Umbrales!$B$2,"Legendaria",IF(K108&gt;=Umbrales!$B$3,"Épica",IF(K108&gt;=Umbrales!$B$4,"Rara",IF(K108&gt;=Umbrales!$B$5,"Poco común","Común")))))</f>
        <v/>
      </c>
      <c r="M108" s="5" t="n">
        <v>35752.001536</v>
      </c>
      <c r="N108" s="5" t="n">
        <v>4973.000192</v>
      </c>
      <c r="O108" s="5">
        <f>IF(M108="","",M108*J108)</f>
        <v/>
      </c>
      <c r="P108" s="5">
        <f>IF(N108="","",N108*J108)</f>
        <v/>
      </c>
      <c r="Q108" s="7" t="n">
        <v>0.0119</v>
      </c>
      <c r="R108" s="8" t="n">
        <v>34.77778</v>
      </c>
      <c r="S108" s="4" t="inlineStr"/>
      <c r="T108" s="9" t="inlineStr">
        <is>
          <t>SI</t>
        </is>
      </c>
      <c r="U108" s="9" t="inlineStr"/>
      <c r="V108" s="10">
        <f>Umbrales!$B$9*(K108/1000)^Umbrales!$B$10</f>
        <v/>
      </c>
    </row>
    <row r="109">
      <c r="A109" s="4" t="inlineStr">
        <is>
          <t>NEE</t>
        </is>
      </c>
      <c r="B109" s="4" t="inlineStr">
        <is>
          <t>NextEra Energy, Inc.</t>
        </is>
      </c>
      <c r="C109" s="4" t="inlineStr">
        <is>
          <t>United States</t>
        </is>
      </c>
      <c r="D109" s="4" t="inlineStr">
        <is>
          <t>US</t>
        </is>
      </c>
      <c r="E109" s="4" t="inlineStr">
        <is>
          <t>Servicios públicos</t>
        </is>
      </c>
      <c r="F109" s="4" t="inlineStr">
        <is>
          <t>Utilities - Regulated Electric</t>
        </is>
      </c>
      <c r="G109" s="4" t="inlineStr">
        <is>
          <t>NYQ</t>
        </is>
      </c>
      <c r="H109" s="4" t="inlineStr">
        <is>
          <t>USD</t>
        </is>
      </c>
      <c r="I109" s="5" t="n">
        <v>163448.897536</v>
      </c>
      <c r="J109" s="6">
        <f>INDEX(FX!$B:$B,MATCH(H109,FX!$A:$A,0))</f>
        <v/>
      </c>
      <c r="K109" s="5">
        <f>I109*J109</f>
        <v/>
      </c>
      <c r="L109" s="4">
        <f>IF(U109&lt;&gt;"",U109,IF(K109&gt;=Umbrales!$B$2,"Legendaria",IF(K109&gt;=Umbrales!$B$3,"Épica",IF(K109&gt;=Umbrales!$B$4,"Rara",IF(K109&gt;=Umbrales!$B$5,"Poco común","Común")))))</f>
        <v/>
      </c>
      <c r="M109" s="5" t="n">
        <v>28700.000256</v>
      </c>
      <c r="N109" s="5" t="n">
        <v>9299.000319999999</v>
      </c>
      <c r="O109" s="5">
        <f>IF(M109="","",M109*J109)</f>
        <v/>
      </c>
      <c r="P109" s="5">
        <f>IF(N109="","",N109*J109)</f>
        <v/>
      </c>
      <c r="Q109" s="7" t="n">
        <v>0.0319</v>
      </c>
      <c r="R109" s="8" t="n">
        <v>17.851938</v>
      </c>
      <c r="S109" s="4" t="inlineStr"/>
      <c r="T109" s="9" t="inlineStr">
        <is>
          <t>SI</t>
        </is>
      </c>
      <c r="U109" s="9" t="inlineStr"/>
      <c r="V109" s="10">
        <f>Umbrales!$B$9*(K109/1000)^Umbrales!$B$10</f>
        <v/>
      </c>
    </row>
    <row r="110">
      <c r="A110" s="4" t="inlineStr">
        <is>
          <t>IBE.MC</t>
        </is>
      </c>
      <c r="B110" s="4" t="inlineStr">
        <is>
          <t>Iberdrola, S.A.</t>
        </is>
      </c>
      <c r="C110" s="4" t="inlineStr">
        <is>
          <t>Spain</t>
        </is>
      </c>
      <c r="D110" s="4" t="inlineStr">
        <is>
          <t>ES</t>
        </is>
      </c>
      <c r="E110" s="4" t="inlineStr">
        <is>
          <t>Servicios públicos</t>
        </is>
      </c>
      <c r="F110" s="4" t="inlineStr">
        <is>
          <t>Utilities - Diversified</t>
        </is>
      </c>
      <c r="G110" s="4" t="inlineStr">
        <is>
          <t>MCE</t>
        </is>
      </c>
      <c r="H110" s="4" t="inlineStr">
        <is>
          <t>EUR</t>
        </is>
      </c>
      <c r="I110" s="5" t="n">
        <v>144940.630016</v>
      </c>
      <c r="J110" s="6">
        <f>INDEX(FX!$B:$B,MATCH(H110,FX!$A:$A,0))</f>
        <v/>
      </c>
      <c r="K110" s="5">
        <f>I110*J110</f>
        <v/>
      </c>
      <c r="L110" s="4">
        <f>IF(U110&lt;&gt;"",U110,IF(K110&gt;=Umbrales!$B$2,"Legendaria",IF(K110&gt;=Umbrales!$B$3,"Épica",IF(K110&gt;=Umbrales!$B$4,"Rara",IF(K110&gt;=Umbrales!$B$5,"Poco común","Común")))))</f>
        <v/>
      </c>
      <c r="M110" s="5" t="n">
        <v>44444.99968</v>
      </c>
      <c r="N110" s="5" t="n">
        <v>5575.000064</v>
      </c>
      <c r="O110" s="5">
        <f>IF(M110="","",M110*J110)</f>
        <v/>
      </c>
      <c r="P110" s="5">
        <f>IF(N110="","",N110*J110)</f>
        <v/>
      </c>
      <c r="Q110" s="7" t="n">
        <v>0.0313</v>
      </c>
      <c r="R110" s="8" t="n">
        <v>28.578947</v>
      </c>
      <c r="S110" s="4" t="inlineStr">
        <is>
          <t>EUROSTOXX50, IBEX35</t>
        </is>
      </c>
      <c r="T110" s="9" t="inlineStr">
        <is>
          <t>SI</t>
        </is>
      </c>
      <c r="U110" s="9" t="inlineStr"/>
      <c r="V110" s="10">
        <f>Umbrales!$B$9*(K110/1000)^Umbrales!$B$10</f>
        <v/>
      </c>
    </row>
    <row r="111">
      <c r="A111" s="4" t="inlineStr">
        <is>
          <t>SU.PA</t>
        </is>
      </c>
      <c r="B111" s="4" t="inlineStr">
        <is>
          <t>Schneider Electric S.E.</t>
        </is>
      </c>
      <c r="C111" s="4" t="inlineStr">
        <is>
          <t>France</t>
        </is>
      </c>
      <c r="D111" s="4" t="inlineStr">
        <is>
          <t>FR</t>
        </is>
      </c>
      <c r="E111" s="4" t="inlineStr">
        <is>
          <t>Industria</t>
        </is>
      </c>
      <c r="F111" s="4" t="inlineStr">
        <is>
          <t>Specialty Industrial Machinery</t>
        </is>
      </c>
      <c r="G111" s="4" t="inlineStr">
        <is>
          <t>PAR</t>
        </is>
      </c>
      <c r="H111" s="4" t="inlineStr">
        <is>
          <t>EUR</t>
        </is>
      </c>
      <c r="I111" s="5" t="n">
        <v>143078.506496</v>
      </c>
      <c r="J111" s="6">
        <f>INDEX(FX!$B:$B,MATCH(H111,FX!$A:$A,0))</f>
        <v/>
      </c>
      <c r="K111" s="5">
        <f>I111*J111</f>
        <v/>
      </c>
      <c r="L111" s="4">
        <f>IF(U111&lt;&gt;"",U111,IF(K111&gt;=Umbrales!$B$2,"Legendaria",IF(K111&gt;=Umbrales!$B$3,"Épica",IF(K111&gt;=Umbrales!$B$4,"Rara",IF(K111&gt;=Umbrales!$B$5,"Poco común","Común")))))</f>
        <v/>
      </c>
      <c r="M111" s="5" t="n">
        <v>42041.99936</v>
      </c>
      <c r="N111" s="5" t="n">
        <v>4737.999872</v>
      </c>
      <c r="O111" s="5">
        <f>IF(M111="","",M111*J111)</f>
        <v/>
      </c>
      <c r="P111" s="5">
        <f>IF(N111="","",N111*J111)</f>
        <v/>
      </c>
      <c r="Q111" s="7" t="n">
        <v>0.0159</v>
      </c>
      <c r="R111" s="8" t="n">
        <v>30.528847</v>
      </c>
      <c r="S111" s="4" t="inlineStr">
        <is>
          <t>EUROSTOXX50</t>
        </is>
      </c>
      <c r="T111" s="9" t="inlineStr">
        <is>
          <t>SI</t>
        </is>
      </c>
      <c r="U111" s="9" t="inlineStr"/>
      <c r="V111" s="10">
        <f>Umbrales!$B$9*(K111/1000)^Umbrales!$B$10</f>
        <v/>
      </c>
    </row>
    <row r="112">
      <c r="A112" s="4" t="inlineStr">
        <is>
          <t>ABI.BR</t>
        </is>
      </c>
      <c r="B112" s="4" t="inlineStr">
        <is>
          <t>Anheuser-Busch InBev SA/NV</t>
        </is>
      </c>
      <c r="C112" s="4" t="inlineStr">
        <is>
          <t>Belgium</t>
        </is>
      </c>
      <c r="D112" s="4" t="inlineStr">
        <is>
          <t>BE</t>
        </is>
      </c>
      <c r="E112" s="4" t="inlineStr">
        <is>
          <t>Consumo básico</t>
        </is>
      </c>
      <c r="F112" s="4" t="inlineStr">
        <is>
          <t>Beverages - Brewers</t>
        </is>
      </c>
      <c r="G112" s="4" t="inlineStr">
        <is>
          <t>BRU</t>
        </is>
      </c>
      <c r="H112" s="4" t="inlineStr">
        <is>
          <t>EUR</t>
        </is>
      </c>
      <c r="I112" s="5" t="n">
        <v>142840.610816</v>
      </c>
      <c r="J112" s="6">
        <f>INDEX(FX!$B:$B,MATCH(H112,FX!$A:$A,0))</f>
        <v/>
      </c>
      <c r="K112" s="5">
        <f>I112*J112</f>
        <v/>
      </c>
      <c r="L112" s="4">
        <f>IF(U112&lt;&gt;"",U112,IF(K112&gt;=Umbrales!$B$2,"Legendaria",IF(K112&gt;=Umbrales!$B$3,"Épica",IF(K112&gt;=Umbrales!$B$4,"Rara",IF(K112&gt;=Umbrales!$B$5,"Poco común","Común")))))</f>
        <v/>
      </c>
      <c r="M112" s="5" t="n">
        <v>62614.99904</v>
      </c>
      <c r="N112" s="5" t="n">
        <v>9326.999551999999</v>
      </c>
      <c r="O112" s="5">
        <f>IF(M112="","",M112*J112)</f>
        <v/>
      </c>
      <c r="P112" s="5">
        <f>IF(N112="","",N112*J112)</f>
        <v/>
      </c>
      <c r="Q112" s="7" t="n">
        <v>0.0163</v>
      </c>
      <c r="R112" s="8" t="n">
        <v>18.226131</v>
      </c>
      <c r="S112" s="4" t="inlineStr">
        <is>
          <t>EUROSTOXX50</t>
        </is>
      </c>
      <c r="T112" s="9" t="inlineStr">
        <is>
          <t>SI</t>
        </is>
      </c>
      <c r="U112" s="9" t="inlineStr"/>
      <c r="V112" s="10">
        <f>Umbrales!$B$9*(K112/1000)^Umbrales!$B$10</f>
        <v/>
      </c>
    </row>
    <row r="113">
      <c r="A113" s="4" t="inlineStr">
        <is>
          <t>ETN</t>
        </is>
      </c>
      <c r="B113" s="4" t="inlineStr">
        <is>
          <t>Eaton Corporation plc</t>
        </is>
      </c>
      <c r="C113" s="4" t="inlineStr">
        <is>
          <t>Ireland</t>
        </is>
      </c>
      <c r="D113" s="4" t="inlineStr">
        <is>
          <t>IE</t>
        </is>
      </c>
      <c r="E113" s="4" t="inlineStr">
        <is>
          <t>Industria</t>
        </is>
      </c>
      <c r="F113" s="4" t="inlineStr">
        <is>
          <t>Specialty Industrial Machinery</t>
        </is>
      </c>
      <c r="G113" s="4" t="inlineStr">
        <is>
          <t>NYQ</t>
        </is>
      </c>
      <c r="H113" s="4" t="inlineStr">
        <is>
          <t>USD</t>
        </is>
      </c>
      <c r="I113" s="5" t="n">
        <v>158756.4544</v>
      </c>
      <c r="J113" s="6">
        <f>INDEX(FX!$B:$B,MATCH(H113,FX!$A:$A,0))</f>
        <v/>
      </c>
      <c r="K113" s="5">
        <f>I113*J113</f>
        <v/>
      </c>
      <c r="L113" s="4">
        <f>IF(U113&lt;&gt;"",U113,IF(K113&gt;=Umbrales!$B$2,"Legendaria",IF(K113&gt;=Umbrales!$B$3,"Épica",IF(K113&gt;=Umbrales!$B$4,"Rara",IF(K113&gt;=Umbrales!$B$5,"Poco común","Común")))))</f>
        <v/>
      </c>
      <c r="M113" s="5" t="n">
        <v>30026.000384</v>
      </c>
      <c r="N113" s="5" t="n">
        <v>3828.999936</v>
      </c>
      <c r="O113" s="5">
        <f>IF(M113="","",M113*J113)</f>
        <v/>
      </c>
      <c r="P113" s="5">
        <f>IF(N113="","",N113*J113)</f>
        <v/>
      </c>
      <c r="Q113" s="7" t="n">
        <v>0.0103</v>
      </c>
      <c r="R113" s="8" t="n">
        <v>43.58742</v>
      </c>
      <c r="S113" s="4" t="inlineStr"/>
      <c r="T113" s="9" t="inlineStr">
        <is>
          <t>SI</t>
        </is>
      </c>
      <c r="U113" s="9" t="inlineStr"/>
      <c r="V113" s="10">
        <f>Umbrales!$B$9*(K113/1000)^Umbrales!$B$10</f>
        <v/>
      </c>
    </row>
    <row r="114">
      <c r="A114" s="4" t="inlineStr">
        <is>
          <t>6501.T</t>
        </is>
      </c>
      <c r="B114" s="4" t="inlineStr">
        <is>
          <t>Hitachi, Ltd.</t>
        </is>
      </c>
      <c r="C114" s="4" t="inlineStr">
        <is>
          <t>Japan</t>
        </is>
      </c>
      <c r="D114" s="4" t="inlineStr">
        <is>
          <t>JP</t>
        </is>
      </c>
      <c r="E114" s="4" t="inlineStr">
        <is>
          <t>Industria</t>
        </is>
      </c>
      <c r="F114" s="4" t="inlineStr">
        <is>
          <t>Conglomerates</t>
        </is>
      </c>
      <c r="G114" s="4" t="inlineStr">
        <is>
          <t>JPX</t>
        </is>
      </c>
      <c r="H114" s="4" t="inlineStr">
        <is>
          <t>JPY</t>
        </is>
      </c>
      <c r="I114" s="5" t="n">
        <v>24937402.20416</v>
      </c>
      <c r="J114" s="6">
        <f>INDEX(FX!$B:$B,MATCH(H114,FX!$A:$A,0))</f>
        <v/>
      </c>
      <c r="K114" s="5">
        <f>I114*J114</f>
        <v/>
      </c>
      <c r="L114" s="4">
        <f>IF(U114&lt;&gt;"",U114,IF(K114&gt;=Umbrales!$B$2,"Legendaria",IF(K114&gt;=Umbrales!$B$3,"Épica",IF(K114&gt;=Umbrales!$B$4,"Rara",IF(K114&gt;=Umbrales!$B$5,"Poco común","Común")))))</f>
        <v/>
      </c>
      <c r="M114" s="5" t="n">
        <v>11038041.833472</v>
      </c>
      <c r="N114" s="5" t="n">
        <v>799613.976576</v>
      </c>
      <c r="O114" s="5">
        <f>IF(M114="","",M114*J114)</f>
        <v/>
      </c>
      <c r="P114" s="5">
        <f>IF(N114="","",N114*J114)</f>
        <v/>
      </c>
      <c r="Q114" s="7" t="n">
        <v>0.009599999999999999</v>
      </c>
      <c r="R114" s="8" t="n">
        <v>31.635191</v>
      </c>
      <c r="S114" s="4" t="inlineStr">
        <is>
          <t>ASIA_TOP</t>
        </is>
      </c>
      <c r="T114" s="9" t="inlineStr">
        <is>
          <t>SI</t>
        </is>
      </c>
      <c r="U114" s="9" t="inlineStr"/>
      <c r="V114" s="10">
        <f>Umbrales!$B$9*(K114/1000)^Umbrales!$B$10</f>
        <v/>
      </c>
    </row>
    <row r="115">
      <c r="A115" s="4" t="inlineStr">
        <is>
          <t>DHR</t>
        </is>
      </c>
      <c r="B115" s="4" t="inlineStr">
        <is>
          <t>Danaher Corporation</t>
        </is>
      </c>
      <c r="C115" s="4" t="inlineStr">
        <is>
          <t>United States</t>
        </is>
      </c>
      <c r="D115" s="4" t="inlineStr">
        <is>
          <t>US</t>
        </is>
      </c>
      <c r="E115" s="4" t="inlineStr">
        <is>
          <t>Salud</t>
        </is>
      </c>
      <c r="F115" s="4" t="inlineStr">
        <is>
          <t>Diagnostics &amp; Research</t>
        </is>
      </c>
      <c r="G115" s="4" t="inlineStr">
        <is>
          <t>NYQ</t>
        </is>
      </c>
      <c r="H115" s="4" t="inlineStr">
        <is>
          <t>USD</t>
        </is>
      </c>
      <c r="I115" s="5" t="n">
        <v>157953.933312</v>
      </c>
      <c r="J115" s="6">
        <f>INDEX(FX!$B:$B,MATCH(H115,FX!$A:$A,0))</f>
        <v/>
      </c>
      <c r="K115" s="5">
        <f>I115*J115</f>
        <v/>
      </c>
      <c r="L115" s="4">
        <f>IF(U115&lt;&gt;"",U115,IF(K115&gt;=Umbrales!$B$2,"Legendaria",IF(K115&gt;=Umbrales!$B$3,"Épica",IF(K115&gt;=Umbrales!$B$4,"Rara",IF(K115&gt;=Umbrales!$B$5,"Poco común","Común")))))</f>
        <v/>
      </c>
      <c r="M115" s="5" t="n">
        <v>25106.999296</v>
      </c>
      <c r="N115" s="5" t="n">
        <v>3990.000128</v>
      </c>
      <c r="O115" s="5">
        <f>IF(M115="","",M115*J115)</f>
        <v/>
      </c>
      <c r="P115" s="5">
        <f>IF(N115="","",N115*J115)</f>
        <v/>
      </c>
      <c r="Q115" s="7" t="n">
        <v>0.0072</v>
      </c>
      <c r="R115" s="8" t="n">
        <v>39.69788</v>
      </c>
      <c r="S115" s="4" t="inlineStr"/>
      <c r="T115" s="9" t="inlineStr">
        <is>
          <t>SI</t>
        </is>
      </c>
      <c r="U115" s="9" t="inlineStr"/>
      <c r="V115" s="10">
        <f>Umbrales!$B$9*(K115/1000)^Umbrales!$B$10</f>
        <v/>
      </c>
    </row>
    <row r="116">
      <c r="A116" s="4" t="inlineStr">
        <is>
          <t>T</t>
        </is>
      </c>
      <c r="B116" s="4" t="inlineStr">
        <is>
          <t>AT&amp;T Inc.</t>
        </is>
      </c>
      <c r="C116" s="4" t="inlineStr">
        <is>
          <t>United States</t>
        </is>
      </c>
      <c r="D116" s="4" t="inlineStr">
        <is>
          <t>US</t>
        </is>
      </c>
      <c r="E116" s="4" t="inlineStr">
        <is>
          <t>Comunicación</t>
        </is>
      </c>
      <c r="F116" s="4" t="inlineStr">
        <is>
          <t>Telecom Services</t>
        </is>
      </c>
      <c r="G116" s="4" t="inlineStr">
        <is>
          <t>NYQ</t>
        </is>
      </c>
      <c r="H116" s="4" t="inlineStr">
        <is>
          <t>USD</t>
        </is>
      </c>
      <c r="I116" s="5" t="n">
        <v>157947.4944</v>
      </c>
      <c r="J116" s="6">
        <f>INDEX(FX!$B:$B,MATCH(H116,FX!$A:$A,0))</f>
        <v/>
      </c>
      <c r="K116" s="5">
        <f>I116*J116</f>
        <v/>
      </c>
      <c r="L116" s="4">
        <f>IF(U116&lt;&gt;"",U116,IF(K116&gt;=Umbrales!$B$2,"Legendaria",IF(K116&gt;=Umbrales!$B$3,"Épica",IF(K116&gt;=Umbrales!$B$4,"Rara",IF(K116&gt;=Umbrales!$B$5,"Poco común","Común")))))</f>
        <v/>
      </c>
      <c r="M116" s="5" t="n">
        <v>127238.995968</v>
      </c>
      <c r="N116" s="5" t="n">
        <v>21479.999488</v>
      </c>
      <c r="O116" s="5">
        <f>IF(M116="","",M116*J116)</f>
        <v/>
      </c>
      <c r="P116" s="5">
        <f>IF(N116="","",N116*J116)</f>
        <v/>
      </c>
      <c r="Q116" s="7" t="n">
        <v>0.0486</v>
      </c>
      <c r="R116" s="8" t="n">
        <v>7.5326796</v>
      </c>
      <c r="S116" s="4" t="inlineStr"/>
      <c r="T116" s="9" t="inlineStr">
        <is>
          <t>SI</t>
        </is>
      </c>
      <c r="U116" s="9" t="inlineStr"/>
      <c r="V116" s="10">
        <f>Umbrales!$B$9*(K116/1000)^Umbrales!$B$10</f>
        <v/>
      </c>
    </row>
    <row r="117">
      <c r="A117" s="4" t="inlineStr">
        <is>
          <t>TJX</t>
        </is>
      </c>
      <c r="B117" s="4" t="inlineStr">
        <is>
          <t>The TJX Companies, Inc.</t>
        </is>
      </c>
      <c r="C117" s="4" t="inlineStr">
        <is>
          <t>United States</t>
        </is>
      </c>
      <c r="D117" s="4" t="inlineStr">
        <is>
          <t>US</t>
        </is>
      </c>
      <c r="E117" s="4" t="inlineStr">
        <is>
          <t>Consumo cíclico</t>
        </is>
      </c>
      <c r="F117" s="4" t="inlineStr">
        <is>
          <t>Apparel Retail</t>
        </is>
      </c>
      <c r="G117" s="4" t="inlineStr">
        <is>
          <t>NYQ</t>
        </is>
      </c>
      <c r="H117" s="4" t="inlineStr">
        <is>
          <t>USD</t>
        </is>
      </c>
      <c r="I117" s="5" t="n">
        <v>157784.932352</v>
      </c>
      <c r="J117" s="6">
        <f>INDEX(FX!$B:$B,MATCH(H117,FX!$A:$A,0))</f>
        <v/>
      </c>
      <c r="K117" s="5">
        <f>I117*J117</f>
        <v/>
      </c>
      <c r="L117" s="4">
        <f>IF(U117&lt;&gt;"",U117,IF(K117&gt;=Umbrales!$B$2,"Legendaria",IF(K117&gt;=Umbrales!$B$3,"Épica",IF(K117&gt;=Umbrales!$B$4,"Rara",IF(K117&gt;=Umbrales!$B$5,"Poco común","Común")))))</f>
        <v/>
      </c>
      <c r="M117" s="5" t="n">
        <v>62363.000832</v>
      </c>
      <c r="N117" s="5" t="n">
        <v>6066.999808</v>
      </c>
      <c r="O117" s="5">
        <f>IF(M117="","",M117*J117)</f>
        <v/>
      </c>
      <c r="P117" s="5">
        <f>IF(N117="","",N117*J117)</f>
        <v/>
      </c>
      <c r="Q117" s="7" t="n">
        <v>0.0136</v>
      </c>
      <c r="R117" s="8" t="n">
        <v>26.20734</v>
      </c>
      <c r="S117" s="4" t="inlineStr"/>
      <c r="T117" s="9" t="inlineStr">
        <is>
          <t>SI</t>
        </is>
      </c>
      <c r="U117" s="9" t="inlineStr"/>
      <c r="V117" s="10">
        <f>Umbrales!$B$9*(K117/1000)^Umbrales!$B$10</f>
        <v/>
      </c>
    </row>
    <row r="118">
      <c r="A118" s="4" t="inlineStr">
        <is>
          <t>RMS.PA</t>
        </is>
      </c>
      <c r="B118" s="4" t="inlineStr">
        <is>
          <t>Hermès International Société en commandite par actions</t>
        </is>
      </c>
      <c r="C118" s="4" t="inlineStr">
        <is>
          <t>France</t>
        </is>
      </c>
      <c r="D118" s="4" t="inlineStr">
        <is>
          <t>FR</t>
        </is>
      </c>
      <c r="E118" s="4" t="inlineStr">
        <is>
          <t>Consumo cíclico</t>
        </is>
      </c>
      <c r="F118" s="4" t="inlineStr">
        <is>
          <t>Luxury Goods</t>
        </is>
      </c>
      <c r="G118" s="4" t="inlineStr">
        <is>
          <t>PAR</t>
        </is>
      </c>
      <c r="H118" s="4" t="inlineStr">
        <is>
          <t>EUR</t>
        </is>
      </c>
      <c r="I118" s="5" t="n">
        <v>137316.155392</v>
      </c>
      <c r="J118" s="6">
        <f>INDEX(FX!$B:$B,MATCH(H118,FX!$A:$A,0))</f>
        <v/>
      </c>
      <c r="K118" s="5">
        <f>I118*J118</f>
        <v/>
      </c>
      <c r="L118" s="4">
        <f>IF(U118&lt;&gt;"",U118,IF(K118&gt;=Umbrales!$B$2,"Legendaria",IF(K118&gt;=Umbrales!$B$3,"Épica",IF(K118&gt;=Umbrales!$B$4,"Rara",IF(K118&gt;=Umbrales!$B$5,"Poco común","Común")))))</f>
        <v/>
      </c>
      <c r="M118" s="5" t="n">
        <v>16131.00032</v>
      </c>
      <c r="N118" s="5" t="n">
        <v>4515.999744</v>
      </c>
      <c r="O118" s="5">
        <f>IF(M118="","",M118*J118)</f>
        <v/>
      </c>
      <c r="P118" s="5">
        <f>IF(N118="","",N118*J118)</f>
        <v/>
      </c>
      <c r="Q118" s="7" t="n">
        <v>0.014</v>
      </c>
      <c r="R118" s="8" t="n">
        <v>30.488373</v>
      </c>
      <c r="S118" s="4" t="inlineStr">
        <is>
          <t>EUROSTOXX50</t>
        </is>
      </c>
      <c r="T118" s="9" t="inlineStr">
        <is>
          <t>SI</t>
        </is>
      </c>
      <c r="U118" s="9" t="inlineStr"/>
      <c r="V118" s="10">
        <f>Umbrales!$B$9*(K118/1000)^Umbrales!$B$10</f>
        <v/>
      </c>
    </row>
    <row r="119">
      <c r="A119" s="4" t="inlineStr">
        <is>
          <t>ISRG</t>
        </is>
      </c>
      <c r="B119" s="4" t="inlineStr">
        <is>
          <t>Intuitive Surgical, Inc.</t>
        </is>
      </c>
      <c r="C119" s="4" t="inlineStr">
        <is>
          <t>United States</t>
        </is>
      </c>
      <c r="D119" s="4" t="inlineStr">
        <is>
          <t>US</t>
        </is>
      </c>
      <c r="E119" s="4" t="inlineStr">
        <is>
          <t>Salud</t>
        </is>
      </c>
      <c r="F119" s="4" t="inlineStr">
        <is>
          <t>Medical Instruments &amp; Supplies</t>
        </is>
      </c>
      <c r="G119" s="4" t="inlineStr">
        <is>
          <t>NMS</t>
        </is>
      </c>
      <c r="H119" s="4" t="inlineStr">
        <is>
          <t>USD</t>
        </is>
      </c>
      <c r="I119" s="5" t="n">
        <v>148461.568</v>
      </c>
      <c r="J119" s="6">
        <f>INDEX(FX!$B:$B,MATCH(H119,FX!$A:$A,0))</f>
        <v/>
      </c>
      <c r="K119" s="5">
        <f>I119*J119</f>
        <v/>
      </c>
      <c r="L119" s="4">
        <f>IF(U119&lt;&gt;"",U119,IF(K119&gt;=Umbrales!$B$2,"Legendaria",IF(K119&gt;=Umbrales!$B$3,"Épica",IF(K119&gt;=Umbrales!$B$4,"Rara",IF(K119&gt;=Umbrales!$B$5,"Poco común","Común")))))</f>
        <v/>
      </c>
      <c r="M119" s="5" t="n">
        <v>11034.399744</v>
      </c>
      <c r="N119" s="5" t="n">
        <v>3138.800128</v>
      </c>
      <c r="O119" s="5">
        <f>IF(M119="","",M119*J119)</f>
        <v/>
      </c>
      <c r="P119" s="5">
        <f>IF(N119="","",N119*J119)</f>
        <v/>
      </c>
      <c r="Q119" s="7" t="n">
        <v>0</v>
      </c>
      <c r="R119" s="8" t="n">
        <v>48.192657</v>
      </c>
      <c r="S119" s="4" t="inlineStr">
        <is>
          <t>NASDAQ100</t>
        </is>
      </c>
      <c r="T119" s="9" t="inlineStr">
        <is>
          <t>SI</t>
        </is>
      </c>
      <c r="U119" s="9" t="inlineStr"/>
      <c r="V119" s="10">
        <f>Umbrales!$B$9*(K119/1000)^Umbrales!$B$10</f>
        <v/>
      </c>
    </row>
    <row r="120">
      <c r="A120" s="4" t="inlineStr">
        <is>
          <t>RR.L</t>
        </is>
      </c>
      <c r="B120" s="4" t="inlineStr">
        <is>
          <t>Rolls-Royce Holdings plc</t>
        </is>
      </c>
      <c r="C120" s="4" t="inlineStr">
        <is>
          <t>United Kingdom</t>
        </is>
      </c>
      <c r="D120" s="4" t="inlineStr">
        <is>
          <t>GB</t>
        </is>
      </c>
      <c r="E120" s="4" t="inlineStr">
        <is>
          <t>Industria</t>
        </is>
      </c>
      <c r="F120" s="4" t="inlineStr">
        <is>
          <t>Aerospace &amp; Defense</t>
        </is>
      </c>
      <c r="G120" s="4" t="inlineStr">
        <is>
          <t>LSE</t>
        </is>
      </c>
      <c r="H120" s="4" t="inlineStr">
        <is>
          <t>GBP</t>
        </is>
      </c>
      <c r="I120" s="5" t="n">
        <v>111019.638784</v>
      </c>
      <c r="J120" s="6">
        <f>INDEX(FX!$B:$B,MATCH(H120,FX!$A:$A,0))</f>
        <v/>
      </c>
      <c r="K120" s="5">
        <f>I120*J120</f>
        <v/>
      </c>
      <c r="L120" s="4">
        <f>IF(U120&lt;&gt;"",U120,IF(K120&gt;=Umbrales!$B$2,"Legendaria",IF(K120&gt;=Umbrales!$B$3,"Épica",IF(K120&gt;=Umbrales!$B$4,"Rara",IF(K120&gt;=Umbrales!$B$5,"Poco común","Común")))))</f>
        <v/>
      </c>
      <c r="M120" s="5" t="n">
        <v>23164.99968</v>
      </c>
      <c r="N120" s="5" t="n">
        <v>3038.000128</v>
      </c>
      <c r="O120" s="5">
        <f>IF(M120="","",M120*J120)</f>
        <v/>
      </c>
      <c r="P120" s="5">
        <f>IF(N120="","",N120*J120)</f>
        <v/>
      </c>
      <c r="Q120" s="7" t="n">
        <v>0.0089</v>
      </c>
      <c r="R120" s="8" t="n">
        <v>37.494442</v>
      </c>
      <c r="S120" s="4" t="inlineStr">
        <is>
          <t>UK_TOP</t>
        </is>
      </c>
      <c r="T120" s="9" t="inlineStr">
        <is>
          <t>SI</t>
        </is>
      </c>
      <c r="U120" s="9" t="inlineStr"/>
      <c r="V120" s="10">
        <f>Umbrales!$B$9*(K120/1000)^Umbrales!$B$10</f>
        <v/>
      </c>
    </row>
    <row r="121">
      <c r="A121" s="4" t="inlineStr">
        <is>
          <t>SAF.PA</t>
        </is>
      </c>
      <c r="B121" s="4" t="inlineStr">
        <is>
          <t>Safran SA</t>
        </is>
      </c>
      <c r="C121" s="4" t="inlineStr">
        <is>
          <t>France</t>
        </is>
      </c>
      <c r="D121" s="4" t="inlineStr">
        <is>
          <t>FR</t>
        </is>
      </c>
      <c r="E121" s="4" t="inlineStr">
        <is>
          <t>Industria</t>
        </is>
      </c>
      <c r="F121" s="4" t="inlineStr">
        <is>
          <t>Aerospace &amp; Defense</t>
        </is>
      </c>
      <c r="G121" s="4" t="inlineStr">
        <is>
          <t>PAR</t>
        </is>
      </c>
      <c r="H121" s="4" t="inlineStr">
        <is>
          <t>EUR</t>
        </is>
      </c>
      <c r="I121" s="5" t="n">
        <v>130254.143488</v>
      </c>
      <c r="J121" s="6">
        <f>INDEX(FX!$B:$B,MATCH(H121,FX!$A:$A,0))</f>
        <v/>
      </c>
      <c r="K121" s="5">
        <f>I121*J121</f>
        <v/>
      </c>
      <c r="L121" s="4">
        <f>IF(U121&lt;&gt;"",U121,IF(K121&gt;=Umbrales!$B$2,"Legendaria",IF(K121&gt;=Umbrales!$B$3,"Épica",IF(K121&gt;=Umbrales!$B$4,"Rara",IF(K121&gt;=Umbrales!$B$5,"Poco común","Común")))))</f>
        <v/>
      </c>
      <c r="M121" s="5" t="n">
        <v>33568.999424</v>
      </c>
      <c r="N121" s="5" t="n">
        <v>3881.999872</v>
      </c>
      <c r="O121" s="5">
        <f>IF(M121="","",M121*J121)</f>
        <v/>
      </c>
      <c r="P121" s="5">
        <f>IF(N121="","",N121*J121)</f>
        <v/>
      </c>
      <c r="Q121" s="7" t="n">
        <v>0.0107</v>
      </c>
      <c r="R121" s="8" t="n">
        <v>33.791622</v>
      </c>
      <c r="S121" s="4" t="inlineStr">
        <is>
          <t>EUROSTOXX50</t>
        </is>
      </c>
      <c r="T121" s="9" t="inlineStr">
        <is>
          <t>SI</t>
        </is>
      </c>
      <c r="U121" s="9" t="inlineStr"/>
      <c r="V121" s="10">
        <f>Umbrales!$B$9*(K121/1000)^Umbrales!$B$10</f>
        <v/>
      </c>
    </row>
    <row r="122">
      <c r="A122" s="4" t="inlineStr">
        <is>
          <t>BA</t>
        </is>
      </c>
      <c r="B122" s="4" t="inlineStr">
        <is>
          <t>The Boeing Company</t>
        </is>
      </c>
      <c r="C122" s="4" t="inlineStr">
        <is>
          <t>United States</t>
        </is>
      </c>
      <c r="D122" s="4" t="inlineStr">
        <is>
          <t>US</t>
        </is>
      </c>
      <c r="E122" s="4" t="inlineStr">
        <is>
          <t>Industria</t>
        </is>
      </c>
      <c r="F122" s="4" t="inlineStr">
        <is>
          <t>Aerospace &amp; Defense</t>
        </is>
      </c>
      <c r="G122" s="4" t="inlineStr">
        <is>
          <t>NYQ</t>
        </is>
      </c>
      <c r="H122" s="4" t="inlineStr">
        <is>
          <t>USD</t>
        </is>
      </c>
      <c r="I122" s="5" t="n">
        <v>145843.093504</v>
      </c>
      <c r="J122" s="6">
        <f>INDEX(FX!$B:$B,MATCH(H122,FX!$A:$A,0))</f>
        <v/>
      </c>
      <c r="K122" s="5">
        <f>I122*J122</f>
        <v/>
      </c>
      <c r="L122" s="4">
        <f>IF(U122&lt;&gt;"",U122,IF(K122&gt;=Umbrales!$B$2,"Legendaria",IF(K122&gt;=Umbrales!$B$3,"Épica",IF(K122&gt;=Umbrales!$B$4,"Rara",IF(K122&gt;=Umbrales!$B$5,"Poco común","Común")))))</f>
        <v/>
      </c>
      <c r="M122" s="5" t="n">
        <v>93994.99980799999</v>
      </c>
      <c r="N122" s="5" t="n">
        <v>2088.999936</v>
      </c>
      <c r="O122" s="5">
        <f>IF(M122="","",M122*J122)</f>
        <v/>
      </c>
      <c r="P122" s="5">
        <f>IF(N122="","",N122*J122)</f>
        <v/>
      </c>
      <c r="Q122" s="7" t="n">
        <v>0</v>
      </c>
      <c r="R122" s="8" t="n">
        <v>66.66426</v>
      </c>
      <c r="S122" s="4" t="inlineStr">
        <is>
          <t>DOW30</t>
        </is>
      </c>
      <c r="T122" s="9" t="inlineStr">
        <is>
          <t>SI</t>
        </is>
      </c>
      <c r="U122" s="9" t="inlineStr"/>
      <c r="V122" s="10">
        <f>Umbrales!$B$9*(K122/1000)^Umbrales!$B$10</f>
        <v/>
      </c>
    </row>
    <row r="123">
      <c r="A123" s="4" t="inlineStr">
        <is>
          <t>UBSG.SW</t>
        </is>
      </c>
      <c r="B123" s="4" t="inlineStr">
        <is>
          <t>UBS Group AG</t>
        </is>
      </c>
      <c r="C123" s="4" t="inlineStr">
        <is>
          <t>Switzerland</t>
        </is>
      </c>
      <c r="D123" s="4" t="inlineStr">
        <is>
          <t>CH</t>
        </is>
      </c>
      <c r="E123" s="4" t="inlineStr">
        <is>
          <t>Finanzas</t>
        </is>
      </c>
      <c r="F123" s="4" t="inlineStr">
        <is>
          <t>Banks - Diversified</t>
        </is>
      </c>
      <c r="G123" s="4" t="inlineStr">
        <is>
          <t>EBS</t>
        </is>
      </c>
      <c r="H123" s="4" t="inlineStr">
        <is>
          <t>CHF</t>
        </is>
      </c>
      <c r="I123" s="5" t="n">
        <v>120510.169088</v>
      </c>
      <c r="J123" s="6">
        <f>INDEX(FX!$B:$B,MATCH(H123,FX!$A:$A,0))</f>
        <v/>
      </c>
      <c r="K123" s="5">
        <f>I123*J123</f>
        <v/>
      </c>
      <c r="L123" s="4">
        <f>IF(U123&lt;&gt;"",U123,IF(K123&gt;=Umbrales!$B$2,"Legendaria",IF(K123&gt;=Umbrales!$B$3,"Épica",IF(K123&gt;=Umbrales!$B$4,"Rara",IF(K123&gt;=Umbrales!$B$5,"Poco común","Común")))))</f>
        <v/>
      </c>
      <c r="M123" s="5" t="n">
        <v>53040.001024</v>
      </c>
      <c r="N123" s="5" t="n">
        <v>9520</v>
      </c>
      <c r="O123" s="5">
        <f>IF(M123="","",M123*J123)</f>
        <v/>
      </c>
      <c r="P123" s="5">
        <f>IF(N123="","",N123*J123)</f>
        <v/>
      </c>
      <c r="Q123" s="7" t="n">
        <v>0.0219</v>
      </c>
      <c r="R123" s="8" t="n">
        <v>16.607595</v>
      </c>
      <c r="S123" s="4" t="inlineStr"/>
      <c r="T123" s="9" t="inlineStr">
        <is>
          <t>SI</t>
        </is>
      </c>
      <c r="U123" s="9" t="inlineStr"/>
      <c r="V123" s="10">
        <f>Umbrales!$B$9*(K123/1000)^Umbrales!$B$10</f>
        <v/>
      </c>
    </row>
    <row r="124">
      <c r="A124" s="4" t="inlineStr">
        <is>
          <t>NOW</t>
        </is>
      </c>
      <c r="B124" s="4" t="inlineStr">
        <is>
          <t>ServiceNow, Inc.</t>
        </is>
      </c>
      <c r="C124" s="4" t="inlineStr">
        <is>
          <t>United States</t>
        </is>
      </c>
      <c r="D124" s="4" t="inlineStr">
        <is>
          <t>US</t>
        </is>
      </c>
      <c r="E124" s="4" t="inlineStr">
        <is>
          <t>Tecnología</t>
        </is>
      </c>
      <c r="F124" s="4" t="inlineStr">
        <is>
          <t>Software - Application</t>
        </is>
      </c>
      <c r="G124" s="4" t="inlineStr">
        <is>
          <t>NYQ</t>
        </is>
      </c>
      <c r="H124" s="4" t="inlineStr">
        <is>
          <t>USD</t>
        </is>
      </c>
      <c r="I124" s="5" t="n">
        <v>144720.003072</v>
      </c>
      <c r="J124" s="6">
        <f>INDEX(FX!$B:$B,MATCH(H124,FX!$A:$A,0))</f>
        <v/>
      </c>
      <c r="K124" s="5">
        <f>I124*J124</f>
        <v/>
      </c>
      <c r="L124" s="4">
        <f>IF(U124&lt;&gt;"",U124,IF(K124&gt;=Umbrales!$B$2,"Legendaria",IF(K124&gt;=Umbrales!$B$3,"Épica",IF(K124&gt;=Umbrales!$B$4,"Rara",IF(K124&gt;=Umbrales!$B$5,"Poco común","Común")))))</f>
        <v/>
      </c>
      <c r="M124" s="5" t="n">
        <v>14732.000256</v>
      </c>
      <c r="N124" s="5" t="n">
        <v>1670</v>
      </c>
      <c r="O124" s="5">
        <f>IF(M124="","",M124*J124)</f>
        <v/>
      </c>
      <c r="P124" s="5">
        <f>IF(N124="","",N124*J124)</f>
        <v/>
      </c>
      <c r="Q124" s="7" t="n">
        <v>0</v>
      </c>
      <c r="R124" s="8" t="n">
        <v>87.487495</v>
      </c>
      <c r="S124" s="4" t="inlineStr"/>
      <c r="T124" s="9" t="inlineStr">
        <is>
          <t>SI</t>
        </is>
      </c>
      <c r="U124" s="9" t="inlineStr"/>
      <c r="V124" s="10">
        <f>Umbrales!$B$9*(K124/1000)^Umbrales!$B$10</f>
        <v/>
      </c>
    </row>
    <row r="125">
      <c r="A125" s="4" t="inlineStr">
        <is>
          <t>6758.T</t>
        </is>
      </c>
      <c r="B125" s="4" t="inlineStr">
        <is>
          <t>Sony Group Corporation</t>
        </is>
      </c>
      <c r="C125" s="4" t="inlineStr">
        <is>
          <t>Japan</t>
        </is>
      </c>
      <c r="D125" s="4" t="inlineStr">
        <is>
          <t>JP</t>
        </is>
      </c>
      <c r="E125" s="4" t="inlineStr">
        <is>
          <t>Tecnología</t>
        </is>
      </c>
      <c r="F125" s="4" t="inlineStr">
        <is>
          <t>Consumer Electronics</t>
        </is>
      </c>
      <c r="G125" s="4" t="inlineStr">
        <is>
          <t>JPX</t>
        </is>
      </c>
      <c r="H125" s="4" t="inlineStr">
        <is>
          <t>JPY</t>
        </is>
      </c>
      <c r="I125" s="5" t="n">
        <v>22676504.576</v>
      </c>
      <c r="J125" s="6">
        <f>INDEX(FX!$B:$B,MATCH(H125,FX!$A:$A,0))</f>
        <v/>
      </c>
      <c r="K125" s="5">
        <f>I125*J125</f>
        <v/>
      </c>
      <c r="L125" s="4">
        <f>IF(U125&lt;&gt;"",U125,IF(K125&gt;=Umbrales!$B$2,"Legendaria",IF(K125&gt;=Umbrales!$B$3,"Épica",IF(K125&gt;=Umbrales!$B$4,"Rara",IF(K125&gt;=Umbrales!$B$5,"Poco común","Común")))))</f>
        <v/>
      </c>
      <c r="M125" s="5" t="n">
        <v>12695775.47776</v>
      </c>
      <c r="N125" s="5" t="n">
        <v>1114027.065344</v>
      </c>
      <c r="O125" s="5">
        <f>IF(M125="","",M125*J125)</f>
        <v/>
      </c>
      <c r="P125" s="5">
        <f>IF(N125="","",N125*J125)</f>
        <v/>
      </c>
      <c r="Q125" s="7" t="n">
        <v>0.0091</v>
      </c>
      <c r="R125" s="8" t="n">
        <v>20.850332</v>
      </c>
      <c r="S125" s="4" t="inlineStr">
        <is>
          <t>ASIA_TOP</t>
        </is>
      </c>
      <c r="T125" s="9" t="inlineStr">
        <is>
          <t>SI</t>
        </is>
      </c>
      <c r="U125" s="9" t="inlineStr"/>
      <c r="V125" s="10">
        <f>Umbrales!$B$9*(K125/1000)^Umbrales!$B$10</f>
        <v/>
      </c>
    </row>
    <row r="126">
      <c r="A126" s="4" t="inlineStr">
        <is>
          <t>RIO.L</t>
        </is>
      </c>
      <c r="B126" s="4" t="inlineStr">
        <is>
          <t>Rio Tinto Group</t>
        </is>
      </c>
      <c r="C126" s="4" t="inlineStr">
        <is>
          <t>United Kingdom</t>
        </is>
      </c>
      <c r="D126" s="4" t="inlineStr">
        <is>
          <t>GB</t>
        </is>
      </c>
      <c r="E126" s="4" t="inlineStr">
        <is>
          <t>Materiales</t>
        </is>
      </c>
      <c r="F126" s="4" t="inlineStr">
        <is>
          <t>Other Industrial Metals &amp; Mining</t>
        </is>
      </c>
      <c r="G126" s="4" t="inlineStr">
        <is>
          <t>LSE</t>
        </is>
      </c>
      <c r="H126" s="4" t="inlineStr">
        <is>
          <t>GBP</t>
        </is>
      </c>
      <c r="I126" s="5" t="n">
        <v>108024.799232</v>
      </c>
      <c r="J126" s="6">
        <f>INDEX(FX!$B:$B,MATCH(H126,FX!$A:$A,0))</f>
        <v/>
      </c>
      <c r="K126" s="5">
        <f>I126*J126</f>
        <v/>
      </c>
      <c r="L126" s="4">
        <f>IF(U126&lt;&gt;"",U126,IF(K126&gt;=Umbrales!$B$2,"Legendaria",IF(K126&gt;=Umbrales!$B$3,"Épica",IF(K126&gt;=Umbrales!$B$4,"Rara",IF(K126&gt;=Umbrales!$B$5,"Poco común","Común")))))</f>
        <v/>
      </c>
      <c r="M126" s="5" t="n">
        <v>61793.001472</v>
      </c>
      <c r="N126" s="5" t="n">
        <v>12101.999616</v>
      </c>
      <c r="O126" s="5">
        <f>IF(M126="","",M126*J126)</f>
        <v/>
      </c>
      <c r="P126" s="5">
        <f>IF(N126="","",N126*J126)</f>
        <v/>
      </c>
      <c r="Q126" s="7" t="n">
        <v>0.0498</v>
      </c>
      <c r="R126" s="8" t="n">
        <v>12.076364</v>
      </c>
      <c r="S126" s="4" t="inlineStr">
        <is>
          <t>UK_TOP</t>
        </is>
      </c>
      <c r="T126" s="9" t="inlineStr">
        <is>
          <t>SI</t>
        </is>
      </c>
      <c r="U126" s="9" t="inlineStr"/>
      <c r="V126" s="10">
        <f>Umbrales!$B$9*(K126/1000)^Umbrales!$B$10</f>
        <v/>
      </c>
    </row>
    <row r="127">
      <c r="A127" s="4" t="inlineStr">
        <is>
          <t>BBVA.MC</t>
        </is>
      </c>
      <c r="B127" s="4" t="inlineStr">
        <is>
          <t>Banco Bilbao Vizcaya Argentaria, S.A.</t>
        </is>
      </c>
      <c r="C127" s="4" t="inlineStr">
        <is>
          <t>Spain</t>
        </is>
      </c>
      <c r="D127" s="4" t="inlineStr">
        <is>
          <t>ES</t>
        </is>
      </c>
      <c r="E127" s="4" t="inlineStr">
        <is>
          <t>Finanzas</t>
        </is>
      </c>
      <c r="F127" s="4" t="inlineStr">
        <is>
          <t>Banks - Diversified</t>
        </is>
      </c>
      <c r="G127" s="4" t="inlineStr">
        <is>
          <t>MCE</t>
        </is>
      </c>
      <c r="H127" s="4" t="inlineStr">
        <is>
          <t>EUR</t>
        </is>
      </c>
      <c r="I127" s="5" t="n">
        <v>126554.60352</v>
      </c>
      <c r="J127" s="6">
        <f>INDEX(FX!$B:$B,MATCH(H127,FX!$A:$A,0))</f>
        <v/>
      </c>
      <c r="K127" s="5">
        <f>I127*J127</f>
        <v/>
      </c>
      <c r="L127" s="4">
        <f>IF(U127&lt;&gt;"",U127,IF(K127&gt;=Umbrales!$B$2,"Legendaria",IF(K127&gt;=Umbrales!$B$3,"Épica",IF(K127&gt;=Umbrales!$B$4,"Rara",IF(K127&gt;=Umbrales!$B$5,"Poco común","Común")))))</f>
        <v/>
      </c>
      <c r="M127" s="5" t="n">
        <v>34134.99904</v>
      </c>
      <c r="N127" s="5" t="n">
        <v>10718.000128</v>
      </c>
      <c r="O127" s="5">
        <f>IF(M127="","",M127*J127)</f>
        <v/>
      </c>
      <c r="P127" s="5">
        <f>IF(N127="","",N127*J127)</f>
        <v/>
      </c>
      <c r="Q127" s="7" t="n">
        <v>0.04190000000000001</v>
      </c>
      <c r="R127" s="8" t="n">
        <v>12.239362</v>
      </c>
      <c r="S127" s="4" t="inlineStr">
        <is>
          <t>EUROSTOXX50, IBEX35</t>
        </is>
      </c>
      <c r="T127" s="9" t="inlineStr">
        <is>
          <t>SI</t>
        </is>
      </c>
      <c r="U127" s="9" t="inlineStr"/>
      <c r="V127" s="10">
        <f>Umbrales!$B$9*(K127/1000)^Umbrales!$B$10</f>
        <v/>
      </c>
    </row>
    <row r="128">
      <c r="A128" s="4" t="inlineStr">
        <is>
          <t>MPC</t>
        </is>
      </c>
      <c r="B128" s="4" t="inlineStr">
        <is>
          <t>Marathon Petroleum Corporation</t>
        </is>
      </c>
      <c r="C128" s="4" t="inlineStr">
        <is>
          <t>United States</t>
        </is>
      </c>
      <c r="D128" s="4" t="inlineStr">
        <is>
          <t>US</t>
        </is>
      </c>
      <c r="E128" s="4" t="inlineStr">
        <is>
          <t>Energía</t>
        </is>
      </c>
      <c r="F128" s="4" t="inlineStr">
        <is>
          <t>Oil &amp; Gas Refining &amp; Marketing</t>
        </is>
      </c>
      <c r="G128" s="4" t="inlineStr">
        <is>
          <t>NYQ</t>
        </is>
      </c>
      <c r="H128" s="4" t="inlineStr">
        <is>
          <t>USD</t>
        </is>
      </c>
      <c r="I128" s="5" t="n">
        <v>141565.919232</v>
      </c>
      <c r="J128" s="6">
        <f>INDEX(FX!$B:$B,MATCH(H128,FX!$A:$A,0))</f>
        <v/>
      </c>
      <c r="K128" s="5">
        <f>I128*J128</f>
        <v/>
      </c>
      <c r="L128" s="4">
        <f>IF(U128&lt;&gt;"",U128,IF(K128&gt;=Umbrales!$B$2,"Legendaria",IF(K128&gt;=Umbrales!$B$3,"Épica",IF(K128&gt;=Umbrales!$B$4,"Rara",IF(K128&gt;=Umbrales!$B$5,"Poco común","Común")))))</f>
        <v/>
      </c>
      <c r="M128" s="5" t="n">
        <v>154145.9968</v>
      </c>
      <c r="N128" s="5" t="n">
        <v>8545.999872</v>
      </c>
      <c r="O128" s="5">
        <f>IF(M128="","",M128*J128)</f>
        <v/>
      </c>
      <c r="P128" s="5">
        <f>IF(N128="","",N128*J128)</f>
        <v/>
      </c>
      <c r="Q128" s="7" t="n">
        <v>0.008399999999999999</v>
      </c>
      <c r="R128" s="8" t="n">
        <v>16.51635</v>
      </c>
      <c r="S128" s="4" t="inlineStr"/>
      <c r="T128" s="9" t="inlineStr">
        <is>
          <t>SI</t>
        </is>
      </c>
      <c r="U128" s="9" t="inlineStr"/>
      <c r="V128" s="10">
        <f>Umbrales!$B$9*(K128/1000)^Umbrales!$B$10</f>
        <v/>
      </c>
    </row>
    <row r="129">
      <c r="A129" s="4" t="inlineStr">
        <is>
          <t>UBER</t>
        </is>
      </c>
      <c r="B129" s="4" t="inlineStr">
        <is>
          <t>Uber Technologies, Inc.</t>
        </is>
      </c>
      <c r="C129" s="4" t="inlineStr">
        <is>
          <t>United States</t>
        </is>
      </c>
      <c r="D129" s="4" t="inlineStr">
        <is>
          <t>US</t>
        </is>
      </c>
      <c r="E129" s="4" t="inlineStr">
        <is>
          <t>Tecnología</t>
        </is>
      </c>
      <c r="F129" s="4" t="inlineStr">
        <is>
          <t>Software - Application</t>
        </is>
      </c>
      <c r="G129" s="4" t="inlineStr">
        <is>
          <t>NYQ</t>
        </is>
      </c>
      <c r="H129" s="4" t="inlineStr">
        <is>
          <t>USD</t>
        </is>
      </c>
      <c r="I129" s="5" t="n">
        <v>141528.989696</v>
      </c>
      <c r="J129" s="6">
        <f>INDEX(FX!$B:$B,MATCH(H129,FX!$A:$A,0))</f>
        <v/>
      </c>
      <c r="K129" s="5">
        <f>I129*J129</f>
        <v/>
      </c>
      <c r="L129" s="4">
        <f>IF(U129&lt;&gt;"",U129,IF(K129&gt;=Umbrales!$B$2,"Legendaria",IF(K129&gt;=Umbrales!$B$3,"Épica",IF(K129&gt;=Umbrales!$B$4,"Rara",IF(K129&gt;=Umbrales!$B$5,"Poco común","Común")))))</f>
        <v/>
      </c>
      <c r="M129" s="5" t="n">
        <v>55226.998784</v>
      </c>
      <c r="N129" s="5" t="n">
        <v>9578.999808</v>
      </c>
      <c r="O129" s="5">
        <f>IF(M129="","",M129*J129)</f>
        <v/>
      </c>
      <c r="P129" s="5">
        <f>IF(N129="","",N129*J129)</f>
        <v/>
      </c>
      <c r="Q129" s="7" t="n">
        <v>0</v>
      </c>
      <c r="R129" s="8" t="n">
        <v>15.195176</v>
      </c>
      <c r="S129" s="4" t="inlineStr"/>
      <c r="T129" s="9" t="inlineStr">
        <is>
          <t>SI</t>
        </is>
      </c>
      <c r="U129" s="9" t="inlineStr"/>
      <c r="V129" s="10">
        <f>Umbrales!$B$9*(K129/1000)^Umbrales!$B$10</f>
        <v/>
      </c>
    </row>
    <row r="130">
      <c r="A130" s="4" t="inlineStr">
        <is>
          <t>ULVR.L</t>
        </is>
      </c>
      <c r="B130" s="4" t="inlineStr">
        <is>
          <t>Unilever PLC</t>
        </is>
      </c>
      <c r="C130" s="4" t="inlineStr">
        <is>
          <t>United Kingdom</t>
        </is>
      </c>
      <c r="D130" s="4" t="inlineStr">
        <is>
          <t>GB</t>
        </is>
      </c>
      <c r="E130" s="4" t="inlineStr">
        <is>
          <t>Consumo básico</t>
        </is>
      </c>
      <c r="F130" s="4" t="inlineStr">
        <is>
          <t>Household &amp; Personal Products</t>
        </is>
      </c>
      <c r="G130" s="4" t="inlineStr">
        <is>
          <t>LSE</t>
        </is>
      </c>
      <c r="H130" s="4" t="inlineStr">
        <is>
          <t>GBP</t>
        </is>
      </c>
      <c r="I130" s="5" t="n">
        <v>105652.6336</v>
      </c>
      <c r="J130" s="6">
        <f>INDEX(FX!$B:$B,MATCH(H130,FX!$A:$A,0))</f>
        <v/>
      </c>
      <c r="K130" s="5">
        <f>I130*J130</f>
        <v/>
      </c>
      <c r="L130" s="4">
        <f>IF(U130&lt;&gt;"",U130,IF(K130&gt;=Umbrales!$B$2,"Legendaria",IF(K130&gt;=Umbrales!$B$3,"Épica",IF(K130&gt;=Umbrales!$B$4,"Rara",IF(K130&gt;=Umbrales!$B$5,"Poco común","Común")))))</f>
        <v/>
      </c>
      <c r="M130" s="5" t="n">
        <v>50619.998208</v>
      </c>
      <c r="N130" s="5" t="n">
        <v>5598.000128</v>
      </c>
      <c r="O130" s="5">
        <f>IF(M130="","",M130*J130)</f>
        <v/>
      </c>
      <c r="P130" s="5">
        <f>IF(N130="","",N130*J130)</f>
        <v/>
      </c>
      <c r="Q130" s="7" t="n">
        <v>0.035</v>
      </c>
      <c r="R130" s="8" t="n">
        <v>13.295393</v>
      </c>
      <c r="S130" s="4" t="inlineStr">
        <is>
          <t>UK_TOP</t>
        </is>
      </c>
      <c r="T130" s="9" t="inlineStr">
        <is>
          <t>SI</t>
        </is>
      </c>
      <c r="U130" s="9" t="inlineStr"/>
      <c r="V130" s="10">
        <f>Umbrales!$B$9*(K130/1000)^Umbrales!$B$10</f>
        <v/>
      </c>
    </row>
    <row r="131">
      <c r="A131" s="4" t="inlineStr">
        <is>
          <t>DTE.DE</t>
        </is>
      </c>
      <c r="B131" s="4" t="inlineStr">
        <is>
          <t>Deutsche Telekom AG</t>
        </is>
      </c>
      <c r="C131" s="4" t="inlineStr">
        <is>
          <t>Germany</t>
        </is>
      </c>
      <c r="D131" s="4" t="inlineStr">
        <is>
          <t>DE</t>
        </is>
      </c>
      <c r="E131" s="4" t="inlineStr">
        <is>
          <t>Comunicación</t>
        </is>
      </c>
      <c r="F131" s="4" t="inlineStr">
        <is>
          <t>Telecom Services</t>
        </is>
      </c>
      <c r="G131" s="4" t="inlineStr">
        <is>
          <t>GER</t>
        </is>
      </c>
      <c r="H131" s="4" t="inlineStr">
        <is>
          <t>EUR</t>
        </is>
      </c>
      <c r="I131" s="5" t="n">
        <v>124491.350016</v>
      </c>
      <c r="J131" s="6">
        <f>INDEX(FX!$B:$B,MATCH(H131,FX!$A:$A,0))</f>
        <v/>
      </c>
      <c r="K131" s="5">
        <f>I131*J131</f>
        <v/>
      </c>
      <c r="L131" s="4">
        <f>IF(U131&lt;&gt;"",U131,IF(K131&gt;=Umbrales!$B$2,"Legendaria",IF(K131&gt;=Umbrales!$B$3,"Épica",IF(K131&gt;=Umbrales!$B$4,"Rara",IF(K131&gt;=Umbrales!$B$5,"Poco común","Común")))))</f>
        <v/>
      </c>
      <c r="M131" s="5" t="n">
        <v>123225.997312</v>
      </c>
      <c r="N131" s="5" t="n">
        <v>8641.999872</v>
      </c>
      <c r="O131" s="5">
        <f>IF(M131="","",M131*J131)</f>
        <v/>
      </c>
      <c r="P131" s="5">
        <f>IF(N131="","",N131*J131)</f>
        <v/>
      </c>
      <c r="Q131" s="7" t="n">
        <v>0.0371</v>
      </c>
      <c r="R131" s="8" t="n">
        <v>15.680723</v>
      </c>
      <c r="S131" s="4" t="inlineStr">
        <is>
          <t>DAX40, EUROSTOXX50</t>
        </is>
      </c>
      <c r="T131" s="9" t="inlineStr">
        <is>
          <t>SI</t>
        </is>
      </c>
      <c r="U131" s="9" t="inlineStr"/>
      <c r="V131" s="10">
        <f>Umbrales!$B$9*(K131/1000)^Umbrales!$B$10</f>
        <v/>
      </c>
    </row>
    <row r="132">
      <c r="A132" s="4" t="inlineStr">
        <is>
          <t>CB</t>
        </is>
      </c>
      <c r="B132" s="4" t="inlineStr">
        <is>
          <t>Chubb Limited</t>
        </is>
      </c>
      <c r="C132" s="4" t="inlineStr">
        <is>
          <t>Switzerland</t>
        </is>
      </c>
      <c r="D132" s="4" t="inlineStr">
        <is>
          <t>CH</t>
        </is>
      </c>
      <c r="E132" s="4" t="inlineStr">
        <is>
          <t>Finanzas</t>
        </is>
      </c>
      <c r="F132" s="4" t="inlineStr">
        <is>
          <t>Insurance - Property &amp; Casualty</t>
        </is>
      </c>
      <c r="G132" s="4" t="inlineStr">
        <is>
          <t>NYQ</t>
        </is>
      </c>
      <c r="H132" s="4" t="inlineStr">
        <is>
          <t>USD</t>
        </is>
      </c>
      <c r="I132" s="5" t="n">
        <v>135087.824896</v>
      </c>
      <c r="J132" s="6">
        <f>INDEX(FX!$B:$B,MATCH(H132,FX!$A:$A,0))</f>
        <v/>
      </c>
      <c r="K132" s="5">
        <f>I132*J132</f>
        <v/>
      </c>
      <c r="L132" s="4">
        <f>IF(U132&lt;&gt;"",U132,IF(K132&gt;=Umbrales!$B$2,"Legendaria",IF(K132&gt;=Umbrales!$B$3,"Épica",IF(K132&gt;=Umbrales!$B$4,"Rara",IF(K132&gt;=Umbrales!$B$5,"Poco común","Común")))))</f>
        <v/>
      </c>
      <c r="M132" s="5" t="n">
        <v>61895.999488</v>
      </c>
      <c r="N132" s="5" t="n">
        <v>11185.000448</v>
      </c>
      <c r="O132" s="5">
        <f>IF(M132="","",M132*J132)</f>
        <v/>
      </c>
      <c r="P132" s="5">
        <f>IF(N132="","",N132*J132)</f>
        <v/>
      </c>
      <c r="Q132" s="7" t="n">
        <v>0.0118</v>
      </c>
      <c r="R132" s="8" t="n">
        <v>12.403471</v>
      </c>
      <c r="S132" s="4" t="inlineStr"/>
      <c r="T132" s="9" t="inlineStr">
        <is>
          <t>SI</t>
        </is>
      </c>
      <c r="U132" s="9" t="inlineStr"/>
      <c r="V132" s="10">
        <f>Umbrales!$B$9*(K132/1000)^Umbrales!$B$10</f>
        <v/>
      </c>
    </row>
    <row r="133">
      <c r="A133" s="4" t="inlineStr">
        <is>
          <t>FTNT</t>
        </is>
      </c>
      <c r="B133" s="4" t="inlineStr">
        <is>
          <t>Fortinet, Inc.</t>
        </is>
      </c>
      <c r="C133" s="4" t="inlineStr">
        <is>
          <t>United States</t>
        </is>
      </c>
      <c r="D133" s="4" t="inlineStr">
        <is>
          <t>US</t>
        </is>
      </c>
      <c r="E133" s="4" t="inlineStr">
        <is>
          <t>Tecnología</t>
        </is>
      </c>
      <c r="F133" s="4" t="inlineStr">
        <is>
          <t>Software - Infrastructure</t>
        </is>
      </c>
      <c r="G133" s="4" t="inlineStr">
        <is>
          <t>NMS</t>
        </is>
      </c>
      <c r="H133" s="4" t="inlineStr">
        <is>
          <t>USD</t>
        </is>
      </c>
      <c r="I133" s="5" t="n">
        <v>135040</v>
      </c>
      <c r="J133" s="6">
        <f>INDEX(FX!$B:$B,MATCH(H133,FX!$A:$A,0))</f>
        <v/>
      </c>
      <c r="K133" s="5">
        <f>I133*J133</f>
        <v/>
      </c>
      <c r="L133" s="4">
        <f>IF(U133&lt;&gt;"",U133,IF(K133&gt;=Umbrales!$B$2,"Legendaria",IF(K133&gt;=Umbrales!$B$3,"Épica",IF(K133&gt;=Umbrales!$B$4,"Rara",IF(K133&gt;=Umbrales!$B$5,"Poco común","Común")))))</f>
        <v/>
      </c>
      <c r="M133" s="5" t="n">
        <v>7527.399936</v>
      </c>
      <c r="N133" s="5" t="n">
        <v>2120.700032</v>
      </c>
      <c r="O133" s="5">
        <f>IF(M133="","",M133*J133)</f>
        <v/>
      </c>
      <c r="P133" s="5">
        <f>IF(N133="","",N133*J133)</f>
        <v/>
      </c>
      <c r="Q133" s="7" t="n">
        <v>0</v>
      </c>
      <c r="R133" s="8" t="n">
        <v>65.03534000000001</v>
      </c>
      <c r="S133" s="4" t="inlineStr">
        <is>
          <t>NASDAQ100</t>
        </is>
      </c>
      <c r="T133" s="9" t="inlineStr">
        <is>
          <t>SI</t>
        </is>
      </c>
      <c r="U133" s="9" t="inlineStr"/>
      <c r="V133" s="10">
        <f>Umbrales!$B$9*(K133/1000)^Umbrales!$B$10</f>
        <v/>
      </c>
    </row>
    <row r="134">
      <c r="A134" s="4" t="inlineStr">
        <is>
          <t>VLO</t>
        </is>
      </c>
      <c r="B134" s="4" t="inlineStr">
        <is>
          <t>Valero Energy Corporation</t>
        </is>
      </c>
      <c r="C134" s="4" t="inlineStr">
        <is>
          <t>United States</t>
        </is>
      </c>
      <c r="D134" s="4" t="inlineStr">
        <is>
          <t>US</t>
        </is>
      </c>
      <c r="E134" s="4" t="inlineStr">
        <is>
          <t>Energía</t>
        </is>
      </c>
      <c r="F134" s="4" t="inlineStr">
        <is>
          <t>Oil &amp; Gas Refining &amp; Marketing</t>
        </is>
      </c>
      <c r="G134" s="4" t="inlineStr">
        <is>
          <t>NYQ</t>
        </is>
      </c>
      <c r="H134" s="4" t="inlineStr">
        <is>
          <t>USD</t>
        </is>
      </c>
      <c r="I134" s="5" t="n">
        <v>132383.285248</v>
      </c>
      <c r="J134" s="6">
        <f>INDEX(FX!$B:$B,MATCH(H134,FX!$A:$A,0))</f>
        <v/>
      </c>
      <c r="K134" s="5">
        <f>I134*J134</f>
        <v/>
      </c>
      <c r="L134" s="4">
        <f>IF(U134&lt;&gt;"",U134,IF(K134&gt;=Umbrales!$B$2,"Legendaria",IF(K134&gt;=Umbrales!$B$3,"Épica",IF(K134&gt;=Umbrales!$B$4,"Rara",IF(K134&gt;=Umbrales!$B$5,"Poco común","Común")))))</f>
        <v/>
      </c>
      <c r="M134" s="5" t="n">
        <v>132429.996032</v>
      </c>
      <c r="N134" s="5" t="n">
        <v>7192.999936</v>
      </c>
      <c r="O134" s="5">
        <f>IF(M134="","",M134*J134)</f>
        <v/>
      </c>
      <c r="P134" s="5">
        <f>IF(N134="","",N134*J134)</f>
        <v/>
      </c>
      <c r="Q134" s="7" t="n">
        <v>0.0105</v>
      </c>
      <c r="R134" s="8" t="n">
        <v>19.165485</v>
      </c>
      <c r="S134" s="4" t="inlineStr"/>
      <c r="T134" s="9" t="inlineStr">
        <is>
          <t>SI</t>
        </is>
      </c>
      <c r="U134" s="9" t="inlineStr"/>
      <c r="V134" s="10">
        <f>Umbrales!$B$9*(K134/1000)^Umbrales!$B$10</f>
        <v/>
      </c>
    </row>
    <row r="135">
      <c r="A135" s="4" t="inlineStr">
        <is>
          <t>ACN</t>
        </is>
      </c>
      <c r="B135" s="4" t="inlineStr">
        <is>
          <t>Accenture plc</t>
        </is>
      </c>
      <c r="C135" s="4" t="inlineStr">
        <is>
          <t>Ireland</t>
        </is>
      </c>
      <c r="D135" s="4" t="inlineStr">
        <is>
          <t>IE</t>
        </is>
      </c>
      <c r="E135" s="4" t="inlineStr">
        <is>
          <t>Tecnología</t>
        </is>
      </c>
      <c r="F135" s="4" t="inlineStr">
        <is>
          <t>Information Technology Services</t>
        </is>
      </c>
      <c r="G135" s="4" t="inlineStr">
        <is>
          <t>NYQ</t>
        </is>
      </c>
      <c r="H135" s="4" t="inlineStr">
        <is>
          <t>USD</t>
        </is>
      </c>
      <c r="I135" s="5" t="n">
        <v>131543.072768</v>
      </c>
      <c r="J135" s="6">
        <f>INDEX(FX!$B:$B,MATCH(H135,FX!$A:$A,0))</f>
        <v/>
      </c>
      <c r="K135" s="5">
        <f>I135*J135</f>
        <v/>
      </c>
      <c r="L135" s="4">
        <f>IF(U135&lt;&gt;"",U135,IF(K135&gt;=Umbrales!$B$2,"Legendaria",IF(K135&gt;=Umbrales!$B$3,"Épica",IF(K135&gt;=Umbrales!$B$4,"Rara",IF(K135&gt;=Umbrales!$B$5,"Poco común","Común")))))</f>
        <v/>
      </c>
      <c r="M135" s="5" t="n">
        <v>74183.442432</v>
      </c>
      <c r="N135" s="5" t="n">
        <v>8367.055872000001</v>
      </c>
      <c r="O135" s="5">
        <f>IF(M135="","",M135*J135)</f>
        <v/>
      </c>
      <c r="P135" s="5">
        <f>IF(N135="","",N135*J135)</f>
        <v/>
      </c>
      <c r="Q135" s="7" t="n">
        <v>0.032</v>
      </c>
      <c r="R135" s="8" t="n">
        <v>15.747986</v>
      </c>
      <c r="S135" s="4" t="inlineStr"/>
      <c r="T135" s="9" t="inlineStr">
        <is>
          <t>SI</t>
        </is>
      </c>
      <c r="U135" s="9" t="inlineStr"/>
      <c r="V135" s="10">
        <f>Umbrales!$B$9*(K135/1000)^Umbrales!$B$10</f>
        <v/>
      </c>
    </row>
    <row r="136">
      <c r="A136" s="4" t="inlineStr">
        <is>
          <t>UCG.MI</t>
        </is>
      </c>
      <c r="B136" s="4" t="inlineStr">
        <is>
          <t>UniCredit S.p.A.</t>
        </is>
      </c>
      <c r="C136" s="4" t="inlineStr">
        <is>
          <t>Italy</t>
        </is>
      </c>
      <c r="D136" s="4" t="inlineStr">
        <is>
          <t>IT</t>
        </is>
      </c>
      <c r="E136" s="4" t="inlineStr">
        <is>
          <t>Finanzas</t>
        </is>
      </c>
      <c r="F136" s="4" t="inlineStr">
        <is>
          <t>Banks - Regional</t>
        </is>
      </c>
      <c r="G136" s="4" t="inlineStr">
        <is>
          <t>MIL</t>
        </is>
      </c>
      <c r="H136" s="4" t="inlineStr">
        <is>
          <t>EUR</t>
        </is>
      </c>
      <c r="I136" s="5" t="n">
        <v>115237.76512</v>
      </c>
      <c r="J136" s="6">
        <f>INDEX(FX!$B:$B,MATCH(H136,FX!$A:$A,0))</f>
        <v/>
      </c>
      <c r="K136" s="5">
        <f>I136*J136</f>
        <v/>
      </c>
      <c r="L136" s="4">
        <f>IF(U136&lt;&gt;"",U136,IF(K136&gt;=Umbrales!$B$2,"Legendaria",IF(K136&gt;=Umbrales!$B$3,"Épica",IF(K136&gt;=Umbrales!$B$4,"Rara",IF(K136&gt;=Umbrales!$B$5,"Poco común","Común")))))</f>
        <v/>
      </c>
      <c r="M136" s="5" t="n">
        <v>24842.999808</v>
      </c>
      <c r="N136" s="5" t="n">
        <v>10728.999936</v>
      </c>
      <c r="O136" s="5">
        <f>IF(M136="","",M136*J136)</f>
        <v/>
      </c>
      <c r="P136" s="5">
        <f>IF(N136="","",N136*J136)</f>
        <v/>
      </c>
      <c r="Q136" s="7" t="n">
        <v>0.0409</v>
      </c>
      <c r="R136" s="8" t="n">
        <v>10.964132</v>
      </c>
      <c r="S136" s="4" t="inlineStr">
        <is>
          <t>EUROSTOXX50</t>
        </is>
      </c>
      <c r="T136" s="9" t="inlineStr">
        <is>
          <t>SI</t>
        </is>
      </c>
      <c r="U136" s="9" t="inlineStr"/>
      <c r="V136" s="10">
        <f>Umbrales!$B$9*(K136/1000)^Umbrales!$B$10</f>
        <v/>
      </c>
    </row>
    <row r="137">
      <c r="A137" s="4" t="inlineStr">
        <is>
          <t>BX</t>
        </is>
      </c>
      <c r="B137" s="4" t="inlineStr">
        <is>
          <t>Blackstone Inc.</t>
        </is>
      </c>
      <c r="C137" s="4" t="inlineStr">
        <is>
          <t>United States</t>
        </is>
      </c>
      <c r="D137" s="4" t="inlineStr">
        <is>
          <t>US</t>
        </is>
      </c>
      <c r="E137" s="4" t="inlineStr">
        <is>
          <t>Finanzas</t>
        </is>
      </c>
      <c r="F137" s="4" t="inlineStr">
        <is>
          <t>Asset Management</t>
        </is>
      </c>
      <c r="G137" s="4" t="inlineStr">
        <is>
          <t>NYQ</t>
        </is>
      </c>
      <c r="H137" s="4" t="inlineStr">
        <is>
          <t>USD</t>
        </is>
      </c>
      <c r="I137" s="5" t="n">
        <v>126952.579072</v>
      </c>
      <c r="J137" s="6">
        <f>INDEX(FX!$B:$B,MATCH(H137,FX!$A:$A,0))</f>
        <v/>
      </c>
      <c r="K137" s="5">
        <f>I137*J137</f>
        <v/>
      </c>
      <c r="L137" s="4">
        <f>IF(U137&lt;&gt;"",U137,IF(K137&gt;=Umbrales!$B$2,"Legendaria",IF(K137&gt;=Umbrales!$B$3,"Épica",IF(K137&gt;=Umbrales!$B$4,"Rara",IF(K137&gt;=Umbrales!$B$5,"Poco común","Común")))))</f>
        <v/>
      </c>
      <c r="M137" s="5" t="n">
        <v>15483.307008</v>
      </c>
      <c r="N137" s="5" t="n">
        <v>3519.035904</v>
      </c>
      <c r="O137" s="5">
        <f>IF(M137="","",M137*J137)</f>
        <v/>
      </c>
      <c r="P137" s="5">
        <f>IF(N137="","",N137*J137)</f>
        <v/>
      </c>
      <c r="Q137" s="7" t="n">
        <v>0.0476</v>
      </c>
      <c r="R137" s="8" t="n">
        <v>23.867416</v>
      </c>
      <c r="S137" s="4" t="inlineStr"/>
      <c r="T137" s="9" t="inlineStr">
        <is>
          <t>SI</t>
        </is>
      </c>
      <c r="U137" s="9" t="inlineStr"/>
      <c r="V137" s="10">
        <f>Umbrales!$B$9*(K137/1000)^Umbrales!$B$10</f>
        <v/>
      </c>
    </row>
    <row r="138">
      <c r="A138" s="4" t="inlineStr">
        <is>
          <t>PLD</t>
        </is>
      </c>
      <c r="B138" s="4" t="inlineStr">
        <is>
          <t>Prologis, Inc.</t>
        </is>
      </c>
      <c r="C138" s="4" t="inlineStr">
        <is>
          <t>United States</t>
        </is>
      </c>
      <c r="D138" s="4" t="inlineStr">
        <is>
          <t>US</t>
        </is>
      </c>
      <c r="E138" s="4" t="inlineStr">
        <is>
          <t>Inmobiliario</t>
        </is>
      </c>
      <c r="F138" s="4" t="inlineStr">
        <is>
          <t>REIT - Industrial</t>
        </is>
      </c>
      <c r="G138" s="4" t="inlineStr">
        <is>
          <t>NYQ</t>
        </is>
      </c>
      <c r="H138" s="4" t="inlineStr">
        <is>
          <t>USD</t>
        </is>
      </c>
      <c r="I138" s="5" t="n">
        <v>126819.049472</v>
      </c>
      <c r="J138" s="6">
        <f>INDEX(FX!$B:$B,MATCH(H138,FX!$A:$A,0))</f>
        <v/>
      </c>
      <c r="K138" s="5">
        <f>I138*J138</f>
        <v/>
      </c>
      <c r="L138" s="4">
        <f>IF(U138&lt;&gt;"",U138,IF(K138&gt;=Umbrales!$B$2,"Legendaria",IF(K138&gt;=Umbrales!$B$3,"Épica",IF(K138&gt;=Umbrales!$B$4,"Rara",IF(K138&gt;=Umbrales!$B$5,"Poco común","Común")))))</f>
        <v/>
      </c>
      <c r="M138" s="5" t="n">
        <v>9657.474048</v>
      </c>
      <c r="N138" s="5" t="n">
        <v>4202.444032</v>
      </c>
      <c r="O138" s="5">
        <f>IF(M138="","",M138*J138)</f>
        <v/>
      </c>
      <c r="P138" s="5">
        <f>IF(N138="","",N138*J138)</f>
        <v/>
      </c>
      <c r="Q138" s="7" t="n">
        <v>0.032</v>
      </c>
      <c r="R138" s="8" t="n">
        <v>29.650002</v>
      </c>
      <c r="S138" s="4" t="inlineStr"/>
      <c r="T138" s="9" t="inlineStr">
        <is>
          <t>SI</t>
        </is>
      </c>
      <c r="U138" s="9" t="inlineStr"/>
      <c r="V138" s="10">
        <f>Umbrales!$B$9*(K138/1000)^Umbrales!$B$10</f>
        <v/>
      </c>
    </row>
    <row r="139">
      <c r="A139" s="4" t="inlineStr">
        <is>
          <t>INVE-B.ST</t>
        </is>
      </c>
      <c r="B139" s="4" t="inlineStr">
        <is>
          <t>Investor AB (publ)</t>
        </is>
      </c>
      <c r="C139" s="4" t="inlineStr">
        <is>
          <t>Sweden</t>
        </is>
      </c>
      <c r="D139" s="4" t="inlineStr">
        <is>
          <t>SE</t>
        </is>
      </c>
      <c r="E139" s="4" t="inlineStr">
        <is>
          <t>Finanzas</t>
        </is>
      </c>
      <c r="F139" s="4" t="inlineStr">
        <is>
          <t>Asset Management</t>
        </is>
      </c>
      <c r="G139" s="4" t="inlineStr">
        <is>
          <t>STO</t>
        </is>
      </c>
      <c r="H139" s="4" t="inlineStr">
        <is>
          <t>SEK</t>
        </is>
      </c>
      <c r="I139" s="5" t="n">
        <v>1261408.485376</v>
      </c>
      <c r="J139" s="6">
        <f>INDEX(FX!$B:$B,MATCH(H139,FX!$A:$A,0))</f>
        <v/>
      </c>
      <c r="K139" s="5">
        <f>I139*J139</f>
        <v/>
      </c>
      <c r="L139" s="4">
        <f>IF(U139&lt;&gt;"",U139,IF(K139&gt;=Umbrales!$B$2,"Legendaria",IF(K139&gt;=Umbrales!$B$3,"Épica",IF(K139&gt;=Umbrales!$B$4,"Rara",IF(K139&gt;=Umbrales!$B$5,"Poco común","Común")))))</f>
        <v/>
      </c>
      <c r="M139" s="5" t="n">
        <v>328016.003072</v>
      </c>
      <c r="N139" s="5" t="n">
        <v>262632.996864</v>
      </c>
      <c r="O139" s="5">
        <f>IF(M139="","",M139*J139)</f>
        <v/>
      </c>
      <c r="P139" s="5">
        <f>IF(N139="","",N139*J139)</f>
        <v/>
      </c>
      <c r="Q139" s="7" t="n">
        <v>0.0131</v>
      </c>
      <c r="R139" s="8" t="n">
        <v>4.805672</v>
      </c>
      <c r="S139" s="4" t="inlineStr"/>
      <c r="T139" s="9" t="inlineStr">
        <is>
          <t>SI</t>
        </is>
      </c>
      <c r="U139" s="9" t="inlineStr"/>
      <c r="V139" s="10">
        <f>Umbrales!$B$9*(K139/1000)^Umbrales!$B$10</f>
        <v/>
      </c>
    </row>
    <row r="140">
      <c r="A140" s="4" t="inlineStr">
        <is>
          <t>VRTX</t>
        </is>
      </c>
      <c r="B140" s="4" t="inlineStr">
        <is>
          <t>Vertex Pharmaceuticals Incorporated</t>
        </is>
      </c>
      <c r="C140" s="4" t="inlineStr">
        <is>
          <t>United States</t>
        </is>
      </c>
      <c r="D140" s="4" t="inlineStr">
        <is>
          <t>US</t>
        </is>
      </c>
      <c r="E140" s="4" t="inlineStr">
        <is>
          <t>Salud</t>
        </is>
      </c>
      <c r="F140" s="4" t="inlineStr">
        <is>
          <t>Biotechnology</t>
        </is>
      </c>
      <c r="G140" s="4" t="inlineStr">
        <is>
          <t>NMS</t>
        </is>
      </c>
      <c r="H140" s="4" t="inlineStr">
        <is>
          <t>USD</t>
        </is>
      </c>
      <c r="I140" s="5" t="n">
        <v>126270.046208</v>
      </c>
      <c r="J140" s="6">
        <f>INDEX(FX!$B:$B,MATCH(H140,FX!$A:$A,0))</f>
        <v/>
      </c>
      <c r="K140" s="5">
        <f>I140*J140</f>
        <v/>
      </c>
      <c r="L140" s="4">
        <f>IF(U140&lt;&gt;"",U140,IF(K140&gt;=Umbrales!$B$2,"Legendaria",IF(K140&gt;=Umbrales!$B$3,"Épica",IF(K140&gt;=Umbrales!$B$4,"Rara",IF(K140&gt;=Umbrales!$B$5,"Poco común","Común")))))</f>
        <v/>
      </c>
      <c r="M140" s="5" t="n">
        <v>12587.200512</v>
      </c>
      <c r="N140" s="5" t="n">
        <v>4405.199872</v>
      </c>
      <c r="O140" s="5">
        <f>IF(M140="","",M140*J140)</f>
        <v/>
      </c>
      <c r="P140" s="5">
        <f>IF(N140="","",N140*J140)</f>
        <v/>
      </c>
      <c r="Q140" s="7" t="n">
        <v>0</v>
      </c>
      <c r="R140" s="8" t="n">
        <v>29.033197</v>
      </c>
      <c r="S140" s="4" t="inlineStr">
        <is>
          <t>NASDAQ100</t>
        </is>
      </c>
      <c r="T140" s="9" t="inlineStr">
        <is>
          <t>SI</t>
        </is>
      </c>
      <c r="U140" s="9" t="inlineStr"/>
      <c r="V140" s="10">
        <f>Umbrales!$B$9*(K140/1000)^Umbrales!$B$10</f>
        <v/>
      </c>
    </row>
    <row r="141">
      <c r="A141" s="4" t="inlineStr">
        <is>
          <t>BP.L</t>
        </is>
      </c>
      <c r="B141" s="4" t="inlineStr">
        <is>
          <t>BP p.l.c.</t>
        </is>
      </c>
      <c r="C141" s="4" t="inlineStr">
        <is>
          <t>United Kingdom</t>
        </is>
      </c>
      <c r="D141" s="4" t="inlineStr">
        <is>
          <t>GB</t>
        </is>
      </c>
      <c r="E141" s="4" t="inlineStr">
        <is>
          <t>Energía</t>
        </is>
      </c>
      <c r="F141" s="4" t="inlineStr">
        <is>
          <t>Oil &amp; Gas Integrated</t>
        </is>
      </c>
      <c r="G141" s="4" t="inlineStr">
        <is>
          <t>LSE</t>
        </is>
      </c>
      <c r="H141" s="4" t="inlineStr">
        <is>
          <t>GBP</t>
        </is>
      </c>
      <c r="I141" s="5" t="n">
        <v>94688.518144</v>
      </c>
      <c r="J141" s="6">
        <f>INDEX(FX!$B:$B,MATCH(H141,FX!$A:$A,0))</f>
        <v/>
      </c>
      <c r="K141" s="5">
        <f>I141*J141</f>
        <v/>
      </c>
      <c r="L141" s="4">
        <f>IF(U141&lt;&gt;"",U141,IF(K141&gt;=Umbrales!$B$2,"Legendaria",IF(K141&gt;=Umbrales!$B$3,"Épica",IF(K141&gt;=Umbrales!$B$4,"Rara",IF(K141&gt;=Umbrales!$B$5,"Poco común","Común")))))</f>
        <v/>
      </c>
      <c r="M141" s="5" t="n">
        <v>215465.00096</v>
      </c>
      <c r="N141" s="5" t="n">
        <v>5425.999872</v>
      </c>
      <c r="O141" s="5">
        <f>IF(M141="","",M141*J141)</f>
        <v/>
      </c>
      <c r="P141" s="5">
        <f>IF(N141="","",N141*J141)</f>
        <v/>
      </c>
      <c r="Q141" s="7" t="n">
        <v>0.0411</v>
      </c>
      <c r="R141" s="8" t="n">
        <v>24.5092</v>
      </c>
      <c r="S141" s="4" t="inlineStr">
        <is>
          <t>UK_TOP</t>
        </is>
      </c>
      <c r="T141" s="9" t="inlineStr">
        <is>
          <t>SI</t>
        </is>
      </c>
      <c r="U141" s="9" t="inlineStr"/>
      <c r="V141" s="10">
        <f>Umbrales!$B$9*(K141/1000)^Umbrales!$B$10</f>
        <v/>
      </c>
    </row>
    <row r="142">
      <c r="A142" s="4" t="inlineStr">
        <is>
          <t>BATS.L</t>
        </is>
      </c>
      <c r="B142" s="4" t="inlineStr">
        <is>
          <t>British American Tobacco p.l.c.</t>
        </is>
      </c>
      <c r="C142" s="4" t="inlineStr">
        <is>
          <t>United Kingdom</t>
        </is>
      </c>
      <c r="D142" s="4" t="inlineStr">
        <is>
          <t>GB</t>
        </is>
      </c>
      <c r="E142" s="4" t="inlineStr">
        <is>
          <t>Consumo básico</t>
        </is>
      </c>
      <c r="F142" s="4" t="inlineStr">
        <is>
          <t>Tobacco</t>
        </is>
      </c>
      <c r="G142" s="4" t="inlineStr">
        <is>
          <t>LSE</t>
        </is>
      </c>
      <c r="H142" s="4" t="inlineStr">
        <is>
          <t>GBP</t>
        </is>
      </c>
      <c r="I142" s="5" t="n">
        <v>94167.130112</v>
      </c>
      <c r="J142" s="6">
        <f>INDEX(FX!$B:$B,MATCH(H142,FX!$A:$A,0))</f>
        <v/>
      </c>
      <c r="K142" s="5">
        <f>I142*J142</f>
        <v/>
      </c>
      <c r="L142" s="4">
        <f>IF(U142&lt;&gt;"",U142,IF(K142&gt;=Umbrales!$B$2,"Legendaria",IF(K142&gt;=Umbrales!$B$3,"Épica",IF(K142&gt;=Umbrales!$B$4,"Rara",IF(K142&gt;=Umbrales!$B$5,"Poco común","Común")))))</f>
        <v/>
      </c>
      <c r="M142" s="5" t="n">
        <v>25776.001024</v>
      </c>
      <c r="N142" s="5" t="n">
        <v>6349.000192</v>
      </c>
      <c r="O142" s="5">
        <f>IF(M142="","",M142*J142)</f>
        <v/>
      </c>
      <c r="P142" s="5">
        <f>IF(N142="","",N142*J142)</f>
        <v/>
      </c>
      <c r="Q142" s="7" t="n">
        <v>0.058</v>
      </c>
      <c r="R142" s="8" t="n">
        <v>15.04811</v>
      </c>
      <c r="S142" s="4" t="inlineStr">
        <is>
          <t>UK_TOP</t>
        </is>
      </c>
      <c r="T142" s="9" t="inlineStr">
        <is>
          <t>SI</t>
        </is>
      </c>
      <c r="U142" s="9" t="inlineStr"/>
      <c r="V142" s="10">
        <f>Umbrales!$B$9*(K142/1000)^Umbrales!$B$10</f>
        <v/>
      </c>
    </row>
    <row r="143">
      <c r="A143" s="4" t="inlineStr">
        <is>
          <t>BKNG</t>
        </is>
      </c>
      <c r="B143" s="4" t="inlineStr">
        <is>
          <t>Booking Holdings Inc.</t>
        </is>
      </c>
      <c r="C143" s="4" t="inlineStr">
        <is>
          <t>United States</t>
        </is>
      </c>
      <c r="D143" s="4" t="inlineStr">
        <is>
          <t>US</t>
        </is>
      </c>
      <c r="E143" s="4" t="inlineStr">
        <is>
          <t>Consumo cíclico</t>
        </is>
      </c>
      <c r="F143" s="4" t="inlineStr">
        <is>
          <t>Travel Services</t>
        </is>
      </c>
      <c r="G143" s="4" t="inlineStr">
        <is>
          <t>NMS</t>
        </is>
      </c>
      <c r="H143" s="4" t="inlineStr">
        <is>
          <t>USD</t>
        </is>
      </c>
      <c r="I143" s="5" t="n">
        <v>124507.46368</v>
      </c>
      <c r="J143" s="6">
        <f>INDEX(FX!$B:$B,MATCH(H143,FX!$A:$A,0))</f>
        <v/>
      </c>
      <c r="K143" s="5">
        <f>I143*J143</f>
        <v/>
      </c>
      <c r="L143" s="4">
        <f>IF(U143&lt;&gt;"",U143,IF(K143&gt;=Umbrales!$B$2,"Legendaria",IF(K143&gt;=Umbrales!$B$3,"Épica",IF(K143&gt;=Umbrales!$B$4,"Rara",IF(K143&gt;=Umbrales!$B$5,"Poco común","Común")))))</f>
        <v/>
      </c>
      <c r="M143" s="5" t="n">
        <v>28241.000448</v>
      </c>
      <c r="N143" s="5" t="n">
        <v>7208.999936</v>
      </c>
      <c r="O143" s="5">
        <f>IF(M143="","",M143*J143)</f>
        <v/>
      </c>
      <c r="P143" s="5">
        <f>IF(N143="","",N143*J143)</f>
        <v/>
      </c>
      <c r="Q143" s="7" t="n">
        <v>0.0107</v>
      </c>
      <c r="R143" s="8" t="n">
        <v>17.446253</v>
      </c>
      <c r="S143" s="4" t="inlineStr">
        <is>
          <t>NASDAQ100</t>
        </is>
      </c>
      <c r="T143" s="9" t="inlineStr">
        <is>
          <t>SI</t>
        </is>
      </c>
      <c r="U143" s="9" t="inlineStr"/>
      <c r="V143" s="10">
        <f>Umbrales!$B$9*(K143/1000)^Umbrales!$B$10</f>
        <v/>
      </c>
    </row>
    <row r="144">
      <c r="A144" s="4" t="inlineStr">
        <is>
          <t>PGR</t>
        </is>
      </c>
      <c r="B144" s="4" t="inlineStr">
        <is>
          <t>The Progressive Corporation</t>
        </is>
      </c>
      <c r="C144" s="4" t="inlineStr">
        <is>
          <t>United States</t>
        </is>
      </c>
      <c r="D144" s="4" t="inlineStr">
        <is>
          <t>US</t>
        </is>
      </c>
      <c r="E144" s="4" t="inlineStr">
        <is>
          <t>Finanzas</t>
        </is>
      </c>
      <c r="F144" s="4" t="inlineStr">
        <is>
          <t>Insurance - Property &amp; Casualty</t>
        </is>
      </c>
      <c r="G144" s="4" t="inlineStr">
        <is>
          <t>NYQ</t>
        </is>
      </c>
      <c r="H144" s="4" t="inlineStr">
        <is>
          <t>USD</t>
        </is>
      </c>
      <c r="I144" s="5" t="n">
        <v>123892.187136</v>
      </c>
      <c r="J144" s="6">
        <f>INDEX(FX!$B:$B,MATCH(H144,FX!$A:$A,0))</f>
        <v/>
      </c>
      <c r="K144" s="5">
        <f>I144*J144</f>
        <v/>
      </c>
      <c r="L144" s="4">
        <f>IF(U144&lt;&gt;"",U144,IF(K144&gt;=Umbrales!$B$2,"Legendaria",IF(K144&gt;=Umbrales!$B$3,"Épica",IF(K144&gt;=Umbrales!$B$4,"Rara",IF(K144&gt;=Umbrales!$B$5,"Poco común","Común")))))</f>
        <v/>
      </c>
      <c r="M144" s="5" t="n">
        <v>91019.001856</v>
      </c>
      <c r="N144" s="5" t="n">
        <v>11694.999552</v>
      </c>
      <c r="O144" s="5">
        <f>IF(M144="","",M144*J144)</f>
        <v/>
      </c>
      <c r="P144" s="5">
        <f>IF(N144="","",N144*J144)</f>
        <v/>
      </c>
      <c r="Q144" s="7" t="n">
        <v>0.0018</v>
      </c>
      <c r="R144" s="8" t="n">
        <v>11.175917</v>
      </c>
      <c r="S144" s="4" t="inlineStr"/>
      <c r="T144" s="9" t="inlineStr">
        <is>
          <t>SI</t>
        </is>
      </c>
      <c r="U144" s="9" t="inlineStr"/>
      <c r="V144" s="10">
        <f>Umbrales!$B$9*(K144/1000)^Umbrales!$B$10</f>
        <v/>
      </c>
    </row>
    <row r="145">
      <c r="A145" s="4" t="inlineStr">
        <is>
          <t>AI.PA</t>
        </is>
      </c>
      <c r="B145" s="4" t="inlineStr">
        <is>
          <t>L'Air Liquide S.A.</t>
        </is>
      </c>
      <c r="C145" s="4" t="inlineStr">
        <is>
          <t>France</t>
        </is>
      </c>
      <c r="D145" s="4" t="inlineStr">
        <is>
          <t>FR</t>
        </is>
      </c>
      <c r="E145" s="4" t="inlineStr">
        <is>
          <t>Materiales</t>
        </is>
      </c>
      <c r="F145" s="4" t="inlineStr">
        <is>
          <t>Specialty Chemicals</t>
        </is>
      </c>
      <c r="G145" s="4" t="inlineStr">
        <is>
          <t>PAR</t>
        </is>
      </c>
      <c r="H145" s="4" t="inlineStr">
        <is>
          <t>EUR</t>
        </is>
      </c>
      <c r="I145" s="5" t="n">
        <v>109100.515328</v>
      </c>
      <c r="J145" s="6">
        <f>INDEX(FX!$B:$B,MATCH(H145,FX!$A:$A,0))</f>
        <v/>
      </c>
      <c r="K145" s="5">
        <f>I145*J145</f>
        <v/>
      </c>
      <c r="L145" s="4">
        <f>IF(U145&lt;&gt;"",U145,IF(K145&gt;=Umbrales!$B$2,"Legendaria",IF(K145&gt;=Umbrales!$B$3,"Épica",IF(K145&gt;=Umbrales!$B$4,"Rara",IF(K145&gt;=Umbrales!$B$5,"Poco común","Común")))))</f>
        <v/>
      </c>
      <c r="M145" s="5" t="n">
        <v>27045.900288</v>
      </c>
      <c r="N145" s="5" t="n">
        <v>3539.399936</v>
      </c>
      <c r="O145" s="5">
        <f>IF(M145="","",M145*J145)</f>
        <v/>
      </c>
      <c r="P145" s="5">
        <f>IF(N145="","",N145*J145)</f>
        <v/>
      </c>
      <c r="Q145" s="7" t="n">
        <v>0.0199</v>
      </c>
      <c r="R145" s="8" t="n">
        <v>30.803604</v>
      </c>
      <c r="S145" s="4" t="inlineStr">
        <is>
          <t>EUROSTOXX50</t>
        </is>
      </c>
      <c r="T145" s="9" t="inlineStr">
        <is>
          <t>SI</t>
        </is>
      </c>
      <c r="U145" s="9" t="inlineStr"/>
      <c r="V145" s="10">
        <f>Umbrales!$B$9*(K145/1000)^Umbrales!$B$10</f>
        <v/>
      </c>
    </row>
    <row r="146">
      <c r="A146" s="4" t="inlineStr">
        <is>
          <t>MO</t>
        </is>
      </c>
      <c r="B146" s="4" t="inlineStr">
        <is>
          <t>Altria Group, Inc.</t>
        </is>
      </c>
      <c r="C146" s="4" t="inlineStr">
        <is>
          <t>United States</t>
        </is>
      </c>
      <c r="D146" s="4" t="inlineStr">
        <is>
          <t>US</t>
        </is>
      </c>
      <c r="E146" s="4" t="inlineStr">
        <is>
          <t>Consumo básico</t>
        </is>
      </c>
      <c r="F146" s="4" t="inlineStr">
        <is>
          <t>Tobacco</t>
        </is>
      </c>
      <c r="G146" s="4" t="inlineStr">
        <is>
          <t>NYQ</t>
        </is>
      </c>
      <c r="H146" s="4" t="inlineStr">
        <is>
          <t>USD</t>
        </is>
      </c>
      <c r="I146" s="5" t="n">
        <v>122108.362752</v>
      </c>
      <c r="J146" s="6">
        <f>INDEX(FX!$B:$B,MATCH(H146,FX!$A:$A,0))</f>
        <v/>
      </c>
      <c r="K146" s="5">
        <f>I146*J146</f>
        <v/>
      </c>
      <c r="L146" s="4">
        <f>IF(U146&lt;&gt;"",U146,IF(K146&gt;=Umbrales!$B$2,"Legendaria",IF(K146&gt;=Umbrales!$B$3,"Épica",IF(K146&gt;=Umbrales!$B$4,"Rara",IF(K146&gt;=Umbrales!$B$5,"Poco común","Común")))))</f>
        <v/>
      </c>
      <c r="M146" s="5" t="n">
        <v>20444.000256</v>
      </c>
      <c r="N146" s="5" t="n">
        <v>7952</v>
      </c>
      <c r="O146" s="5">
        <f>IF(M146="","",M146*J146)</f>
        <v/>
      </c>
      <c r="P146" s="5">
        <f>IF(N146="","",N146*J146)</f>
        <v/>
      </c>
      <c r="Q146" s="7" t="n">
        <v>0.062</v>
      </c>
      <c r="R146" s="8" t="n">
        <v>15.07835</v>
      </c>
      <c r="S146" s="4" t="inlineStr"/>
      <c r="T146" s="9" t="inlineStr">
        <is>
          <t>SI</t>
        </is>
      </c>
      <c r="U146" s="9" t="inlineStr"/>
      <c r="V146" s="10">
        <f>Umbrales!$B$9*(K146/1000)^Umbrales!$B$10</f>
        <v/>
      </c>
    </row>
    <row r="147">
      <c r="A147" s="4" t="inlineStr">
        <is>
          <t>6861.T</t>
        </is>
      </c>
      <c r="B147" s="4" t="inlineStr">
        <is>
          <t>Keyence Corporation</t>
        </is>
      </c>
      <c r="C147" s="4" t="inlineStr">
        <is>
          <t>Japan</t>
        </is>
      </c>
      <c r="D147" s="4" t="inlineStr">
        <is>
          <t>JP</t>
        </is>
      </c>
      <c r="E147" s="4" t="inlineStr">
        <is>
          <t>Tecnología</t>
        </is>
      </c>
      <c r="F147" s="4" t="inlineStr">
        <is>
          <t>Scientific &amp; Technical Instruments</t>
        </is>
      </c>
      <c r="G147" s="4" t="inlineStr">
        <is>
          <t>JPX</t>
        </is>
      </c>
      <c r="H147" s="4" t="inlineStr">
        <is>
          <t>JPY</t>
        </is>
      </c>
      <c r="I147" s="5" t="n">
        <v>19152209.18272</v>
      </c>
      <c r="J147" s="6">
        <f>INDEX(FX!$B:$B,MATCH(H147,FX!$A:$A,0))</f>
        <v/>
      </c>
      <c r="K147" s="5">
        <f>I147*J147</f>
        <v/>
      </c>
      <c r="L147" s="4">
        <f>IF(U147&lt;&gt;"",U147,IF(K147&gt;=Umbrales!$B$2,"Legendaria",IF(K147&gt;=Umbrales!$B$3,"Épica",IF(K147&gt;=Umbrales!$B$4,"Rara",IF(K147&gt;=Umbrales!$B$5,"Poco común","Común")))))</f>
        <v/>
      </c>
      <c r="M147" s="5" t="n">
        <v>1254834.044928</v>
      </c>
      <c r="N147" s="5" t="n">
        <v>492202.000384</v>
      </c>
      <c r="O147" s="5">
        <f>IF(M147="","",M147*J147)</f>
        <v/>
      </c>
      <c r="P147" s="5">
        <f>IF(N147="","",N147*J147)</f>
        <v/>
      </c>
      <c r="Q147" s="7" t="n">
        <v>0.0068</v>
      </c>
      <c r="R147" s="8" t="n">
        <v>43.020885</v>
      </c>
      <c r="S147" s="4" t="inlineStr">
        <is>
          <t>ASIA_TOP</t>
        </is>
      </c>
      <c r="T147" s="9" t="inlineStr">
        <is>
          <t>SI</t>
        </is>
      </c>
      <c r="U147" s="9" t="inlineStr"/>
      <c r="V147" s="10">
        <f>Umbrales!$B$9*(K147/1000)^Umbrales!$B$10</f>
        <v/>
      </c>
    </row>
    <row r="148">
      <c r="A148" s="4" t="inlineStr">
        <is>
          <t>BMY</t>
        </is>
      </c>
      <c r="B148" s="4" t="inlineStr">
        <is>
          <t>Bristol-Myers Squibb Company</t>
        </is>
      </c>
      <c r="C148" s="4" t="inlineStr">
        <is>
          <t>United States</t>
        </is>
      </c>
      <c r="D148" s="4" t="inlineStr">
        <is>
          <t>US</t>
        </is>
      </c>
      <c r="E148" s="4" t="inlineStr">
        <is>
          <t>Salud</t>
        </is>
      </c>
      <c r="F148" s="4" t="inlineStr">
        <is>
          <t>Drug Manufacturers - General</t>
        </is>
      </c>
      <c r="G148" s="4" t="inlineStr">
        <is>
          <t>NYQ</t>
        </is>
      </c>
      <c r="H148" s="4" t="inlineStr">
        <is>
          <t>USD</t>
        </is>
      </c>
      <c r="I148" s="5" t="n">
        <v>121092.120576</v>
      </c>
      <c r="J148" s="6">
        <f>INDEX(FX!$B:$B,MATCH(H148,FX!$A:$A,0))</f>
        <v/>
      </c>
      <c r="K148" s="5">
        <f>I148*J148</f>
        <v/>
      </c>
      <c r="L148" s="4">
        <f>IF(U148&lt;&gt;"",U148,IF(K148&gt;=Umbrales!$B$2,"Legendaria",IF(K148&gt;=Umbrales!$B$3,"Épica",IF(K148&gt;=Umbrales!$B$4,"Rara",IF(K148&gt;=Umbrales!$B$5,"Poco común","Común")))))</f>
        <v/>
      </c>
      <c r="M148" s="5" t="n">
        <v>49186.000896</v>
      </c>
      <c r="N148" s="5" t="n">
        <v>9281.999872</v>
      </c>
      <c r="O148" s="5">
        <f>IF(M148="","",M148*J148)</f>
        <v/>
      </c>
      <c r="P148" s="5">
        <f>IF(N148="","",N148*J148)</f>
        <v/>
      </c>
      <c r="Q148" s="7" t="n">
        <v>0.0445</v>
      </c>
      <c r="R148" s="8" t="n">
        <v>12.48</v>
      </c>
      <c r="S148" s="4" t="inlineStr"/>
      <c r="T148" s="9" t="inlineStr">
        <is>
          <t>SI</t>
        </is>
      </c>
      <c r="U148" s="9" t="inlineStr"/>
      <c r="V148" s="10">
        <f>Umbrales!$B$9*(K148/1000)^Umbrales!$B$10</f>
        <v/>
      </c>
    </row>
    <row r="149">
      <c r="A149" s="4" t="inlineStr">
        <is>
          <t>PH</t>
        </is>
      </c>
      <c r="B149" s="4" t="inlineStr">
        <is>
          <t>Parker-Hannifin Corporation</t>
        </is>
      </c>
      <c r="C149" s="4" t="inlineStr">
        <is>
          <t>United States</t>
        </is>
      </c>
      <c r="D149" s="4" t="inlineStr">
        <is>
          <t>US</t>
        </is>
      </c>
      <c r="E149" s="4" t="inlineStr">
        <is>
          <t>Industria</t>
        </is>
      </c>
      <c r="F149" s="4" t="inlineStr">
        <is>
          <t>Specialty Industrial Machinery</t>
        </is>
      </c>
      <c r="G149" s="4" t="inlineStr">
        <is>
          <t>NYQ</t>
        </is>
      </c>
      <c r="H149" s="4" t="inlineStr">
        <is>
          <t>USD</t>
        </is>
      </c>
      <c r="I149" s="5" t="n">
        <v>120603.828224</v>
      </c>
      <c r="J149" s="6">
        <f>INDEX(FX!$B:$B,MATCH(H149,FX!$A:$A,0))</f>
        <v/>
      </c>
      <c r="K149" s="5">
        <f>I149*J149</f>
        <v/>
      </c>
      <c r="L149" s="4">
        <f>IF(U149&lt;&gt;"",U149,IF(K149&gt;=Umbrales!$B$2,"Legendaria",IF(K149&gt;=Umbrales!$B$3,"Épica",IF(K149&gt;=Umbrales!$B$4,"Rara",IF(K149&gt;=Umbrales!$B$5,"Poco común","Común")))))</f>
        <v/>
      </c>
      <c r="M149" s="5" t="n">
        <v>21499.000832</v>
      </c>
      <c r="N149" s="5" t="n">
        <v>3648</v>
      </c>
      <c r="O149" s="5">
        <f>IF(M149="","",M149*J149)</f>
        <v/>
      </c>
      <c r="P149" s="5">
        <f>IF(N149="","",N149*J149)</f>
        <v/>
      </c>
      <c r="Q149" s="7" t="n">
        <v>0.008399999999999999</v>
      </c>
      <c r="R149" s="8" t="n">
        <v>33.472874</v>
      </c>
      <c r="S149" s="4" t="inlineStr"/>
      <c r="T149" s="9" t="inlineStr">
        <is>
          <t>SI</t>
        </is>
      </c>
      <c r="U149" s="9" t="inlineStr"/>
      <c r="V149" s="10">
        <f>Umbrales!$B$9*(K149/1000)^Umbrales!$B$10</f>
        <v/>
      </c>
    </row>
    <row r="150">
      <c r="A150" s="4" t="inlineStr">
        <is>
          <t>MDT</t>
        </is>
      </c>
      <c r="B150" s="4" t="inlineStr">
        <is>
          <t>Medtronic plc</t>
        </is>
      </c>
      <c r="C150" s="4" t="inlineStr">
        <is>
          <t>Ireland</t>
        </is>
      </c>
      <c r="D150" s="4" t="inlineStr">
        <is>
          <t>IE</t>
        </is>
      </c>
      <c r="E150" s="4" t="inlineStr">
        <is>
          <t>Salud</t>
        </is>
      </c>
      <c r="F150" s="4" t="inlineStr">
        <is>
          <t>Medical Devices</t>
        </is>
      </c>
      <c r="G150" s="4" t="inlineStr">
        <is>
          <t>NYQ</t>
        </is>
      </c>
      <c r="H150" s="4" t="inlineStr">
        <is>
          <t>USD</t>
        </is>
      </c>
      <c r="I150" s="5" t="n">
        <v>120533.172224</v>
      </c>
      <c r="J150" s="6">
        <f>INDEX(FX!$B:$B,MATCH(H150,FX!$A:$A,0))</f>
        <v/>
      </c>
      <c r="K150" s="5">
        <f>I150*J150</f>
        <v/>
      </c>
      <c r="L150" s="4">
        <f>IF(U150&lt;&gt;"",U150,IF(K150&gt;=Umbrales!$B$2,"Legendaria",IF(K150&gt;=Umbrales!$B$3,"Épica",IF(K150&gt;=Umbrales!$B$4,"Rara",IF(K150&gt;=Umbrales!$B$5,"Poco común","Común")))))</f>
        <v/>
      </c>
      <c r="M150" s="5" t="n">
        <v>37541.998592</v>
      </c>
      <c r="N150" s="5" t="n">
        <v>5231.000064</v>
      </c>
      <c r="O150" s="5">
        <f>IF(M150="","",M150*J150)</f>
        <v/>
      </c>
      <c r="P150" s="5">
        <f>IF(N150="","",N150*J150)</f>
        <v/>
      </c>
      <c r="Q150" s="7" t="n">
        <v>0.031</v>
      </c>
      <c r="R150" s="8" t="n">
        <v>23.152334</v>
      </c>
      <c r="S150" s="4" t="inlineStr"/>
      <c r="T150" s="9" t="inlineStr">
        <is>
          <t>SI</t>
        </is>
      </c>
      <c r="U150" s="9" t="inlineStr"/>
      <c r="V150" s="10">
        <f>Umbrales!$B$9*(K150/1000)^Umbrales!$B$10</f>
        <v/>
      </c>
    </row>
    <row r="151">
      <c r="A151" s="4" t="inlineStr">
        <is>
          <t>LMT</t>
        </is>
      </c>
      <c r="B151" s="4" t="inlineStr">
        <is>
          <t>Lockheed Martin Corporation</t>
        </is>
      </c>
      <c r="C151" s="4" t="inlineStr">
        <is>
          <t>United States</t>
        </is>
      </c>
      <c r="D151" s="4" t="inlineStr">
        <is>
          <t>US</t>
        </is>
      </c>
      <c r="E151" s="4" t="inlineStr">
        <is>
          <t>Industria</t>
        </is>
      </c>
      <c r="F151" s="4" t="inlineStr">
        <is>
          <t>Aerospace &amp; Defense</t>
        </is>
      </c>
      <c r="G151" s="4" t="inlineStr">
        <is>
          <t>NYQ</t>
        </is>
      </c>
      <c r="H151" s="4" t="inlineStr">
        <is>
          <t>USD</t>
        </is>
      </c>
      <c r="I151" s="5" t="n">
        <v>120525.848576</v>
      </c>
      <c r="J151" s="6">
        <f>INDEX(FX!$B:$B,MATCH(H151,FX!$A:$A,0))</f>
        <v/>
      </c>
      <c r="K151" s="5">
        <f>I151*J151</f>
        <v/>
      </c>
      <c r="L151" s="4">
        <f>IF(U151&lt;&gt;"",U151,IF(K151&gt;=Umbrales!$B$2,"Legendaria",IF(K151&gt;=Umbrales!$B$3,"Épica",IF(K151&gt;=Umbrales!$B$4,"Rara",IF(K151&gt;=Umbrales!$B$5,"Poco común","Común")))))</f>
        <v/>
      </c>
      <c r="M151" s="5" t="n">
        <v>77013.999616</v>
      </c>
      <c r="N151" s="5" t="n">
        <v>6287.000064</v>
      </c>
      <c r="O151" s="5">
        <f>IF(M151="","",M151*J151)</f>
        <v/>
      </c>
      <c r="P151" s="5">
        <f>IF(N151="","",N151*J151)</f>
        <v/>
      </c>
      <c r="Q151" s="7" t="n">
        <v>0.0286</v>
      </c>
      <c r="R151" s="8" t="n">
        <v>18.578085</v>
      </c>
      <c r="S151" s="4" t="inlineStr"/>
      <c r="T151" s="9" t="inlineStr">
        <is>
          <t>SI</t>
        </is>
      </c>
      <c r="U151" s="9" t="inlineStr"/>
      <c r="V151" s="10">
        <f>Umbrales!$B$9*(K151/1000)^Umbrales!$B$10</f>
        <v/>
      </c>
    </row>
    <row r="152">
      <c r="A152" s="4" t="inlineStr">
        <is>
          <t>SPGI</t>
        </is>
      </c>
      <c r="B152" s="4" t="inlineStr">
        <is>
          <t>S&amp;P Global Inc.</t>
        </is>
      </c>
      <c r="C152" s="4" t="inlineStr">
        <is>
          <t>United States</t>
        </is>
      </c>
      <c r="D152" s="4" t="inlineStr">
        <is>
          <t>US</t>
        </is>
      </c>
      <c r="E152" s="4" t="inlineStr">
        <is>
          <t>Finanzas</t>
        </is>
      </c>
      <c r="F152" s="4" t="inlineStr">
        <is>
          <t>Financial Data &amp; Stock Exchanges</t>
        </is>
      </c>
      <c r="G152" s="4" t="inlineStr">
        <is>
          <t>NYQ</t>
        </is>
      </c>
      <c r="H152" s="4" t="inlineStr">
        <is>
          <t>USD</t>
        </is>
      </c>
      <c r="I152" s="5" t="n">
        <v>120446.435328</v>
      </c>
      <c r="J152" s="6">
        <f>INDEX(FX!$B:$B,MATCH(H152,FX!$A:$A,0))</f>
        <v/>
      </c>
      <c r="K152" s="5">
        <f>I152*J152</f>
        <v/>
      </c>
      <c r="L152" s="4">
        <f>IF(U152&lt;&gt;"",U152,IF(K152&gt;=Umbrales!$B$2,"Legendaria",IF(K152&gt;=Umbrales!$B$3,"Épica",IF(K152&gt;=Umbrales!$B$4,"Rara",IF(K152&gt;=Umbrales!$B$5,"Poco común","Común")))))</f>
        <v/>
      </c>
      <c r="M152" s="5" t="n">
        <v>16122.000384</v>
      </c>
      <c r="N152" s="5" t="n">
        <v>4922.999808</v>
      </c>
      <c r="O152" s="5">
        <f>IF(M152="","",M152*J152)</f>
        <v/>
      </c>
      <c r="P152" s="5">
        <f>IF(N152="","",N152*J152)</f>
        <v/>
      </c>
      <c r="Q152" s="7" t="n">
        <v>0.0095</v>
      </c>
      <c r="R152" s="8" t="n">
        <v>24.95846</v>
      </c>
      <c r="S152" s="4" t="inlineStr"/>
      <c r="T152" s="9" t="inlineStr">
        <is>
          <t>SI</t>
        </is>
      </c>
      <c r="U152" s="9" t="inlineStr"/>
      <c r="V152" s="10">
        <f>Umbrales!$B$9*(K152/1000)^Umbrales!$B$10</f>
        <v/>
      </c>
    </row>
    <row r="153">
      <c r="A153" s="4" t="inlineStr">
        <is>
          <t>ISP.MI</t>
        </is>
      </c>
      <c r="B153" s="4" t="inlineStr">
        <is>
          <t>Intesa Sanpaolo S.p.A.</t>
        </is>
      </c>
      <c r="C153" s="4" t="inlineStr">
        <is>
          <t>Italy</t>
        </is>
      </c>
      <c r="D153" s="4" t="inlineStr">
        <is>
          <t>IT</t>
        </is>
      </c>
      <c r="E153" s="4" t="inlineStr">
        <is>
          <t>Finanzas</t>
        </is>
      </c>
      <c r="F153" s="4" t="inlineStr">
        <is>
          <t>Banks - Regional</t>
        </is>
      </c>
      <c r="G153" s="4" t="inlineStr">
        <is>
          <t>MIL</t>
        </is>
      </c>
      <c r="H153" s="4" t="inlineStr">
        <is>
          <t>EUR</t>
        </is>
      </c>
      <c r="I153" s="5" t="n">
        <v>106450.16576</v>
      </c>
      <c r="J153" s="6">
        <f>INDEX(FX!$B:$B,MATCH(H153,FX!$A:$A,0))</f>
        <v/>
      </c>
      <c r="K153" s="5">
        <f>I153*J153</f>
        <v/>
      </c>
      <c r="L153" s="4">
        <f>IF(U153&lt;&gt;"",U153,IF(K153&gt;=Umbrales!$B$2,"Legendaria",IF(K153&gt;=Umbrales!$B$3,"Épica",IF(K153&gt;=Umbrales!$B$4,"Rara",IF(K153&gt;=Umbrales!$B$5,"Poco común","Común")))))</f>
        <v/>
      </c>
      <c r="M153" s="5" t="n">
        <v>26130.999296</v>
      </c>
      <c r="N153" s="5" t="n">
        <v>9658.999808</v>
      </c>
      <c r="O153" s="5">
        <f>IF(M153="","",M153*J153)</f>
        <v/>
      </c>
      <c r="P153" s="5">
        <f>IF(N153="","",N153*J153)</f>
        <v/>
      </c>
      <c r="Q153" s="7" t="n">
        <v>0.0613</v>
      </c>
      <c r="R153" s="8" t="n">
        <v>10.992857</v>
      </c>
      <c r="S153" s="4" t="inlineStr">
        <is>
          <t>EUROSTOXX50</t>
        </is>
      </c>
      <c r="T153" s="9" t="inlineStr">
        <is>
          <t>SI</t>
        </is>
      </c>
      <c r="U153" s="9" t="inlineStr"/>
      <c r="V153" s="10">
        <f>Umbrales!$B$9*(K153/1000)^Umbrales!$B$10</f>
        <v/>
      </c>
    </row>
    <row r="154">
      <c r="A154" s="4" t="inlineStr">
        <is>
          <t>COF</t>
        </is>
      </c>
      <c r="B154" s="4" t="inlineStr">
        <is>
          <t>Capital One Financial Corporation</t>
        </is>
      </c>
      <c r="C154" s="4" t="inlineStr">
        <is>
          <t>United States</t>
        </is>
      </c>
      <c r="D154" s="4" t="inlineStr">
        <is>
          <t>US</t>
        </is>
      </c>
      <c r="E154" s="4" t="inlineStr">
        <is>
          <t>Finanzas</t>
        </is>
      </c>
      <c r="F154" s="4" t="inlineStr">
        <is>
          <t>Credit Services</t>
        </is>
      </c>
      <c r="G154" s="4" t="inlineStr">
        <is>
          <t>NYQ</t>
        </is>
      </c>
      <c r="H154" s="4" t="inlineStr">
        <is>
          <t>USD</t>
        </is>
      </c>
      <c r="I154" s="5" t="n">
        <v>119233.732608</v>
      </c>
      <c r="J154" s="6">
        <f>INDEX(FX!$B:$B,MATCH(H154,FX!$A:$A,0))</f>
        <v/>
      </c>
      <c r="K154" s="5">
        <f>I154*J154</f>
        <v/>
      </c>
      <c r="L154" s="4">
        <f>IF(U154&lt;&gt;"",U154,IF(K154&gt;=Umbrales!$B$2,"Legendaria",IF(K154&gt;=Umbrales!$B$3,"Épica",IF(K154&gt;=Umbrales!$B$4,"Rara",IF(K154&gt;=Umbrales!$B$5,"Poco común","Común")))))</f>
        <v/>
      </c>
      <c r="M154" s="5" t="n">
        <v>48109.99808</v>
      </c>
      <c r="N154" s="5" t="n">
        <v>9822.999551999999</v>
      </c>
      <c r="O154" s="5">
        <f>IF(M154="","",M154*J154)</f>
        <v/>
      </c>
      <c r="P154" s="5">
        <f>IF(N154="","",N154*J154)</f>
        <v/>
      </c>
      <c r="Q154" s="7" t="n">
        <v>0.0162</v>
      </c>
      <c r="R154" s="8" t="n">
        <v>12.482339</v>
      </c>
      <c r="S154" s="4" t="inlineStr"/>
      <c r="T154" s="9" t="inlineStr">
        <is>
          <t>SI</t>
        </is>
      </c>
      <c r="U154" s="9" t="inlineStr"/>
      <c r="V154" s="10">
        <f>Umbrales!$B$9*(K154/1000)^Umbrales!$B$10</f>
        <v/>
      </c>
    </row>
    <row r="155">
      <c r="A155" s="4" t="inlineStr">
        <is>
          <t>ENR.DE</t>
        </is>
      </c>
      <c r="B155" s="4" t="inlineStr">
        <is>
          <t>Siemens Energy AG</t>
        </is>
      </c>
      <c r="C155" s="4" t="inlineStr">
        <is>
          <t>Germany</t>
        </is>
      </c>
      <c r="D155" s="4" t="inlineStr">
        <is>
          <t>DE</t>
        </is>
      </c>
      <c r="E155" s="4" t="inlineStr">
        <is>
          <t>Industria</t>
        </is>
      </c>
      <c r="F155" s="4" t="inlineStr">
        <is>
          <t>Specialty Industrial Machinery</t>
        </is>
      </c>
      <c r="G155" s="4" t="inlineStr">
        <is>
          <t>GER</t>
        </is>
      </c>
      <c r="H155" s="4" t="inlineStr">
        <is>
          <t>EUR</t>
        </is>
      </c>
      <c r="I155" s="5" t="n">
        <v>106185.908224</v>
      </c>
      <c r="J155" s="6">
        <f>INDEX(FX!$B:$B,MATCH(H155,FX!$A:$A,0))</f>
        <v/>
      </c>
      <c r="K155" s="5">
        <f>I155*J155</f>
        <v/>
      </c>
      <c r="L155" s="4">
        <f>IF(U155&lt;&gt;"",U155,IF(K155&gt;=Umbrales!$B$2,"Legendaria",IF(K155&gt;=Umbrales!$B$3,"Épica",IF(K155&gt;=Umbrales!$B$4,"Rara",IF(K155&gt;=Umbrales!$B$5,"Poco común","Común")))))</f>
        <v/>
      </c>
      <c r="M155" s="5" t="n">
        <v>41843.99872</v>
      </c>
      <c r="N155" s="5" t="n">
        <v>2692</v>
      </c>
      <c r="O155" s="5">
        <f>IF(M155="","",M155*J155)</f>
        <v/>
      </c>
      <c r="P155" s="5">
        <f>IF(N155="","",N155*J155)</f>
        <v/>
      </c>
      <c r="Q155" s="7" t="n">
        <v>0.0049</v>
      </c>
      <c r="R155" s="8" t="n">
        <v>40.38835</v>
      </c>
      <c r="S155" s="4" t="inlineStr">
        <is>
          <t>DAX40</t>
        </is>
      </c>
      <c r="T155" s="9" t="inlineStr">
        <is>
          <t>SI</t>
        </is>
      </c>
      <c r="U155" s="9" t="inlineStr"/>
      <c r="V155" s="10">
        <f>Umbrales!$B$9*(K155/1000)^Umbrales!$B$10</f>
        <v/>
      </c>
    </row>
    <row r="156">
      <c r="A156" s="4" t="inlineStr">
        <is>
          <t>PSX</t>
        </is>
      </c>
      <c r="B156" s="4" t="inlineStr">
        <is>
          <t>Phillips 66</t>
        </is>
      </c>
      <c r="C156" s="4" t="inlineStr">
        <is>
          <t>United States</t>
        </is>
      </c>
      <c r="D156" s="4" t="inlineStr">
        <is>
          <t>US</t>
        </is>
      </c>
      <c r="E156" s="4" t="inlineStr">
        <is>
          <t>Energía</t>
        </is>
      </c>
      <c r="F156" s="4" t="inlineStr">
        <is>
          <t>Oil &amp; Gas Refining &amp; Marketing</t>
        </is>
      </c>
      <c r="G156" s="4" t="inlineStr">
        <is>
          <t>NYQ</t>
        </is>
      </c>
      <c r="H156" s="4" t="inlineStr">
        <is>
          <t>USD</t>
        </is>
      </c>
      <c r="I156" s="5" t="n">
        <v>118624.935936</v>
      </c>
      <c r="J156" s="6">
        <f>INDEX(FX!$B:$B,MATCH(H156,FX!$A:$A,0))</f>
        <v/>
      </c>
      <c r="K156" s="5">
        <f>I156*J156</f>
        <v/>
      </c>
      <c r="L156" s="4">
        <f>IF(U156&lt;&gt;"",U156,IF(K156&gt;=Umbrales!$B$2,"Legendaria",IF(K156&gt;=Umbrales!$B$3,"Épica",IF(K156&gt;=Umbrales!$B$4,"Rara",IF(K156&gt;=Umbrales!$B$5,"Poco común","Común")))))</f>
        <v/>
      </c>
      <c r="M156" s="5" t="n">
        <v>152167.006208</v>
      </c>
      <c r="N156" s="5" t="n">
        <v>7085.000192</v>
      </c>
      <c r="O156" s="5">
        <f>IF(M156="","",M156*J156)</f>
        <v/>
      </c>
      <c r="P156" s="5">
        <f>IF(N156="","",N156*J156)</f>
        <v/>
      </c>
      <c r="Q156" s="7" t="n">
        <v>0.0174</v>
      </c>
      <c r="R156" s="8" t="n">
        <v>16.729881</v>
      </c>
      <c r="S156" s="4" t="inlineStr"/>
      <c r="T156" s="9" t="inlineStr">
        <is>
          <t>SI</t>
        </is>
      </c>
      <c r="U156" s="9" t="inlineStr"/>
      <c r="V156" s="10">
        <f>Umbrales!$B$9*(K156/1000)^Umbrales!$B$10</f>
        <v/>
      </c>
    </row>
    <row r="157">
      <c r="A157" s="4" t="inlineStr">
        <is>
          <t>HDFCBANK.NS</t>
        </is>
      </c>
      <c r="B157" s="4" t="inlineStr">
        <is>
          <t>HDFC Bank Limited</t>
        </is>
      </c>
      <c r="C157" s="4" t="inlineStr">
        <is>
          <t>India</t>
        </is>
      </c>
      <c r="D157" s="4" t="inlineStr">
        <is>
          <t>IN</t>
        </is>
      </c>
      <c r="E157" s="4" t="inlineStr">
        <is>
          <t>Finanzas</t>
        </is>
      </c>
      <c r="F157" s="4" t="inlineStr">
        <is>
          <t>Banks - Regional</t>
        </is>
      </c>
      <c r="G157" s="4" t="inlineStr">
        <is>
          <t>NSI</t>
        </is>
      </c>
      <c r="H157" s="4" t="inlineStr">
        <is>
          <t>INR</t>
        </is>
      </c>
      <c r="I157" s="5" t="n">
        <v>11183023.194112</v>
      </c>
      <c r="J157" s="6">
        <f>INDEX(FX!$B:$B,MATCH(H157,FX!$A:$A,0))</f>
        <v/>
      </c>
      <c r="K157" s="5">
        <f>I157*J157</f>
        <v/>
      </c>
      <c r="L157" s="4">
        <f>IF(U157&lt;&gt;"",U157,IF(K157&gt;=Umbrales!$B$2,"Legendaria",IF(K157&gt;=Umbrales!$B$3,"Épica",IF(K157&gt;=Umbrales!$B$4,"Rara",IF(K157&gt;=Umbrales!$B$5,"Poco común","Común")))))</f>
        <v/>
      </c>
      <c r="M157" s="5" t="n">
        <v>2949644.288</v>
      </c>
      <c r="N157" s="5" t="n">
        <v>790127.706112</v>
      </c>
      <c r="O157" s="5">
        <f>IF(M157="","",M157*J157)</f>
        <v/>
      </c>
      <c r="P157" s="5">
        <f>IF(N157="","",N157*J157)</f>
        <v/>
      </c>
      <c r="Q157" s="7" t="n">
        <v>0.0183</v>
      </c>
      <c r="R157" s="8" t="n">
        <v>15.853552</v>
      </c>
      <c r="S157" s="4" t="inlineStr">
        <is>
          <t>ASIA_TOP</t>
        </is>
      </c>
      <c r="T157" s="9" t="inlineStr">
        <is>
          <t>SI</t>
        </is>
      </c>
      <c r="U157" s="9" t="inlineStr"/>
      <c r="V157" s="10">
        <f>Umbrales!$B$9*(K157/1000)^Umbrales!$B$10</f>
        <v/>
      </c>
    </row>
    <row r="158">
      <c r="A158" s="4" t="inlineStr">
        <is>
          <t>NEM</t>
        </is>
      </c>
      <c r="B158" s="4" t="inlineStr">
        <is>
          <t>Newmont Corporation</t>
        </is>
      </c>
      <c r="C158" s="4" t="inlineStr">
        <is>
          <t>United States</t>
        </is>
      </c>
      <c r="D158" s="4" t="inlineStr">
        <is>
          <t>US</t>
        </is>
      </c>
      <c r="E158" s="4" t="inlineStr">
        <is>
          <t>Materiales</t>
        </is>
      </c>
      <c r="F158" s="4" t="inlineStr">
        <is>
          <t>Gold</t>
        </is>
      </c>
      <c r="G158" s="4" t="inlineStr">
        <is>
          <t>NYQ</t>
        </is>
      </c>
      <c r="H158" s="4" t="inlineStr">
        <is>
          <t>USD</t>
        </is>
      </c>
      <c r="I158" s="5" t="n">
        <v>117549.907968</v>
      </c>
      <c r="J158" s="6">
        <f>INDEX(FX!$B:$B,MATCH(H158,FX!$A:$A,0))</f>
        <v/>
      </c>
      <c r="K158" s="5">
        <f>I158*J158</f>
        <v/>
      </c>
      <c r="L158" s="4">
        <f>IF(U158&lt;&gt;"",U158,IF(K158&gt;=Umbrales!$B$2,"Legendaria",IF(K158&gt;=Umbrales!$B$3,"Épica",IF(K158&gt;=Umbrales!$B$4,"Rara",IF(K158&gt;=Umbrales!$B$5,"Poco común","Común")))))</f>
        <v/>
      </c>
      <c r="M158" s="5" t="n">
        <v>25767.000064</v>
      </c>
      <c r="N158" s="5" t="n">
        <v>8597.000192</v>
      </c>
      <c r="O158" s="5">
        <f>IF(M158="","",M158*J158)</f>
        <v/>
      </c>
      <c r="P158" s="5">
        <f>IF(N158="","",N158*J158)</f>
        <v/>
      </c>
      <c r="Q158" s="7" t="n">
        <v>0.009000000000000001</v>
      </c>
      <c r="R158" s="8" t="n">
        <v>14.068096</v>
      </c>
      <c r="S158" s="4" t="inlineStr"/>
      <c r="T158" s="9" t="inlineStr">
        <is>
          <t>SI</t>
        </is>
      </c>
      <c r="U158" s="9" t="inlineStr"/>
      <c r="V158" s="10">
        <f>Umbrales!$B$9*(K158/1000)^Umbrales!$B$10</f>
        <v/>
      </c>
    </row>
    <row r="159">
      <c r="A159" s="4" t="inlineStr">
        <is>
          <t>PDD</t>
        </is>
      </c>
      <c r="B159" s="4" t="inlineStr">
        <is>
          <t>PDD Holdings Inc.</t>
        </is>
      </c>
      <c r="C159" s="4" t="inlineStr">
        <is>
          <t>Ireland</t>
        </is>
      </c>
      <c r="D159" s="4" t="inlineStr">
        <is>
          <t>IE</t>
        </is>
      </c>
      <c r="E159" s="4" t="inlineStr">
        <is>
          <t>Consumo cíclico</t>
        </is>
      </c>
      <c r="F159" s="4" t="inlineStr">
        <is>
          <t>Internet Retail</t>
        </is>
      </c>
      <c r="G159" s="4" t="inlineStr">
        <is>
          <t>NMS</t>
        </is>
      </c>
      <c r="H159" s="4" t="inlineStr">
        <is>
          <t>USD</t>
        </is>
      </c>
      <c r="I159" s="5" t="n">
        <v>115935.6416</v>
      </c>
      <c r="J159" s="6">
        <f>INDEX(FX!$B:$B,MATCH(H159,FX!$A:$A,0))</f>
        <v/>
      </c>
      <c r="K159" s="5">
        <f>I159*J159</f>
        <v/>
      </c>
      <c r="L159" s="4">
        <f>IF(U159&lt;&gt;"",U159,IF(K159&gt;=Umbrales!$B$2,"Legendaria",IF(K159&gt;=Umbrales!$B$3,"Épica",IF(K159&gt;=Umbrales!$B$4,"Rara",IF(K159&gt;=Umbrales!$B$5,"Poco común","Común")))))</f>
        <v/>
      </c>
      <c r="M159" s="5" t="n">
        <v>450775.711744</v>
      </c>
      <c r="N159" s="5" t="n">
        <v>92075.54048</v>
      </c>
      <c r="O159" s="5">
        <f>IF(M159="","",M159*J159)</f>
        <v/>
      </c>
      <c r="P159" s="5">
        <f>IF(N159="","",N159*J159)</f>
        <v/>
      </c>
      <c r="Q159" s="7" t="n">
        <v>0</v>
      </c>
      <c r="R159" s="8" t="n">
        <v>9.213800000000001</v>
      </c>
      <c r="S159" s="4" t="inlineStr">
        <is>
          <t>NASDAQ100</t>
        </is>
      </c>
      <c r="T159" s="9" t="inlineStr">
        <is>
          <t>SI</t>
        </is>
      </c>
      <c r="U159" s="9" t="inlineStr"/>
      <c r="V159" s="10">
        <f>Umbrales!$B$9*(K159/1000)^Umbrales!$B$10</f>
        <v/>
      </c>
    </row>
    <row r="160">
      <c r="A160" s="4" t="inlineStr">
        <is>
          <t>CVS</t>
        </is>
      </c>
      <c r="B160" s="4" t="inlineStr">
        <is>
          <t>CVS Health Corporation</t>
        </is>
      </c>
      <c r="C160" s="4" t="inlineStr">
        <is>
          <t>United States</t>
        </is>
      </c>
      <c r="D160" s="4" t="inlineStr">
        <is>
          <t>US</t>
        </is>
      </c>
      <c r="E160" s="4" t="inlineStr">
        <is>
          <t>Salud</t>
        </is>
      </c>
      <c r="F160" s="4" t="inlineStr">
        <is>
          <t>Healthcare Plans</t>
        </is>
      </c>
      <c r="G160" s="4" t="inlineStr">
        <is>
          <t>NYQ</t>
        </is>
      </c>
      <c r="H160" s="4" t="inlineStr">
        <is>
          <t>USD</t>
        </is>
      </c>
      <c r="I160" s="5" t="n">
        <v>115606.134784</v>
      </c>
      <c r="J160" s="6">
        <f>INDEX(FX!$B:$B,MATCH(H160,FX!$A:$A,0))</f>
        <v/>
      </c>
      <c r="K160" s="5">
        <f>I160*J160</f>
        <v/>
      </c>
      <c r="L160" s="4">
        <f>IF(U160&lt;&gt;"",U160,IF(K160&gt;=Umbrales!$B$2,"Legendaria",IF(K160&gt;=Umbrales!$B$3,"Épica",IF(K160&gt;=Umbrales!$B$4,"Rara",IF(K160&gt;=Umbrales!$B$5,"Poco común","Común")))))</f>
        <v/>
      </c>
      <c r="M160" s="5" t="n">
        <v>412644.999168</v>
      </c>
      <c r="N160" s="5" t="n">
        <v>4889.999872</v>
      </c>
      <c r="O160" s="5">
        <f>IF(M160="","",M160*J160)</f>
        <v/>
      </c>
      <c r="P160" s="5">
        <f>IF(N160="","",N160*J160)</f>
        <v/>
      </c>
      <c r="Q160" s="7" t="n">
        <v>0.0304</v>
      </c>
      <c r="R160" s="8" t="n">
        <v>23.058672</v>
      </c>
      <c r="S160" s="4" t="inlineStr"/>
      <c r="T160" s="9" t="inlineStr">
        <is>
          <t>SI</t>
        </is>
      </c>
      <c r="U160" s="9" t="inlineStr"/>
      <c r="V160" s="10">
        <f>Umbrales!$B$9*(K160/1000)^Umbrales!$B$10</f>
        <v/>
      </c>
    </row>
    <row r="161">
      <c r="A161" s="4" t="inlineStr">
        <is>
          <t>ADP</t>
        </is>
      </c>
      <c r="B161" s="4" t="inlineStr">
        <is>
          <t>Automatic Data Processing, Inc.</t>
        </is>
      </c>
      <c r="C161" s="4" t="inlineStr">
        <is>
          <t>United States</t>
        </is>
      </c>
      <c r="D161" s="4" t="inlineStr">
        <is>
          <t>US</t>
        </is>
      </c>
      <c r="E161" s="4" t="inlineStr">
        <is>
          <t>Tecnología</t>
        </is>
      </c>
      <c r="F161" s="4" t="inlineStr">
        <is>
          <t>Software - Application</t>
        </is>
      </c>
      <c r="G161" s="4" t="inlineStr">
        <is>
          <t>NMS</t>
        </is>
      </c>
      <c r="H161" s="4" t="inlineStr">
        <is>
          <t>USD</t>
        </is>
      </c>
      <c r="I161" s="5" t="n">
        <v>111077.236736</v>
      </c>
      <c r="J161" s="6">
        <f>INDEX(FX!$B:$B,MATCH(H161,FX!$A:$A,0))</f>
        <v/>
      </c>
      <c r="K161" s="5">
        <f>I161*J161</f>
        <v/>
      </c>
      <c r="L161" s="4">
        <f>IF(U161&lt;&gt;"",U161,IF(K161&gt;=Umbrales!$B$2,"Legendaria",IF(K161&gt;=Umbrales!$B$3,"Épica",IF(K161&gt;=Umbrales!$B$4,"Rara",IF(K161&gt;=Umbrales!$B$5,"Poco común","Común")))))</f>
        <v/>
      </c>
      <c r="M161" s="5" t="n">
        <v>21947.400192</v>
      </c>
      <c r="N161" s="5" t="n">
        <v>4413.499904</v>
      </c>
      <c r="O161" s="5">
        <f>IF(M161="","",M161*J161)</f>
        <v/>
      </c>
      <c r="P161" s="5">
        <f>IF(N161="","",N161*J161)</f>
        <v/>
      </c>
      <c r="Q161" s="7" t="n">
        <v>0.0246</v>
      </c>
      <c r="R161" s="8" t="n">
        <v>25.208633</v>
      </c>
      <c r="S161" s="4" t="inlineStr">
        <is>
          <t>NASDAQ100</t>
        </is>
      </c>
      <c r="T161" s="9" t="inlineStr">
        <is>
          <t>SI</t>
        </is>
      </c>
      <c r="U161" s="9" t="inlineStr"/>
      <c r="V161" s="10">
        <f>Umbrales!$B$9*(K161/1000)^Umbrales!$B$10</f>
        <v/>
      </c>
    </row>
    <row r="162">
      <c r="A162" s="4" t="inlineStr">
        <is>
          <t>BNP.PA</t>
        </is>
      </c>
      <c r="B162" s="4" t="inlineStr">
        <is>
          <t>BNP Paribas SA</t>
        </is>
      </c>
      <c r="C162" s="4" t="inlineStr">
        <is>
          <t>France</t>
        </is>
      </c>
      <c r="D162" s="4" t="inlineStr">
        <is>
          <t>FR</t>
        </is>
      </c>
      <c r="E162" s="4" t="inlineStr">
        <is>
          <t>Finanzas</t>
        </is>
      </c>
      <c r="F162" s="4" t="inlineStr">
        <is>
          <t>Banks - Regional</t>
        </is>
      </c>
      <c r="G162" s="4" t="inlineStr">
        <is>
          <t>PAR</t>
        </is>
      </c>
      <c r="H162" s="4" t="inlineStr">
        <is>
          <t>EUR</t>
        </is>
      </c>
      <c r="I162" s="5" t="n">
        <v>98146.80371199999</v>
      </c>
      <c r="J162" s="6">
        <f>INDEX(FX!$B:$B,MATCH(H162,FX!$A:$A,0))</f>
        <v/>
      </c>
      <c r="K162" s="5">
        <f>I162*J162</f>
        <v/>
      </c>
      <c r="L162" s="4">
        <f>IF(U162&lt;&gt;"",U162,IF(K162&gt;=Umbrales!$B$2,"Legendaria",IF(K162&gt;=Umbrales!$B$3,"Épica",IF(K162&gt;=Umbrales!$B$4,"Rara",IF(K162&gt;=Umbrales!$B$5,"Poco común","Común")))))</f>
        <v/>
      </c>
      <c r="M162" s="5" t="n">
        <v>51256.000512</v>
      </c>
      <c r="N162" s="5" t="n">
        <v>12766.999552</v>
      </c>
      <c r="O162" s="5">
        <f>IF(M162="","",M162*J162)</f>
        <v/>
      </c>
      <c r="P162" s="5">
        <f>IF(N162="","",N162*J162)</f>
        <v/>
      </c>
      <c r="Q162" s="7" t="n">
        <v>0.0716</v>
      </c>
      <c r="R162" s="8" t="n">
        <v>7.974177</v>
      </c>
      <c r="S162" s="4" t="inlineStr">
        <is>
          <t>EUROSTOXX50</t>
        </is>
      </c>
      <c r="T162" s="9" t="inlineStr">
        <is>
          <t>SI</t>
        </is>
      </c>
      <c r="U162" s="9" t="inlineStr"/>
      <c r="V162" s="10">
        <f>Umbrales!$B$9*(K162/1000)^Umbrales!$B$10</f>
        <v/>
      </c>
    </row>
    <row r="163">
      <c r="A163" s="4" t="inlineStr">
        <is>
          <t>ZURN.SW</t>
        </is>
      </c>
      <c r="B163" s="4" t="inlineStr">
        <is>
          <t>Zurich Insurance Group AG</t>
        </is>
      </c>
      <c r="C163" s="4" t="inlineStr">
        <is>
          <t>Switzerland</t>
        </is>
      </c>
      <c r="D163" s="4" t="inlineStr">
        <is>
          <t>CH</t>
        </is>
      </c>
      <c r="E163" s="4" t="inlineStr">
        <is>
          <t>Finanzas</t>
        </is>
      </c>
      <c r="F163" s="4" t="inlineStr">
        <is>
          <t>Insurance - Diversified</t>
        </is>
      </c>
      <c r="G163" s="4" t="inlineStr">
        <is>
          <t>EBS</t>
        </is>
      </c>
      <c r="H163" s="4" t="inlineStr">
        <is>
          <t>CHF</t>
        </is>
      </c>
      <c r="I163" s="5" t="n">
        <v>90458.021888</v>
      </c>
      <c r="J163" s="6">
        <f>INDEX(FX!$B:$B,MATCH(H163,FX!$A:$A,0))</f>
        <v/>
      </c>
      <c r="K163" s="5">
        <f>I163*J163</f>
        <v/>
      </c>
      <c r="L163" s="4">
        <f>IF(U163&lt;&gt;"",U163,IF(K163&gt;=Umbrales!$B$2,"Legendaria",IF(K163&gt;=Umbrales!$B$3,"Épica",IF(K163&gt;=Umbrales!$B$4,"Rara",IF(K163&gt;=Umbrales!$B$5,"Poco común","Común")))))</f>
        <v/>
      </c>
      <c r="M163" s="5" t="n">
        <v>76972.998656</v>
      </c>
      <c r="N163" s="5" t="n">
        <v>7222.000128</v>
      </c>
      <c r="O163" s="5">
        <f>IF(M163="","",M163*J163)</f>
        <v/>
      </c>
      <c r="P163" s="5">
        <f>IF(N163="","",N163*J163)</f>
        <v/>
      </c>
      <c r="Q163" s="7" t="n">
        <v>0.0507</v>
      </c>
      <c r="R163" s="8" t="n">
        <v>15.452922</v>
      </c>
      <c r="S163" s="4" t="inlineStr"/>
      <c r="T163" s="9" t="inlineStr">
        <is>
          <t>SI</t>
        </is>
      </c>
      <c r="U163" s="9" t="inlineStr"/>
      <c r="V163" s="10">
        <f>Umbrales!$B$9*(K163/1000)^Umbrales!$B$10</f>
        <v/>
      </c>
    </row>
    <row r="164">
      <c r="A164" s="4" t="inlineStr">
        <is>
          <t>SYK</t>
        </is>
      </c>
      <c r="B164" s="4" t="inlineStr">
        <is>
          <t>Stryker Corporation</t>
        </is>
      </c>
      <c r="C164" s="4" t="inlineStr">
        <is>
          <t>United States</t>
        </is>
      </c>
      <c r="D164" s="4" t="inlineStr">
        <is>
          <t>US</t>
        </is>
      </c>
      <c r="E164" s="4" t="inlineStr">
        <is>
          <t>Salud</t>
        </is>
      </c>
      <c r="F164" s="4" t="inlineStr">
        <is>
          <t>Medical Devices</t>
        </is>
      </c>
      <c r="G164" s="4" t="inlineStr">
        <is>
          <t>NYQ</t>
        </is>
      </c>
      <c r="H164" s="4" t="inlineStr">
        <is>
          <t>USD</t>
        </is>
      </c>
      <c r="I164" s="5" t="n">
        <v>108021.84192</v>
      </c>
      <c r="J164" s="6">
        <f>INDEX(FX!$B:$B,MATCH(H164,FX!$A:$A,0))</f>
        <v/>
      </c>
      <c r="K164" s="5">
        <f>I164*J164</f>
        <v/>
      </c>
      <c r="L164" s="4">
        <f>IF(U164&lt;&gt;"",U164,IF(K164&gt;=Umbrales!$B$2,"Legendaria",IF(K164&gt;=Umbrales!$B$3,"Épica",IF(K164&gt;=Umbrales!$B$4,"Rara",IF(K164&gt;=Umbrales!$B$5,"Poco común","Común")))))</f>
        <v/>
      </c>
      <c r="M164" s="5" t="n">
        <v>25837.000704</v>
      </c>
      <c r="N164" s="5" t="n">
        <v>3728.999936</v>
      </c>
      <c r="O164" s="5">
        <f>IF(M164="","",M164*J164)</f>
        <v/>
      </c>
      <c r="P164" s="5">
        <f>IF(N164="","",N164*J164)</f>
        <v/>
      </c>
      <c r="Q164" s="7" t="n">
        <v>0.0125</v>
      </c>
      <c r="R164" s="8" t="n">
        <v>29.274427</v>
      </c>
      <c r="S164" s="4" t="inlineStr"/>
      <c r="T164" s="9" t="inlineStr">
        <is>
          <t>SI</t>
        </is>
      </c>
      <c r="U164" s="9" t="inlineStr"/>
      <c r="V164" s="10">
        <f>Umbrales!$B$9*(K164/1000)^Umbrales!$B$10</f>
        <v/>
      </c>
    </row>
    <row r="165">
      <c r="A165" s="4" t="inlineStr">
        <is>
          <t>SPOT</t>
        </is>
      </c>
      <c r="B165" s="4" t="inlineStr">
        <is>
          <t>Spotify Technology S.A.</t>
        </is>
      </c>
      <c r="C165" s="4" t="inlineStr">
        <is>
          <t>Sweden</t>
        </is>
      </c>
      <c r="D165" s="4" t="inlineStr">
        <is>
          <t>SE</t>
        </is>
      </c>
      <c r="E165" s="4" t="inlineStr">
        <is>
          <t>Comunicación</t>
        </is>
      </c>
      <c r="F165" s="4" t="inlineStr">
        <is>
          <t>Internet Content &amp; Information</t>
        </is>
      </c>
      <c r="G165" s="4" t="inlineStr">
        <is>
          <t>NYQ</t>
        </is>
      </c>
      <c r="H165" s="4" t="inlineStr">
        <is>
          <t>USD</t>
        </is>
      </c>
      <c r="I165" s="5" t="n">
        <v>107736.694784</v>
      </c>
      <c r="J165" s="6">
        <f>INDEX(FX!$B:$B,MATCH(H165,FX!$A:$A,0))</f>
        <v/>
      </c>
      <c r="K165" s="5">
        <f>I165*J165</f>
        <v/>
      </c>
      <c r="L165" s="4">
        <f>IF(U165&lt;&gt;"",U165,IF(K165&gt;=Umbrales!$B$2,"Legendaria",IF(K165&gt;=Umbrales!$B$3,"Épica",IF(K165&gt;=Umbrales!$B$4,"Rara",IF(K165&gt;=Umbrales!$B$5,"Poco común","Común")))))</f>
        <v/>
      </c>
      <c r="M165" s="5" t="n">
        <v>18112.999424</v>
      </c>
      <c r="N165" s="5" t="n">
        <v>3339.000064</v>
      </c>
      <c r="O165" s="5">
        <f>IF(M165="","",M165*J165)</f>
        <v/>
      </c>
      <c r="P165" s="5">
        <f>IF(N165="","",N165*J165)</f>
        <v/>
      </c>
      <c r="Q165" s="7" t="n">
        <v>0</v>
      </c>
      <c r="R165" s="8" t="n">
        <v>30.304222</v>
      </c>
      <c r="S165" s="4" t="inlineStr"/>
      <c r="T165" s="9" t="inlineStr">
        <is>
          <t>SI</t>
        </is>
      </c>
      <c r="U165" s="9" t="inlineStr"/>
      <c r="V165" s="10">
        <f>Umbrales!$B$9*(K165/1000)^Umbrales!$B$10</f>
        <v/>
      </c>
    </row>
    <row r="166">
      <c r="A166" s="4" t="inlineStr">
        <is>
          <t>EQNR.OL</t>
        </is>
      </c>
      <c r="B166" s="4" t="inlineStr">
        <is>
          <t>Equinor ASA</t>
        </is>
      </c>
      <c r="C166" s="4" t="inlineStr">
        <is>
          <t>Norway</t>
        </is>
      </c>
      <c r="D166" s="4" t="inlineStr">
        <is>
          <t>NO</t>
        </is>
      </c>
      <c r="E166" s="4" t="inlineStr">
        <is>
          <t>Energía</t>
        </is>
      </c>
      <c r="F166" s="4" t="inlineStr">
        <is>
          <t>Oil &amp; Gas Integrated</t>
        </is>
      </c>
      <c r="G166" s="4" t="inlineStr">
        <is>
          <t>OSL</t>
        </is>
      </c>
      <c r="H166" s="4" t="inlineStr">
        <is>
          <t>NOK</t>
        </is>
      </c>
      <c r="I166" s="5" t="n">
        <v>1017471.762432</v>
      </c>
      <c r="J166" s="6">
        <f>INDEX(FX!$B:$B,MATCH(H166,FX!$A:$A,0))</f>
        <v/>
      </c>
      <c r="K166" s="5">
        <f>I166*J166</f>
        <v/>
      </c>
      <c r="L166" s="4">
        <f>IF(U166&lt;&gt;"",U166,IF(K166&gt;=Umbrales!$B$2,"Legendaria",IF(K166&gt;=Umbrales!$B$3,"Épica",IF(K166&gt;=Umbrales!$B$4,"Rara",IF(K166&gt;=Umbrales!$B$5,"Poco común","Común")))))</f>
        <v/>
      </c>
      <c r="M166" s="5" t="n">
        <v>113652.998144</v>
      </c>
      <c r="N166" s="5" t="n">
        <v>9057.999872</v>
      </c>
      <c r="O166" s="5">
        <f>IF(M166="","",M166*J166)</f>
        <v/>
      </c>
      <c r="P166" s="5">
        <f>IF(N166="","",N166*J166)</f>
        <v/>
      </c>
      <c r="Q166" s="7" t="n">
        <v>0.0337</v>
      </c>
      <c r="R166" s="8" t="n">
        <v>12.084389</v>
      </c>
      <c r="S166" s="4" t="inlineStr"/>
      <c r="T166" s="9" t="inlineStr">
        <is>
          <t>SI</t>
        </is>
      </c>
      <c r="U166" s="9" t="inlineStr"/>
      <c r="V166" s="10">
        <f>Umbrales!$B$9*(K166/1000)^Umbrales!$B$10</f>
        <v/>
      </c>
    </row>
    <row r="167">
      <c r="A167" s="4" t="inlineStr">
        <is>
          <t>SBUX</t>
        </is>
      </c>
      <c r="B167" s="4" t="inlineStr">
        <is>
          <t>Starbucks Corporation</t>
        </is>
      </c>
      <c r="C167" s="4" t="inlineStr">
        <is>
          <t>United States</t>
        </is>
      </c>
      <c r="D167" s="4" t="inlineStr">
        <is>
          <t>US</t>
        </is>
      </c>
      <c r="E167" s="4" t="inlineStr">
        <is>
          <t>Consumo cíclico</t>
        </is>
      </c>
      <c r="F167" s="4" t="inlineStr">
        <is>
          <t>Restaurants</t>
        </is>
      </c>
      <c r="G167" s="4" t="inlineStr">
        <is>
          <t>NMS</t>
        </is>
      </c>
      <c r="H167" s="4" t="inlineStr">
        <is>
          <t>USD</t>
        </is>
      </c>
      <c r="I167" s="5" t="n">
        <v>106305.00352</v>
      </c>
      <c r="J167" s="6">
        <f>INDEX(FX!$B:$B,MATCH(H167,FX!$A:$A,0))</f>
        <v/>
      </c>
      <c r="K167" s="5">
        <f>I167*J167</f>
        <v/>
      </c>
      <c r="L167" s="4">
        <f>IF(U167&lt;&gt;"",U167,IF(K167&gt;=Umbrales!$B$2,"Legendaria",IF(K167&gt;=Umbrales!$B$3,"Épica",IF(K167&gt;=Umbrales!$B$4,"Rara",IF(K167&gt;=Umbrales!$B$5,"Poco común","Común")))))</f>
        <v/>
      </c>
      <c r="M167" s="5" t="n">
        <v>38338.301952</v>
      </c>
      <c r="N167" s="5" t="n">
        <v>1982.8</v>
      </c>
      <c r="O167" s="5">
        <f>IF(M167="","",M167*J167)</f>
        <v/>
      </c>
      <c r="P167" s="5">
        <f>IF(N167="","",N167*J167)</f>
        <v/>
      </c>
      <c r="Q167" s="7" t="n">
        <v>0.0274</v>
      </c>
      <c r="R167" s="8" t="n">
        <v>53.285713</v>
      </c>
      <c r="S167" s="4" t="inlineStr">
        <is>
          <t>NASDAQ100</t>
        </is>
      </c>
      <c r="T167" s="9" t="inlineStr">
        <is>
          <t>SI</t>
        </is>
      </c>
      <c r="U167" s="9" t="inlineStr"/>
      <c r="V167" s="10">
        <f>Umbrales!$B$9*(K167/1000)^Umbrales!$B$10</f>
        <v/>
      </c>
    </row>
    <row r="168">
      <c r="A168" s="4" t="inlineStr">
        <is>
          <t>LOW</t>
        </is>
      </c>
      <c r="B168" s="4" t="inlineStr">
        <is>
          <t>Lowe's Companies, Inc.</t>
        </is>
      </c>
      <c r="C168" s="4" t="inlineStr">
        <is>
          <t>United States</t>
        </is>
      </c>
      <c r="D168" s="4" t="inlineStr">
        <is>
          <t>US</t>
        </is>
      </c>
      <c r="E168" s="4" t="inlineStr">
        <is>
          <t>Consumo cíclico</t>
        </is>
      </c>
      <c r="F168" s="4" t="inlineStr">
        <is>
          <t>Home Improvement Retail</t>
        </is>
      </c>
      <c r="G168" s="4" t="inlineStr">
        <is>
          <t>NYQ</t>
        </is>
      </c>
      <c r="H168" s="4" t="inlineStr">
        <is>
          <t>USD</t>
        </is>
      </c>
      <c r="I168" s="5" t="n">
        <v>105652.076544</v>
      </c>
      <c r="J168" s="6">
        <f>INDEX(FX!$B:$B,MATCH(H168,FX!$A:$A,0))</f>
        <v/>
      </c>
      <c r="K168" s="5">
        <f>I168*J168</f>
        <v/>
      </c>
      <c r="L168" s="4">
        <f>IF(U168&lt;&gt;"",U168,IF(K168&gt;=Umbrales!$B$2,"Legendaria",IF(K168&gt;=Umbrales!$B$3,"Épica",IF(K168&gt;=Umbrales!$B$4,"Rara",IF(K168&gt;=Umbrales!$B$5,"Poco común","Común")))))</f>
        <v/>
      </c>
      <c r="M168" s="5" t="n">
        <v>90431.995904</v>
      </c>
      <c r="N168" s="5" t="n">
        <v>6624.999936</v>
      </c>
      <c r="O168" s="5">
        <f>IF(M168="","",M168*J168)</f>
        <v/>
      </c>
      <c r="P168" s="5">
        <f>IF(N168="","",N168*J168)</f>
        <v/>
      </c>
      <c r="Q168" s="7" t="n">
        <v>0.0265</v>
      </c>
      <c r="R168" s="8" t="n">
        <v>15.958474</v>
      </c>
      <c r="S168" s="4" t="inlineStr"/>
      <c r="T168" s="9" t="inlineStr">
        <is>
          <t>SI</t>
        </is>
      </c>
      <c r="U168" s="9" t="inlineStr"/>
      <c r="V168" s="10">
        <f>Umbrales!$B$9*(K168/1000)^Umbrales!$B$10</f>
        <v/>
      </c>
    </row>
    <row r="169">
      <c r="A169" s="4" t="inlineStr">
        <is>
          <t>HCA</t>
        </is>
      </c>
      <c r="B169" s="4" t="inlineStr">
        <is>
          <t>HCA Healthcare, Inc.</t>
        </is>
      </c>
      <c r="C169" s="4" t="inlineStr">
        <is>
          <t>United States</t>
        </is>
      </c>
      <c r="D169" s="4" t="inlineStr">
        <is>
          <t>US</t>
        </is>
      </c>
      <c r="E169" s="4" t="inlineStr">
        <is>
          <t>Salud</t>
        </is>
      </c>
      <c r="F169" s="4" t="inlineStr">
        <is>
          <t>Medical Care Facilities</t>
        </is>
      </c>
      <c r="G169" s="4" t="inlineStr">
        <is>
          <t>NYQ</t>
        </is>
      </c>
      <c r="H169" s="4" t="inlineStr">
        <is>
          <t>USD</t>
        </is>
      </c>
      <c r="I169" s="5" t="n">
        <v>104362.319872</v>
      </c>
      <c r="J169" s="6">
        <f>INDEX(FX!$B:$B,MATCH(H169,FX!$A:$A,0))</f>
        <v/>
      </c>
      <c r="K169" s="5">
        <f>I169*J169</f>
        <v/>
      </c>
      <c r="L169" s="4">
        <f>IF(U169&lt;&gt;"",U169,IF(K169&gt;=Umbrales!$B$2,"Legendaria",IF(K169&gt;=Umbrales!$B$3,"Épica",IF(K169&gt;=Umbrales!$B$4,"Rara",IF(K169&gt;=Umbrales!$B$5,"Poco común","Común")))))</f>
        <v/>
      </c>
      <c r="M169" s="5" t="n">
        <v>78012.997632</v>
      </c>
      <c r="N169" s="5" t="n">
        <v>6840</v>
      </c>
      <c r="O169" s="5">
        <f>IF(M169="","",M169*J169)</f>
        <v/>
      </c>
      <c r="P169" s="5">
        <f>IF(N169="","",N169*J169)</f>
        <v/>
      </c>
      <c r="Q169" s="7" t="n">
        <v>0.0068</v>
      </c>
      <c r="R169" s="8" t="n">
        <v>15.444518</v>
      </c>
      <c r="S169" s="4" t="inlineStr"/>
      <c r="T169" s="9" t="inlineStr">
        <is>
          <t>SI</t>
        </is>
      </c>
      <c r="U169" s="9" t="inlineStr"/>
      <c r="V169" s="10">
        <f>Umbrales!$B$9*(K169/1000)^Umbrales!$B$10</f>
        <v/>
      </c>
    </row>
    <row r="170">
      <c r="A170" s="4" t="inlineStr">
        <is>
          <t>TT</t>
        </is>
      </c>
      <c r="B170" s="4" t="inlineStr">
        <is>
          <t>Trane Technologies plc</t>
        </is>
      </c>
      <c r="C170" s="4" t="inlineStr">
        <is>
          <t>Ireland</t>
        </is>
      </c>
      <c r="D170" s="4" t="inlineStr">
        <is>
          <t>IE</t>
        </is>
      </c>
      <c r="E170" s="4" t="inlineStr">
        <is>
          <t>Industria</t>
        </is>
      </c>
      <c r="F170" s="4" t="inlineStr">
        <is>
          <t>Building Products &amp; Equipment</t>
        </is>
      </c>
      <c r="G170" s="4" t="inlineStr">
        <is>
          <t>NYQ</t>
        </is>
      </c>
      <c r="H170" s="4" t="inlineStr">
        <is>
          <t>USD</t>
        </is>
      </c>
      <c r="I170" s="5" t="n">
        <v>103694.729216</v>
      </c>
      <c r="J170" s="6">
        <f>INDEX(FX!$B:$B,MATCH(H170,FX!$A:$A,0))</f>
        <v/>
      </c>
      <c r="K170" s="5">
        <f>I170*J170</f>
        <v/>
      </c>
      <c r="L170" s="4">
        <f>IF(U170&lt;&gt;"",U170,IF(K170&gt;=Umbrales!$B$2,"Legendaria",IF(K170&gt;=Umbrales!$B$3,"Épica",IF(K170&gt;=Umbrales!$B$4,"Rara",IF(K170&gt;=Umbrales!$B$5,"Poco común","Común")))))</f>
        <v/>
      </c>
      <c r="M170" s="5" t="n">
        <v>22209.900544</v>
      </c>
      <c r="N170" s="5" t="n">
        <v>2999.600128</v>
      </c>
      <c r="O170" s="5">
        <f>IF(M170="","",M170*J170)</f>
        <v/>
      </c>
      <c r="P170" s="5">
        <f>IF(N170="","",N170*J170)</f>
        <v/>
      </c>
      <c r="Q170" s="7" t="n">
        <v>0.008800000000000001</v>
      </c>
      <c r="R170" s="8" t="n">
        <v>35.62283</v>
      </c>
      <c r="S170" s="4" t="inlineStr"/>
      <c r="T170" s="9" t="inlineStr">
        <is>
          <t>SI</t>
        </is>
      </c>
      <c r="U170" s="9" t="inlineStr"/>
      <c r="V170" s="10">
        <f>Umbrales!$B$9*(K170/1000)^Umbrales!$B$10</f>
        <v/>
      </c>
    </row>
    <row r="171">
      <c r="A171" s="4" t="inlineStr">
        <is>
          <t>SO</t>
        </is>
      </c>
      <c r="B171" s="4" t="inlineStr">
        <is>
          <t>The Southern Company</t>
        </is>
      </c>
      <c r="C171" s="4" t="inlineStr">
        <is>
          <t>United States</t>
        </is>
      </c>
      <c r="D171" s="4" t="inlineStr">
        <is>
          <t>US</t>
        </is>
      </c>
      <c r="E171" s="4" t="inlineStr">
        <is>
          <t>Servicios públicos</t>
        </is>
      </c>
      <c r="F171" s="4" t="inlineStr">
        <is>
          <t>Utilities - Regulated Electric</t>
        </is>
      </c>
      <c r="G171" s="4" t="inlineStr">
        <is>
          <t>NYQ</t>
        </is>
      </c>
      <c r="H171" s="4" t="inlineStr">
        <is>
          <t>USD</t>
        </is>
      </c>
      <c r="I171" s="5" t="n">
        <v>102819.438592</v>
      </c>
      <c r="J171" s="6">
        <f>INDEX(FX!$B:$B,MATCH(H171,FX!$A:$A,0))</f>
        <v/>
      </c>
      <c r="K171" s="5">
        <f>I171*J171</f>
        <v/>
      </c>
      <c r="L171" s="4">
        <f>IF(U171&lt;&gt;"",U171,IF(K171&gt;=Umbrales!$B$2,"Legendaria",IF(K171&gt;=Umbrales!$B$3,"Épica",IF(K171&gt;=Umbrales!$B$4,"Rara",IF(K171&gt;=Umbrales!$B$5,"Poco común","Común")))))</f>
        <v/>
      </c>
      <c r="M171" s="5" t="n">
        <v>30179.00032</v>
      </c>
      <c r="N171" s="5" t="n">
        <v>4657.999872</v>
      </c>
      <c r="O171" s="5">
        <f>IF(M171="","",M171*J171)</f>
        <v/>
      </c>
      <c r="P171" s="5">
        <f>IF(N171="","",N171*J171)</f>
        <v/>
      </c>
      <c r="Q171" s="7" t="n">
        <v>0.0345</v>
      </c>
      <c r="R171" s="8" t="n">
        <v>21.537348</v>
      </c>
      <c r="S171" s="4" t="inlineStr"/>
      <c r="T171" s="9" t="inlineStr">
        <is>
          <t>SI</t>
        </is>
      </c>
      <c r="U171" s="9" t="inlineStr"/>
      <c r="V171" s="10">
        <f>Umbrales!$B$9*(K171/1000)^Umbrales!$B$10</f>
        <v/>
      </c>
    </row>
    <row r="172">
      <c r="A172" s="4" t="inlineStr">
        <is>
          <t>CME</t>
        </is>
      </c>
      <c r="B172" s="4" t="inlineStr">
        <is>
          <t>CME Group Inc.</t>
        </is>
      </c>
      <c r="C172" s="4" t="inlineStr">
        <is>
          <t>United States</t>
        </is>
      </c>
      <c r="D172" s="4" t="inlineStr">
        <is>
          <t>US</t>
        </is>
      </c>
      <c r="E172" s="4" t="inlineStr">
        <is>
          <t>Finanzas</t>
        </is>
      </c>
      <c r="F172" s="4" t="inlineStr">
        <is>
          <t>Financial Data &amp; Stock Exchanges</t>
        </is>
      </c>
      <c r="G172" s="4" t="inlineStr">
        <is>
          <t>NMS</t>
        </is>
      </c>
      <c r="H172" s="4" t="inlineStr">
        <is>
          <t>USD</t>
        </is>
      </c>
      <c r="I172" s="5" t="n">
        <v>102692.241408</v>
      </c>
      <c r="J172" s="6">
        <f>INDEX(FX!$B:$B,MATCH(H172,FX!$A:$A,0))</f>
        <v/>
      </c>
      <c r="K172" s="5">
        <f>I172*J172</f>
        <v/>
      </c>
      <c r="L172" s="4">
        <f>IF(U172&lt;&gt;"",U172,IF(K172&gt;=Umbrales!$B$2,"Legendaria",IF(K172&gt;=Umbrales!$B$3,"Épica",IF(K172&gt;=Umbrales!$B$4,"Rara",IF(K172&gt;=Umbrales!$B$5,"Poco común","Común")))))</f>
        <v/>
      </c>
      <c r="M172" s="5" t="n">
        <v>6757.199872</v>
      </c>
      <c r="N172" s="5" t="n">
        <v>4264.999936</v>
      </c>
      <c r="O172" s="5">
        <f>IF(M172="","",M172*J172)</f>
        <v/>
      </c>
      <c r="P172" s="5">
        <f>IF(N172="","",N172*J172)</f>
        <v/>
      </c>
      <c r="Q172" s="7" t="n">
        <v>0.0187</v>
      </c>
      <c r="R172" s="8" t="n">
        <v>24.22307</v>
      </c>
      <c r="S172" s="4" t="inlineStr"/>
      <c r="T172" s="9" t="inlineStr">
        <is>
          <t>SI</t>
        </is>
      </c>
      <c r="U172" s="9" t="inlineStr"/>
      <c r="V172" s="10">
        <f>Umbrales!$B$9*(K172/1000)^Umbrales!$B$10</f>
        <v/>
      </c>
    </row>
    <row r="173">
      <c r="A173" s="4" t="inlineStr">
        <is>
          <t>ENEL.MI</t>
        </is>
      </c>
      <c r="B173" s="4" t="inlineStr">
        <is>
          <t>Enel SpA</t>
        </is>
      </c>
      <c r="C173" s="4" t="inlineStr">
        <is>
          <t>Italy</t>
        </is>
      </c>
      <c r="D173" s="4" t="inlineStr">
        <is>
          <t>IT</t>
        </is>
      </c>
      <c r="E173" s="4" t="inlineStr">
        <is>
          <t>Servicios públicos</t>
        </is>
      </c>
      <c r="F173" s="4" t="inlineStr">
        <is>
          <t>Utilities - Diversified</t>
        </is>
      </c>
      <c r="G173" s="4" t="inlineStr">
        <is>
          <t>MIL</t>
        </is>
      </c>
      <c r="H173" s="4" t="inlineStr">
        <is>
          <t>EUR</t>
        </is>
      </c>
      <c r="I173" s="5" t="n">
        <v>90545.897472</v>
      </c>
      <c r="J173" s="6">
        <f>INDEX(FX!$B:$B,MATCH(H173,FX!$A:$A,0))</f>
        <v/>
      </c>
      <c r="K173" s="5">
        <f>I173*J173</f>
        <v/>
      </c>
      <c r="L173" s="4">
        <f>IF(U173&lt;&gt;"",U173,IF(K173&gt;=Umbrales!$B$2,"Legendaria",IF(K173&gt;=Umbrales!$B$3,"Épica",IF(K173&gt;=Umbrales!$B$4,"Rara",IF(K173&gt;=Umbrales!$B$5,"Poco común","Común")))))</f>
        <v/>
      </c>
      <c r="M173" s="5" t="n">
        <v>79497.003008</v>
      </c>
      <c r="N173" s="5" t="n">
        <v>4256</v>
      </c>
      <c r="O173" s="5">
        <f>IF(M173="","",M173*J173)</f>
        <v/>
      </c>
      <c r="P173" s="5">
        <f>IF(N173="","",N173*J173)</f>
        <v/>
      </c>
      <c r="Q173" s="7" t="n">
        <v>0.05769999999999999</v>
      </c>
      <c r="R173" s="8" t="n">
        <v>21.730953</v>
      </c>
      <c r="S173" s="4" t="inlineStr">
        <is>
          <t>EUROSTOXX50</t>
        </is>
      </c>
      <c r="T173" s="9" t="inlineStr">
        <is>
          <t>SI</t>
        </is>
      </c>
      <c r="U173" s="9" t="inlineStr"/>
      <c r="V173" s="10">
        <f>Umbrales!$B$9*(K173/1000)^Umbrales!$B$10</f>
        <v/>
      </c>
    </row>
    <row r="174">
      <c r="A174" s="4" t="inlineStr">
        <is>
          <t>CS.PA</t>
        </is>
      </c>
      <c r="B174" s="4" t="inlineStr">
        <is>
          <t>AXA SA</t>
        </is>
      </c>
      <c r="C174" s="4" t="inlineStr">
        <is>
          <t>France</t>
        </is>
      </c>
      <c r="D174" s="4" t="inlineStr">
        <is>
          <t>FR</t>
        </is>
      </c>
      <c r="E174" s="4" t="inlineStr">
        <is>
          <t>Finanzas</t>
        </is>
      </c>
      <c r="F174" s="4" t="inlineStr">
        <is>
          <t>Insurance - Diversified</t>
        </is>
      </c>
      <c r="G174" s="4" t="inlineStr">
        <is>
          <t>PAR</t>
        </is>
      </c>
      <c r="H174" s="4" t="inlineStr">
        <is>
          <t>EUR</t>
        </is>
      </c>
      <c r="I174" s="5" t="n">
        <v>90245.88185600001</v>
      </c>
      <c r="J174" s="6">
        <f>INDEX(FX!$B:$B,MATCH(H174,FX!$A:$A,0))</f>
        <v/>
      </c>
      <c r="K174" s="5">
        <f>I174*J174</f>
        <v/>
      </c>
      <c r="L174" s="4">
        <f>IF(U174&lt;&gt;"",U174,IF(K174&gt;=Umbrales!$B$2,"Legendaria",IF(K174&gt;=Umbrales!$B$3,"Épica",IF(K174&gt;=Umbrales!$B$4,"Rara",IF(K174&gt;=Umbrales!$B$5,"Poco común","Común")))))</f>
        <v/>
      </c>
      <c r="M174" s="5" t="n">
        <v>96794.001408</v>
      </c>
      <c r="N174" s="5" t="n">
        <v>7654.000128</v>
      </c>
      <c r="O174" s="5">
        <f>IF(M174="","",M174*J174)</f>
        <v/>
      </c>
      <c r="P174" s="5">
        <f>IF(N174="","",N174*J174)</f>
        <v/>
      </c>
      <c r="Q174" s="7" t="n">
        <v>0.0552</v>
      </c>
      <c r="R174" s="8" t="n">
        <v>11.633423</v>
      </c>
      <c r="S174" s="4" t="inlineStr">
        <is>
          <t>EUROSTOXX50</t>
        </is>
      </c>
      <c r="T174" s="9" t="inlineStr">
        <is>
          <t>SI</t>
        </is>
      </c>
      <c r="U174" s="9" t="inlineStr"/>
      <c r="V174" s="10">
        <f>Umbrales!$B$9*(K174/1000)^Umbrales!$B$10</f>
        <v/>
      </c>
    </row>
    <row r="175">
      <c r="A175" s="4" t="inlineStr">
        <is>
          <t>ABNB</t>
        </is>
      </c>
      <c r="B175" s="4" t="inlineStr">
        <is>
          <t>Airbnb, Inc.</t>
        </is>
      </c>
      <c r="C175" s="4" t="inlineStr">
        <is>
          <t>United States</t>
        </is>
      </c>
      <c r="D175" s="4" t="inlineStr">
        <is>
          <t>US</t>
        </is>
      </c>
      <c r="E175" s="4" t="inlineStr">
        <is>
          <t>Consumo cíclico</t>
        </is>
      </c>
      <c r="F175" s="4" t="inlineStr">
        <is>
          <t>Travel Services</t>
        </is>
      </c>
      <c r="G175" s="4" t="inlineStr">
        <is>
          <t>NMS</t>
        </is>
      </c>
      <c r="H175" s="4" t="inlineStr">
        <is>
          <t>USD</t>
        </is>
      </c>
      <c r="I175" s="5" t="n">
        <v>100033.134592</v>
      </c>
      <c r="J175" s="6">
        <f>INDEX(FX!$B:$B,MATCH(H175,FX!$A:$A,0))</f>
        <v/>
      </c>
      <c r="K175" s="5">
        <f>I175*J175</f>
        <v/>
      </c>
      <c r="L175" s="4">
        <f>IF(U175&lt;&gt;"",U175,IF(K175&gt;=Umbrales!$B$2,"Legendaria",IF(K175&gt;=Umbrales!$B$3,"Épica",IF(K175&gt;=Umbrales!$B$4,"Rara",IF(K175&gt;=Umbrales!$B$5,"Poco común","Común")))))</f>
        <v/>
      </c>
      <c r="M175" s="5" t="n">
        <v>13159.000064</v>
      </c>
      <c r="N175" s="5" t="n">
        <v>2691.000064</v>
      </c>
      <c r="O175" s="5">
        <f>IF(M175="","",M175*J175)</f>
        <v/>
      </c>
      <c r="P175" s="5">
        <f>IF(N175="","",N175*J175)</f>
        <v/>
      </c>
      <c r="Q175" s="7" t="n">
        <v>0</v>
      </c>
      <c r="R175" s="8" t="n">
        <v>37.711063</v>
      </c>
      <c r="S175" s="4" t="inlineStr">
        <is>
          <t>NASDAQ100</t>
        </is>
      </c>
      <c r="T175" s="9" t="inlineStr">
        <is>
          <t>SI</t>
        </is>
      </c>
      <c r="U175" s="9" t="inlineStr"/>
      <c r="V175" s="10">
        <f>Umbrales!$B$9*(K175/1000)^Umbrales!$B$10</f>
        <v/>
      </c>
    </row>
    <row r="176">
      <c r="A176" s="4" t="inlineStr">
        <is>
          <t>FCX</t>
        </is>
      </c>
      <c r="B176" s="4" t="inlineStr">
        <is>
          <t>Freeport-McMoRan Inc.</t>
        </is>
      </c>
      <c r="C176" s="4" t="inlineStr">
        <is>
          <t>United States</t>
        </is>
      </c>
      <c r="D176" s="4" t="inlineStr">
        <is>
          <t>US</t>
        </is>
      </c>
      <c r="E176" s="4" t="inlineStr">
        <is>
          <t>Materiales</t>
        </is>
      </c>
      <c r="F176" s="4" t="inlineStr">
        <is>
          <t>Copper</t>
        </is>
      </c>
      <c r="G176" s="4" t="inlineStr">
        <is>
          <t>NYQ</t>
        </is>
      </c>
      <c r="H176" s="4" t="inlineStr">
        <is>
          <t>USD</t>
        </is>
      </c>
      <c r="I176" s="5" t="n">
        <v>99975.544832</v>
      </c>
      <c r="J176" s="6">
        <f>INDEX(FX!$B:$B,MATCH(H176,FX!$A:$A,0))</f>
        <v/>
      </c>
      <c r="K176" s="5">
        <f>I176*J176</f>
        <v/>
      </c>
      <c r="L176" s="4">
        <f>IF(U176&lt;&gt;"",U176,IF(K176&gt;=Umbrales!$B$2,"Legendaria",IF(K176&gt;=Umbrales!$B$3,"Épica",IF(K176&gt;=Umbrales!$B$4,"Rara",IF(K176&gt;=Umbrales!$B$5,"Poco común","Común")))))</f>
        <v/>
      </c>
      <c r="M176" s="5" t="n">
        <v>25867.999232</v>
      </c>
      <c r="N176" s="5" t="n">
        <v>2936</v>
      </c>
      <c r="O176" s="5">
        <f>IF(M176="","",M176*J176)</f>
        <v/>
      </c>
      <c r="P176" s="5">
        <f>IF(N176="","",N176*J176)</f>
        <v/>
      </c>
      <c r="Q176" s="7" t="n">
        <v>0.0083</v>
      </c>
      <c r="R176" s="8" t="n">
        <v>35.702564</v>
      </c>
      <c r="S176" s="4" t="inlineStr"/>
      <c r="T176" s="9" t="inlineStr">
        <is>
          <t>SI</t>
        </is>
      </c>
      <c r="U176" s="9" t="inlineStr"/>
      <c r="V176" s="10">
        <f>Umbrales!$B$9*(K176/1000)^Umbrales!$B$10</f>
        <v/>
      </c>
    </row>
    <row r="177">
      <c r="A177" s="4" t="inlineStr">
        <is>
          <t>CEG</t>
        </is>
      </c>
      <c r="B177" s="4" t="inlineStr">
        <is>
          <t>Constellation Energy Corporation</t>
        </is>
      </c>
      <c r="C177" s="4" t="inlineStr">
        <is>
          <t>United States</t>
        </is>
      </c>
      <c r="D177" s="4" t="inlineStr">
        <is>
          <t>US</t>
        </is>
      </c>
      <c r="E177" s="4" t="inlineStr">
        <is>
          <t>Servicios públicos</t>
        </is>
      </c>
      <c r="F177" s="4" t="inlineStr">
        <is>
          <t>Utilities - Independent Power Producers</t>
        </is>
      </c>
      <c r="G177" s="4" t="inlineStr">
        <is>
          <t>NMS</t>
        </is>
      </c>
      <c r="H177" s="4" t="inlineStr">
        <is>
          <t>USD</t>
        </is>
      </c>
      <c r="I177" s="5" t="n">
        <v>99043.090432</v>
      </c>
      <c r="J177" s="6">
        <f>INDEX(FX!$B:$B,MATCH(H177,FX!$A:$A,0))</f>
        <v/>
      </c>
      <c r="K177" s="5">
        <f>I177*J177</f>
        <v/>
      </c>
      <c r="L177" s="4">
        <f>IF(U177&lt;&gt;"",U177,IF(K177&gt;=Umbrales!$B$2,"Legendaria",IF(K177&gt;=Umbrales!$B$3,"Épica",IF(K177&gt;=Umbrales!$B$4,"Rara",IF(K177&gt;=Umbrales!$B$5,"Poco común","Común")))))</f>
        <v/>
      </c>
      <c r="M177" s="5" t="n">
        <v>31270.00064</v>
      </c>
      <c r="N177" s="5" t="n">
        <v>3464.999936</v>
      </c>
      <c r="O177" s="5">
        <f>IF(M177="","",M177*J177)</f>
        <v/>
      </c>
      <c r="P177" s="5">
        <f>IF(N177="","",N177*J177)</f>
        <v/>
      </c>
      <c r="Q177" s="7" t="n">
        <v>0.0058</v>
      </c>
      <c r="R177" s="8" t="n">
        <v>27.325516</v>
      </c>
      <c r="S177" s="4" t="inlineStr">
        <is>
          <t>NASDAQ100</t>
        </is>
      </c>
      <c r="T177" s="9" t="inlineStr">
        <is>
          <t>SI</t>
        </is>
      </c>
      <c r="U177" s="9" t="inlineStr"/>
      <c r="V177" s="10">
        <f>Umbrales!$B$9*(K177/1000)^Umbrales!$B$10</f>
        <v/>
      </c>
    </row>
    <row r="178">
      <c r="A178" s="4" t="inlineStr">
        <is>
          <t>EQIX</t>
        </is>
      </c>
      <c r="B178" s="4" t="inlineStr">
        <is>
          <t>Equinix, Inc.</t>
        </is>
      </c>
      <c r="C178" s="4" t="inlineStr">
        <is>
          <t>United States</t>
        </is>
      </c>
      <c r="D178" s="4" t="inlineStr">
        <is>
          <t>US</t>
        </is>
      </c>
      <c r="E178" s="4" t="inlineStr">
        <is>
          <t>Inmobiliario</t>
        </is>
      </c>
      <c r="F178" s="4" t="inlineStr">
        <is>
          <t>REIT - Specialty</t>
        </is>
      </c>
      <c r="G178" s="4" t="inlineStr">
        <is>
          <t>NMS</t>
        </is>
      </c>
      <c r="H178" s="4" t="inlineStr">
        <is>
          <t>USD</t>
        </is>
      </c>
      <c r="I178" s="5" t="n">
        <v>98267.136</v>
      </c>
      <c r="J178" s="6">
        <f>INDEX(FX!$B:$B,MATCH(H178,FX!$A:$A,0))</f>
        <v/>
      </c>
      <c r="K178" s="5">
        <f>I178*J178</f>
        <v/>
      </c>
      <c r="L178" s="4">
        <f>IF(U178&lt;&gt;"",U178,IF(K178&gt;=Umbrales!$B$2,"Legendaria",IF(K178&gt;=Umbrales!$B$3,"Épica",IF(K178&gt;=Umbrales!$B$4,"Rara",IF(K178&gt;=Umbrales!$B$5,"Poco común","Común")))))</f>
        <v/>
      </c>
      <c r="M178" s="5" t="n">
        <v>9904</v>
      </c>
      <c r="N178" s="5" t="n">
        <v>1532.999936</v>
      </c>
      <c r="O178" s="5">
        <f>IF(M178="","",M178*J178)</f>
        <v/>
      </c>
      <c r="P178" s="5">
        <f>IF(N178="","",N178*J178)</f>
        <v/>
      </c>
      <c r="Q178" s="7" t="n">
        <v>0.0202</v>
      </c>
      <c r="R178" s="8" t="n">
        <v>64.08623</v>
      </c>
      <c r="S178" s="4" t="inlineStr"/>
      <c r="T178" s="9" t="inlineStr">
        <is>
          <t>SI</t>
        </is>
      </c>
      <c r="U178" s="9" t="inlineStr"/>
      <c r="V178" s="10">
        <f>Umbrales!$B$9*(K178/1000)^Umbrales!$B$10</f>
        <v/>
      </c>
    </row>
    <row r="179">
      <c r="A179" s="4" t="inlineStr">
        <is>
          <t>SAN.PA</t>
        </is>
      </c>
      <c r="B179" s="4" t="inlineStr">
        <is>
          <t>Sanofi</t>
        </is>
      </c>
      <c r="C179" s="4" t="inlineStr">
        <is>
          <t>France</t>
        </is>
      </c>
      <c r="D179" s="4" t="inlineStr">
        <is>
          <t>FR</t>
        </is>
      </c>
      <c r="E179" s="4" t="inlineStr">
        <is>
          <t>Salud</t>
        </is>
      </c>
      <c r="F179" s="4" t="inlineStr">
        <is>
          <t>Drug Manufacturers - General</t>
        </is>
      </c>
      <c r="G179" s="4" t="inlineStr">
        <is>
          <t>PAR</t>
        </is>
      </c>
      <c r="H179" s="4" t="inlineStr">
        <is>
          <t>EUR</t>
        </is>
      </c>
      <c r="I179" s="5" t="n">
        <v>86776.119296</v>
      </c>
      <c r="J179" s="6">
        <f>INDEX(FX!$B:$B,MATCH(H179,FX!$A:$A,0))</f>
        <v/>
      </c>
      <c r="K179" s="5">
        <f>I179*J179</f>
        <v/>
      </c>
      <c r="L179" s="4">
        <f>IF(U179&lt;&gt;"",U179,IF(K179&gt;=Umbrales!$B$2,"Legendaria",IF(K179&gt;=Umbrales!$B$3,"Épica",IF(K179&gt;=Umbrales!$B$4,"Rara",IF(K179&gt;=Umbrales!$B$5,"Poco común","Común")))))</f>
        <v/>
      </c>
      <c r="M179" s="5" t="n">
        <v>48918.99904</v>
      </c>
      <c r="N179" s="5" t="n">
        <v>3939.000064</v>
      </c>
      <c r="O179" s="5">
        <f>IF(M179="","",M179*J179)</f>
        <v/>
      </c>
      <c r="P179" s="5">
        <f>IF(N179="","",N179*J179)</f>
        <v/>
      </c>
      <c r="Q179" s="7" t="n">
        <v>0.0582</v>
      </c>
      <c r="R179" s="8" t="n">
        <v>22.286154</v>
      </c>
      <c r="S179" s="4" t="inlineStr">
        <is>
          <t>EUROSTOXX50</t>
        </is>
      </c>
      <c r="T179" s="9" t="inlineStr">
        <is>
          <t>SI</t>
        </is>
      </c>
      <c r="U179" s="9" t="inlineStr"/>
      <c r="V179" s="10">
        <f>Umbrales!$B$9*(K179/1000)^Umbrales!$B$10</f>
        <v/>
      </c>
    </row>
    <row r="180">
      <c r="A180" s="4" t="inlineStr">
        <is>
          <t>MAR</t>
        </is>
      </c>
      <c r="B180" s="4" t="inlineStr">
        <is>
          <t>Marriott International, Inc.</t>
        </is>
      </c>
      <c r="C180" s="4" t="inlineStr">
        <is>
          <t>United States</t>
        </is>
      </c>
      <c r="D180" s="4" t="inlineStr">
        <is>
          <t>US</t>
        </is>
      </c>
      <c r="E180" s="4" t="inlineStr">
        <is>
          <t>Consumo cíclico</t>
        </is>
      </c>
      <c r="F180" s="4" t="inlineStr">
        <is>
          <t>Lodging</t>
        </is>
      </c>
      <c r="G180" s="4" t="inlineStr">
        <is>
          <t>NMS</t>
        </is>
      </c>
      <c r="H180" s="4" t="inlineStr">
        <is>
          <t>USD</t>
        </is>
      </c>
      <c r="I180" s="5" t="n">
        <v>96958.119936</v>
      </c>
      <c r="J180" s="6">
        <f>INDEX(FX!$B:$B,MATCH(H180,FX!$A:$A,0))</f>
        <v/>
      </c>
      <c r="K180" s="5">
        <f>I180*J180</f>
        <v/>
      </c>
      <c r="L180" s="4">
        <f>IF(U180&lt;&gt;"",U180,IF(K180&gt;=Umbrales!$B$2,"Legendaria",IF(K180&gt;=Umbrales!$B$3,"Épica",IF(K180&gt;=Umbrales!$B$4,"Rara",IF(K180&gt;=Umbrales!$B$5,"Poco común","Común")))))</f>
        <v/>
      </c>
      <c r="M180" s="5" t="n">
        <v>7384.999936</v>
      </c>
      <c r="N180" s="5" t="n">
        <v>2587.000064</v>
      </c>
      <c r="O180" s="5">
        <f>IF(M180="","",M180*J180)</f>
        <v/>
      </c>
      <c r="P180" s="5">
        <f>IF(N180="","",N180*J180)</f>
        <v/>
      </c>
      <c r="Q180" s="7" t="n">
        <v>0.007900000000000001</v>
      </c>
      <c r="R180" s="8" t="n">
        <v>38.852665</v>
      </c>
      <c r="S180" s="4" t="inlineStr">
        <is>
          <t>NASDAQ100</t>
        </is>
      </c>
      <c r="T180" s="9" t="inlineStr">
        <is>
          <t>SI</t>
        </is>
      </c>
      <c r="U180" s="9" t="inlineStr"/>
      <c r="V180" s="10">
        <f>Umbrales!$B$9*(K180/1000)^Umbrales!$B$10</f>
        <v/>
      </c>
    </row>
    <row r="181">
      <c r="A181" s="4" t="inlineStr">
        <is>
          <t>GSK.L</t>
        </is>
      </c>
      <c r="B181" s="4" t="inlineStr">
        <is>
          <t>GSK plc</t>
        </is>
      </c>
      <c r="C181" s="4" t="inlineStr">
        <is>
          <t>United Kingdom</t>
        </is>
      </c>
      <c r="D181" s="4" t="inlineStr">
        <is>
          <t>GB</t>
        </is>
      </c>
      <c r="E181" s="4" t="inlineStr">
        <is>
          <t>Salud</t>
        </is>
      </c>
      <c r="F181" s="4" t="inlineStr">
        <is>
          <t>Drug Manufacturers - General</t>
        </is>
      </c>
      <c r="G181" s="4" t="inlineStr">
        <is>
          <t>LSE</t>
        </is>
      </c>
      <c r="H181" s="4" t="inlineStr">
        <is>
          <t>GBP</t>
        </is>
      </c>
      <c r="I181" s="5" t="n">
        <v>73112.25651200001</v>
      </c>
      <c r="J181" s="6">
        <f>INDEX(FX!$B:$B,MATCH(H181,FX!$A:$A,0))</f>
        <v/>
      </c>
      <c r="K181" s="5">
        <f>I181*J181</f>
        <v/>
      </c>
      <c r="L181" s="4">
        <f>IF(U181&lt;&gt;"",U181,IF(K181&gt;=Umbrales!$B$2,"Legendaria",IF(K181&gt;=Umbrales!$B$3,"Épica",IF(K181&gt;=Umbrales!$B$4,"Rara",IF(K181&gt;=Umbrales!$B$5,"Poco común","Común")))))</f>
        <v/>
      </c>
      <c r="M181" s="5" t="n">
        <v>33202.999296</v>
      </c>
      <c r="N181" s="5" t="n">
        <v>4821.000192</v>
      </c>
      <c r="O181" s="5">
        <f>IF(M181="","",M181*J181)</f>
        <v/>
      </c>
      <c r="P181" s="5">
        <f>IF(N181="","",N181*J181)</f>
        <v/>
      </c>
      <c r="Q181" s="7" t="n">
        <v>0.0388</v>
      </c>
      <c r="R181" s="8" t="n">
        <v>15.4627075</v>
      </c>
      <c r="S181" s="4" t="inlineStr">
        <is>
          <t>UK_TOP</t>
        </is>
      </c>
      <c r="T181" s="9" t="inlineStr">
        <is>
          <t>SI</t>
        </is>
      </c>
      <c r="U181" s="9" t="inlineStr"/>
      <c r="V181" s="10">
        <f>Umbrales!$B$9*(K181/1000)^Umbrales!$B$10</f>
        <v/>
      </c>
    </row>
    <row r="182">
      <c r="A182" s="4" t="inlineStr">
        <is>
          <t>ATCO-A.ST</t>
        </is>
      </c>
      <c r="B182" s="4" t="inlineStr">
        <is>
          <t>Atlas Copco AB (publ)</t>
        </is>
      </c>
      <c r="C182" s="4" t="inlineStr">
        <is>
          <t>Sweden</t>
        </is>
      </c>
      <c r="D182" s="4" t="inlineStr">
        <is>
          <t>SE</t>
        </is>
      </c>
      <c r="E182" s="4" t="inlineStr">
        <is>
          <t>Industria</t>
        </is>
      </c>
      <c r="F182" s="4" t="inlineStr">
        <is>
          <t>Specialty Industrial Machinery</t>
        </is>
      </c>
      <c r="G182" s="4" t="inlineStr">
        <is>
          <t>STO</t>
        </is>
      </c>
      <c r="H182" s="4" t="inlineStr">
        <is>
          <t>SEK</t>
        </is>
      </c>
      <c r="I182" s="5" t="n">
        <v>964991.188992</v>
      </c>
      <c r="J182" s="6">
        <f>INDEX(FX!$B:$B,MATCH(H182,FX!$A:$A,0))</f>
        <v/>
      </c>
      <c r="K182" s="5">
        <f>I182*J182</f>
        <v/>
      </c>
      <c r="L182" s="4">
        <f>IF(U182&lt;&gt;"",U182,IF(K182&gt;=Umbrales!$B$2,"Legendaria",IF(K182&gt;=Umbrales!$B$3,"Épica",IF(K182&gt;=Umbrales!$B$4,"Rara",IF(K182&gt;=Umbrales!$B$5,"Poco común","Común")))))</f>
        <v/>
      </c>
      <c r="M182" s="5" t="n">
        <v>169917.005824</v>
      </c>
      <c r="N182" s="5" t="n">
        <v>26617.99936</v>
      </c>
      <c r="O182" s="5">
        <f>IF(M182="","",M182*J182)</f>
        <v/>
      </c>
      <c r="P182" s="5">
        <f>IF(N182="","",N182*J182)</f>
        <v/>
      </c>
      <c r="Q182" s="7" t="n">
        <v>0.0142</v>
      </c>
      <c r="R182" s="8" t="n">
        <v>36.227108</v>
      </c>
      <c r="S182" s="4" t="inlineStr"/>
      <c r="T182" s="9" t="inlineStr">
        <is>
          <t>SI</t>
        </is>
      </c>
      <c r="U182" s="9" t="inlineStr"/>
      <c r="V182" s="10">
        <f>Umbrales!$B$9*(K182/1000)^Umbrales!$B$10</f>
        <v/>
      </c>
    </row>
    <row r="183">
      <c r="A183" s="4" t="inlineStr">
        <is>
          <t>DDOG</t>
        </is>
      </c>
      <c r="B183" s="4" t="inlineStr">
        <is>
          <t>Datadog, Inc.</t>
        </is>
      </c>
      <c r="C183" s="4" t="inlineStr">
        <is>
          <t>United States</t>
        </is>
      </c>
      <c r="D183" s="4" t="inlineStr">
        <is>
          <t>US</t>
        </is>
      </c>
      <c r="E183" s="4" t="inlineStr">
        <is>
          <t>Tecnología</t>
        </is>
      </c>
      <c r="F183" s="4" t="inlineStr">
        <is>
          <t>Software - Application</t>
        </is>
      </c>
      <c r="G183" s="4" t="inlineStr">
        <is>
          <t>NMS</t>
        </is>
      </c>
      <c r="H183" s="4" t="inlineStr">
        <is>
          <t>USD</t>
        </is>
      </c>
      <c r="I183" s="5" t="n">
        <v>96709.664768</v>
      </c>
      <c r="J183" s="6">
        <f>INDEX(FX!$B:$B,MATCH(H183,FX!$A:$A,0))</f>
        <v/>
      </c>
      <c r="K183" s="5">
        <f>I183*J183</f>
        <v/>
      </c>
      <c r="L183" s="4">
        <f>IF(U183&lt;&gt;"",U183,IF(K183&gt;=Umbrales!$B$2,"Legendaria",IF(K183&gt;=Umbrales!$B$3,"Épica",IF(K183&gt;=Umbrales!$B$4,"Rara",IF(K183&gt;=Umbrales!$B$5,"Poco común","Común")))))</f>
        <v/>
      </c>
      <c r="M183" s="5" t="n">
        <v>3966.72512</v>
      </c>
      <c r="N183" s="5" t="n">
        <v>177.584</v>
      </c>
      <c r="O183" s="5">
        <f>IF(M183="","",M183*J183)</f>
        <v/>
      </c>
      <c r="P183" s="5">
        <f>IF(N183="","",N183*J183)</f>
        <v/>
      </c>
      <c r="Q183" s="7" t="n">
        <v>0</v>
      </c>
      <c r="R183" s="8" t="n">
        <v>561.1041</v>
      </c>
      <c r="S183" s="4" t="inlineStr">
        <is>
          <t>NASDAQ100</t>
        </is>
      </c>
      <c r="T183" s="9" t="inlineStr">
        <is>
          <t>SI</t>
        </is>
      </c>
      <c r="U183" s="9" t="inlineStr"/>
      <c r="V183" s="10">
        <f>Umbrales!$B$9*(K183/1000)^Umbrales!$B$10</f>
        <v/>
      </c>
    </row>
    <row r="184">
      <c r="A184" s="4" t="inlineStr">
        <is>
          <t>INGA.AS</t>
        </is>
      </c>
      <c r="B184" s="4" t="inlineStr">
        <is>
          <t>ING Groep N.V.</t>
        </is>
      </c>
      <c r="C184" s="4" t="inlineStr">
        <is>
          <t>Netherlands</t>
        </is>
      </c>
      <c r="D184" s="4" t="inlineStr">
        <is>
          <t>NL</t>
        </is>
      </c>
      <c r="E184" s="4" t="inlineStr">
        <is>
          <t>Finanzas</t>
        </is>
      </c>
      <c r="F184" s="4" t="inlineStr">
        <is>
          <t>Banks - Diversified</t>
        </is>
      </c>
      <c r="G184" s="4" t="inlineStr">
        <is>
          <t>AMS</t>
        </is>
      </c>
      <c r="H184" s="4" t="inlineStr">
        <is>
          <t>EUR</t>
        </is>
      </c>
      <c r="I184" s="5" t="n">
        <v>83561.701376</v>
      </c>
      <c r="J184" s="6">
        <f>INDEX(FX!$B:$B,MATCH(H184,FX!$A:$A,0))</f>
        <v/>
      </c>
      <c r="K184" s="5">
        <f>I184*J184</f>
        <v/>
      </c>
      <c r="L184" s="4">
        <f>IF(U184&lt;&gt;"",U184,IF(K184&gt;=Umbrales!$B$2,"Legendaria",IF(K184&gt;=Umbrales!$B$3,"Épica",IF(K184&gt;=Umbrales!$B$4,"Rara",IF(K184&gt;=Umbrales!$B$5,"Poco común","Común")))))</f>
        <v/>
      </c>
      <c r="M184" s="5" t="n">
        <v>25213.999104</v>
      </c>
      <c r="N184" s="5" t="n">
        <v>8696.999936</v>
      </c>
      <c r="O184" s="5">
        <f>IF(M184="","",M184*J184)</f>
        <v/>
      </c>
      <c r="P184" s="5">
        <f>IF(N184="","",N184*J184)</f>
        <v/>
      </c>
      <c r="Q184" s="7" t="n">
        <v>0.0377</v>
      </c>
      <c r="R184" s="8" t="n">
        <v>12.912663</v>
      </c>
      <c r="S184" s="4" t="inlineStr">
        <is>
          <t>EUROSTOXX50</t>
        </is>
      </c>
      <c r="T184" s="9" t="inlineStr">
        <is>
          <t>SI</t>
        </is>
      </c>
      <c r="U184" s="9" t="inlineStr"/>
      <c r="V184" s="10">
        <f>Umbrales!$B$9*(K184/1000)^Umbrales!$B$10</f>
        <v/>
      </c>
    </row>
    <row r="185">
      <c r="A185" s="4" t="inlineStr">
        <is>
          <t>ADBE</t>
        </is>
      </c>
      <c r="B185" s="4" t="inlineStr">
        <is>
          <t>Adobe Inc.</t>
        </is>
      </c>
      <c r="C185" s="4" t="inlineStr">
        <is>
          <t>United States</t>
        </is>
      </c>
      <c r="D185" s="4" t="inlineStr">
        <is>
          <t>US</t>
        </is>
      </c>
      <c r="E185" s="4" t="inlineStr">
        <is>
          <t>Tecnología</t>
        </is>
      </c>
      <c r="F185" s="4" t="inlineStr">
        <is>
          <t>Software - Application</t>
        </is>
      </c>
      <c r="G185" s="4" t="inlineStr">
        <is>
          <t>NMS</t>
        </is>
      </c>
      <c r="H185" s="4" t="inlineStr">
        <is>
          <t>USD</t>
        </is>
      </c>
      <c r="I185" s="5" t="n">
        <v>93672.6528</v>
      </c>
      <c r="J185" s="6">
        <f>INDEX(FX!$B:$B,MATCH(H185,FX!$A:$A,0))</f>
        <v/>
      </c>
      <c r="K185" s="5">
        <f>I185*J185</f>
        <v/>
      </c>
      <c r="L185" s="4">
        <f>IF(U185&lt;&gt;"",U185,IF(K185&gt;=Umbrales!$B$2,"Legendaria",IF(K185&gt;=Umbrales!$B$3,"Épica",IF(K185&gt;=Umbrales!$B$4,"Rara",IF(K185&gt;=Umbrales!$B$5,"Poco común","Común")))))</f>
        <v/>
      </c>
      <c r="M185" s="5" t="n">
        <v>25969.999872</v>
      </c>
      <c r="N185" s="5" t="n">
        <v>7283.999744</v>
      </c>
      <c r="O185" s="5">
        <f>IF(M185="","",M185*J185)</f>
        <v/>
      </c>
      <c r="P185" s="5">
        <f>IF(N185="","",N185*J185)</f>
        <v/>
      </c>
      <c r="Q185" s="7" t="n">
        <v>0</v>
      </c>
      <c r="R185" s="8" t="n">
        <v>13.195175</v>
      </c>
      <c r="S185" s="4" t="inlineStr">
        <is>
          <t>NASDAQ100</t>
        </is>
      </c>
      <c r="T185" s="9" t="inlineStr">
        <is>
          <t>SI</t>
        </is>
      </c>
      <c r="U185" s="9" t="inlineStr"/>
      <c r="V185" s="10">
        <f>Umbrales!$B$9*(K185/1000)^Umbrales!$B$10</f>
        <v/>
      </c>
    </row>
    <row r="186">
      <c r="A186" s="4" t="inlineStr">
        <is>
          <t>DUK</t>
        </is>
      </c>
      <c r="B186" s="4" t="inlineStr">
        <is>
          <t>Duke Energy Corporation</t>
        </is>
      </c>
      <c r="C186" s="4" t="inlineStr">
        <is>
          <t>United States</t>
        </is>
      </c>
      <c r="D186" s="4" t="inlineStr">
        <is>
          <t>US</t>
        </is>
      </c>
      <c r="E186" s="4" t="inlineStr">
        <is>
          <t>Servicios públicos</t>
        </is>
      </c>
      <c r="F186" s="4" t="inlineStr">
        <is>
          <t>Utilities - Regulated Electric</t>
        </is>
      </c>
      <c r="G186" s="4" t="inlineStr">
        <is>
          <t>NYQ</t>
        </is>
      </c>
      <c r="H186" s="4" t="inlineStr">
        <is>
          <t>USD</t>
        </is>
      </c>
      <c r="I186" s="5" t="n">
        <v>93283.57376</v>
      </c>
      <c r="J186" s="6">
        <f>INDEX(FX!$B:$B,MATCH(H186,FX!$A:$A,0))</f>
        <v/>
      </c>
      <c r="K186" s="5">
        <f>I186*J186</f>
        <v/>
      </c>
      <c r="L186" s="4">
        <f>IF(U186&lt;&gt;"",U186,IF(K186&gt;=Umbrales!$B$2,"Legendaria",IF(K186&gt;=Umbrales!$B$3,"Épica",IF(K186&gt;=Umbrales!$B$4,"Rara",IF(K186&gt;=Umbrales!$B$5,"Poco común","Común")))))</f>
        <v/>
      </c>
      <c r="M186" s="5" t="n">
        <v>32803.00032</v>
      </c>
      <c r="N186" s="5" t="n">
        <v>5168</v>
      </c>
      <c r="O186" s="5">
        <f>IF(M186="","",M186*J186)</f>
        <v/>
      </c>
      <c r="P186" s="5">
        <f>IF(N186="","",N186*J186)</f>
        <v/>
      </c>
      <c r="Q186" s="7" t="n">
        <v>0.0367</v>
      </c>
      <c r="R186" s="8" t="n">
        <v>18.018072</v>
      </c>
      <c r="S186" s="4" t="inlineStr"/>
      <c r="T186" s="9" t="inlineStr">
        <is>
          <t>SI</t>
        </is>
      </c>
      <c r="U186" s="9" t="inlineStr"/>
      <c r="V186" s="10">
        <f>Umbrales!$B$9*(K186/1000)^Umbrales!$B$10</f>
        <v/>
      </c>
    </row>
    <row r="187">
      <c r="A187" s="4" t="inlineStr">
        <is>
          <t>MELI</t>
        </is>
      </c>
      <c r="B187" s="4" t="inlineStr">
        <is>
          <t>MercadoLibre, Inc.</t>
        </is>
      </c>
      <c r="C187" s="4" t="inlineStr">
        <is>
          <t>Uruguay</t>
        </is>
      </c>
      <c r="D187" s="4" t="inlineStr">
        <is>
          <t>UY</t>
        </is>
      </c>
      <c r="E187" s="4" t="inlineStr">
        <is>
          <t>Consumo cíclico</t>
        </is>
      </c>
      <c r="F187" s="4" t="inlineStr">
        <is>
          <t>Internet Retail</t>
        </is>
      </c>
      <c r="G187" s="4" t="inlineStr">
        <is>
          <t>NMS</t>
        </is>
      </c>
      <c r="H187" s="4" t="inlineStr">
        <is>
          <t>USD</t>
        </is>
      </c>
      <c r="I187" s="5" t="n">
        <v>93236.99404799999</v>
      </c>
      <c r="J187" s="6">
        <f>INDEX(FX!$B:$B,MATCH(H187,FX!$A:$A,0))</f>
        <v/>
      </c>
      <c r="K187" s="5">
        <f>I187*J187</f>
        <v/>
      </c>
      <c r="L187" s="4">
        <f>IF(U187&lt;&gt;"",U187,IF(K187&gt;=Umbrales!$B$2,"Legendaria",IF(K187&gt;=Umbrales!$B$3,"Épica",IF(K187&gt;=Umbrales!$B$4,"Rara",IF(K187&gt;=Umbrales!$B$5,"Poco común","Común")))))</f>
        <v/>
      </c>
      <c r="M187" s="5" t="n">
        <v>35181.99808</v>
      </c>
      <c r="N187" s="5" t="n">
        <v>1863.000064</v>
      </c>
      <c r="O187" s="5">
        <f>IF(M187="","",M187*J187)</f>
        <v/>
      </c>
      <c r="P187" s="5">
        <f>IF(N187="","",N187*J187)</f>
        <v/>
      </c>
      <c r="Q187" s="7" t="n">
        <v>0</v>
      </c>
      <c r="R187" s="8" t="n">
        <v>50.01659</v>
      </c>
      <c r="S187" s="4" t="inlineStr">
        <is>
          <t>NASDAQ100</t>
        </is>
      </c>
      <c r="T187" s="9" t="inlineStr">
        <is>
          <t>SI</t>
        </is>
      </c>
      <c r="U187" s="9" t="inlineStr"/>
      <c r="V187" s="10">
        <f>Umbrales!$B$9*(K187/1000)^Umbrales!$B$10</f>
        <v/>
      </c>
    </row>
    <row r="188">
      <c r="A188" s="4" t="inlineStr">
        <is>
          <t>ELV</t>
        </is>
      </c>
      <c r="B188" s="4" t="inlineStr">
        <is>
          <t>Elevance Health, Inc.</t>
        </is>
      </c>
      <c r="C188" s="4" t="inlineStr">
        <is>
          <t>United States</t>
        </is>
      </c>
      <c r="D188" s="4" t="inlineStr">
        <is>
          <t>US</t>
        </is>
      </c>
      <c r="E188" s="4" t="inlineStr">
        <is>
          <t>Salud</t>
        </is>
      </c>
      <c r="F188" s="4" t="inlineStr">
        <is>
          <t>Healthcare Plans</t>
        </is>
      </c>
      <c r="G188" s="4" t="inlineStr">
        <is>
          <t>NYQ</t>
        </is>
      </c>
      <c r="H188" s="4" t="inlineStr">
        <is>
          <t>USD</t>
        </is>
      </c>
      <c r="I188" s="5" t="n">
        <v>92839.57555199999</v>
      </c>
      <c r="J188" s="6">
        <f>INDEX(FX!$B:$B,MATCH(H188,FX!$A:$A,0))</f>
        <v/>
      </c>
      <c r="K188" s="5">
        <f>I188*J188</f>
        <v/>
      </c>
      <c r="L188" s="4">
        <f>IF(U188&lt;&gt;"",U188,IF(K188&gt;=Umbrales!$B$2,"Legendaria",IF(K188&gt;=Umbrales!$B$3,"Épica",IF(K188&gt;=Umbrales!$B$4,"Rara",IF(K188&gt;=Umbrales!$B$5,"Poco común","Común")))))</f>
        <v/>
      </c>
      <c r="M188" s="5" t="n">
        <v>201113.993216</v>
      </c>
      <c r="N188" s="5" t="n">
        <v>4962.999808</v>
      </c>
      <c r="O188" s="5">
        <f>IF(M188="","",M188*J188)</f>
        <v/>
      </c>
      <c r="P188" s="5">
        <f>IF(N188="","",N188*J188)</f>
        <v/>
      </c>
      <c r="Q188" s="7" t="n">
        <v>0.0162</v>
      </c>
      <c r="R188" s="8" t="n">
        <v>18.825418</v>
      </c>
      <c r="S188" s="4" t="inlineStr"/>
      <c r="T188" s="9" t="inlineStr">
        <is>
          <t>SI</t>
        </is>
      </c>
      <c r="U188" s="9" t="inlineStr"/>
      <c r="V188" s="10">
        <f>Umbrales!$B$9*(K188/1000)^Umbrales!$B$10</f>
        <v/>
      </c>
    </row>
    <row r="189">
      <c r="A189" s="4" t="inlineStr">
        <is>
          <t>CABK.MC</t>
        </is>
      </c>
      <c r="B189" s="4" t="inlineStr">
        <is>
          <t>CaixaBank, S.A.</t>
        </is>
      </c>
      <c r="C189" s="4" t="inlineStr">
        <is>
          <t>Spain</t>
        </is>
      </c>
      <c r="D189" s="4" t="inlineStr">
        <is>
          <t>ES</t>
        </is>
      </c>
      <c r="E189" s="4" t="inlineStr">
        <is>
          <t>Finanzas</t>
        </is>
      </c>
      <c r="F189" s="4" t="inlineStr">
        <is>
          <t>Banks - Regional</t>
        </is>
      </c>
      <c r="G189" s="4" t="inlineStr">
        <is>
          <t>MCE</t>
        </is>
      </c>
      <c r="H189" s="4" t="inlineStr">
        <is>
          <t>EUR</t>
        </is>
      </c>
      <c r="I189" s="5" t="n">
        <v>82355.093504</v>
      </c>
      <c r="J189" s="6">
        <f>INDEX(FX!$B:$B,MATCH(H189,FX!$A:$A,0))</f>
        <v/>
      </c>
      <c r="K189" s="5">
        <f>I189*J189</f>
        <v/>
      </c>
      <c r="L189" s="4">
        <f>IF(U189&lt;&gt;"",U189,IF(K189&gt;=Umbrales!$B$2,"Legendaria",IF(K189&gt;=Umbrales!$B$3,"Épica",IF(K189&gt;=Umbrales!$B$4,"Rara",IF(K189&gt;=Umbrales!$B$5,"Poco común","Común")))))</f>
        <v/>
      </c>
      <c r="M189" s="5" t="n">
        <v>15733.999616</v>
      </c>
      <c r="N189" s="5" t="n">
        <v>5855.000064</v>
      </c>
      <c r="O189" s="5">
        <f>IF(M189="","",M189*J189)</f>
        <v/>
      </c>
      <c r="P189" s="5">
        <f>IF(N189="","",N189*J189)</f>
        <v/>
      </c>
      <c r="Q189" s="7" t="n">
        <v>0.042</v>
      </c>
      <c r="R189" s="8" t="n">
        <v>13.790697</v>
      </c>
      <c r="S189" s="4" t="inlineStr">
        <is>
          <t>IBEX35</t>
        </is>
      </c>
      <c r="T189" s="9" t="inlineStr">
        <is>
          <t>SI</t>
        </is>
      </c>
      <c r="U189" s="9" t="inlineStr"/>
      <c r="V189" s="10">
        <f>Umbrales!$B$9*(K189/1000)^Umbrales!$B$10</f>
        <v/>
      </c>
    </row>
    <row r="190">
      <c r="A190" s="4" t="inlineStr">
        <is>
          <t>SNPS</t>
        </is>
      </c>
      <c r="B190" s="4" t="inlineStr">
        <is>
          <t>Synopsys, Inc.</t>
        </is>
      </c>
      <c r="C190" s="4" t="inlineStr">
        <is>
          <t>United States</t>
        </is>
      </c>
      <c r="D190" s="4" t="inlineStr">
        <is>
          <t>US</t>
        </is>
      </c>
      <c r="E190" s="4" t="inlineStr">
        <is>
          <t>Tecnología</t>
        </is>
      </c>
      <c r="F190" s="4" t="inlineStr">
        <is>
          <t>Software - Infrastructure</t>
        </is>
      </c>
      <c r="G190" s="4" t="inlineStr">
        <is>
          <t>NMS</t>
        </is>
      </c>
      <c r="H190" s="4" t="inlineStr">
        <is>
          <t>USD</t>
        </is>
      </c>
      <c r="I190" s="5" t="n">
        <v>91972.173824</v>
      </c>
      <c r="J190" s="6">
        <f>INDEX(FX!$B:$B,MATCH(H190,FX!$A:$A,0))</f>
        <v/>
      </c>
      <c r="K190" s="5">
        <f>I190*J190</f>
        <v/>
      </c>
      <c r="L190" s="4">
        <f>IF(U190&lt;&gt;"",U190,IF(K190&gt;=Umbrales!$B$2,"Legendaria",IF(K190&gt;=Umbrales!$B$3,"Épica",IF(K190&gt;=Umbrales!$B$4,"Rara",IF(K190&gt;=Umbrales!$B$5,"Poco común","Común")))))</f>
        <v/>
      </c>
      <c r="M190" s="5" t="n">
        <v>9416.465408</v>
      </c>
      <c r="N190" s="5" t="n">
        <v>1076.558976</v>
      </c>
      <c r="O190" s="5">
        <f>IF(M190="","",M190*J190)</f>
        <v/>
      </c>
      <c r="P190" s="5">
        <f>IF(N190="","",N190*J190)</f>
        <v/>
      </c>
      <c r="Q190" s="7" t="n">
        <v>0</v>
      </c>
      <c r="R190" s="8" t="n">
        <v>87.41894499999999</v>
      </c>
      <c r="S190" s="4" t="inlineStr">
        <is>
          <t>NASDAQ100</t>
        </is>
      </c>
      <c r="T190" s="9" t="inlineStr">
        <is>
          <t>SI</t>
        </is>
      </c>
      <c r="U190" s="9" t="inlineStr"/>
      <c r="V190" s="10">
        <f>Umbrales!$B$9*(K190/1000)^Umbrales!$B$10</f>
        <v/>
      </c>
    </row>
    <row r="191">
      <c r="A191" s="4" t="inlineStr">
        <is>
          <t>CDNS</t>
        </is>
      </c>
      <c r="B191" s="4" t="inlineStr">
        <is>
          <t>Cadence Design Systems, Inc.</t>
        </is>
      </c>
      <c r="C191" s="4" t="inlineStr">
        <is>
          <t>United States</t>
        </is>
      </c>
      <c r="D191" s="4" t="inlineStr">
        <is>
          <t>US</t>
        </is>
      </c>
      <c r="E191" s="4" t="inlineStr">
        <is>
          <t>Tecnología</t>
        </is>
      </c>
      <c r="F191" s="4" t="inlineStr">
        <is>
          <t>Software - Application</t>
        </is>
      </c>
      <c r="G191" s="4" t="inlineStr">
        <is>
          <t>NMS</t>
        </is>
      </c>
      <c r="H191" s="4" t="inlineStr">
        <is>
          <t>USD</t>
        </is>
      </c>
      <c r="I191" s="5" t="n">
        <v>90870.33344</v>
      </c>
      <c r="J191" s="6">
        <f>INDEX(FX!$B:$B,MATCH(H191,FX!$A:$A,0))</f>
        <v/>
      </c>
      <c r="K191" s="5">
        <f>I191*J191</f>
        <v/>
      </c>
      <c r="L191" s="4">
        <f>IF(U191&lt;&gt;"",U191,IF(K191&gt;=Umbrales!$B$2,"Legendaria",IF(K191&gt;=Umbrales!$B$3,"Épica",IF(K191&gt;=Umbrales!$B$4,"Rara",IF(K191&gt;=Umbrales!$B$5,"Poco común","Común")))))</f>
        <v/>
      </c>
      <c r="M191" s="5" t="n">
        <v>5837.622784</v>
      </c>
      <c r="N191" s="5" t="n">
        <v>1377.993984</v>
      </c>
      <c r="O191" s="5">
        <f>IF(M191="","",M191*J191)</f>
        <v/>
      </c>
      <c r="P191" s="5">
        <f>IF(N191="","",N191*J191)</f>
        <v/>
      </c>
      <c r="Q191" s="7" t="n">
        <v>0</v>
      </c>
      <c r="R191" s="8" t="n">
        <v>66.42338599999999</v>
      </c>
      <c r="S191" s="4" t="inlineStr">
        <is>
          <t>NASDAQ100</t>
        </is>
      </c>
      <c r="T191" s="9" t="inlineStr">
        <is>
          <t>SI</t>
        </is>
      </c>
      <c r="U191" s="9" t="inlineStr"/>
      <c r="V191" s="10">
        <f>Umbrales!$B$9*(K191/1000)^Umbrales!$B$10</f>
        <v/>
      </c>
    </row>
    <row r="192">
      <c r="A192" s="4" t="inlineStr">
        <is>
          <t>GD</t>
        </is>
      </c>
      <c r="B192" s="4" t="inlineStr">
        <is>
          <t>General Dynamics Corporation</t>
        </is>
      </c>
      <c r="C192" s="4" t="inlineStr">
        <is>
          <t>United States</t>
        </is>
      </c>
      <c r="D192" s="4" t="inlineStr">
        <is>
          <t>US</t>
        </is>
      </c>
      <c r="E192" s="4" t="inlineStr">
        <is>
          <t>Industria</t>
        </is>
      </c>
      <c r="F192" s="4" t="inlineStr">
        <is>
          <t>Aerospace &amp; Defense</t>
        </is>
      </c>
      <c r="G192" s="4" t="inlineStr">
        <is>
          <t>NYQ</t>
        </is>
      </c>
      <c r="H192" s="4" t="inlineStr">
        <is>
          <t>USD</t>
        </is>
      </c>
      <c r="I192" s="5" t="n">
        <v>90544.668672</v>
      </c>
      <c r="J192" s="6">
        <f>INDEX(FX!$B:$B,MATCH(H192,FX!$A:$A,0))</f>
        <v/>
      </c>
      <c r="K192" s="5">
        <f>I192*J192</f>
        <v/>
      </c>
      <c r="L192" s="4">
        <f>IF(U192&lt;&gt;"",U192,IF(K192&gt;=Umbrales!$B$2,"Legendaria",IF(K192&gt;=Umbrales!$B$3,"Épica",IF(K192&gt;=Umbrales!$B$4,"Rara",IF(K192&gt;=Umbrales!$B$5,"Poco común","Común")))))</f>
        <v/>
      </c>
      <c r="M192" s="5" t="n">
        <v>54861.000704</v>
      </c>
      <c r="N192" s="5" t="n">
        <v>4487.000064</v>
      </c>
      <c r="O192" s="5">
        <f>IF(M192="","",M192*J192)</f>
        <v/>
      </c>
      <c r="P192" s="5">
        <f>IF(N192="","",N192*J192)</f>
        <v/>
      </c>
      <c r="Q192" s="7" t="n">
        <v>0.0191</v>
      </c>
      <c r="R192" s="8" t="n">
        <v>20.282425</v>
      </c>
      <c r="S192" s="4" t="inlineStr"/>
      <c r="T192" s="9" t="inlineStr">
        <is>
          <t>SI</t>
        </is>
      </c>
      <c r="U192" s="9" t="inlineStr"/>
      <c r="V192" s="10">
        <f>Umbrales!$B$9*(K192/1000)^Umbrales!$B$10</f>
        <v/>
      </c>
    </row>
    <row r="193">
      <c r="A193" s="4" t="inlineStr">
        <is>
          <t>EMR</t>
        </is>
      </c>
      <c r="B193" s="4" t="inlineStr">
        <is>
          <t>Emerson Electric Co.</t>
        </is>
      </c>
      <c r="C193" s="4" t="inlineStr">
        <is>
          <t>United States</t>
        </is>
      </c>
      <c r="D193" s="4" t="inlineStr">
        <is>
          <t>US</t>
        </is>
      </c>
      <c r="E193" s="4" t="inlineStr">
        <is>
          <t>Industria</t>
        </is>
      </c>
      <c r="F193" s="4" t="inlineStr">
        <is>
          <t>Specialty Industrial Machinery</t>
        </is>
      </c>
      <c r="G193" s="4" t="inlineStr">
        <is>
          <t>NYQ</t>
        </is>
      </c>
      <c r="H193" s="4" t="inlineStr">
        <is>
          <t>USD</t>
        </is>
      </c>
      <c r="I193" s="5" t="n">
        <v>90220.904448</v>
      </c>
      <c r="J193" s="6">
        <f>INDEX(FX!$B:$B,MATCH(H193,FX!$A:$A,0))</f>
        <v/>
      </c>
      <c r="K193" s="5">
        <f>I193*J193</f>
        <v/>
      </c>
      <c r="L193" s="4">
        <f>IF(U193&lt;&gt;"",U193,IF(K193&gt;=Umbrales!$B$2,"Legendaria",IF(K193&gt;=Umbrales!$B$3,"Épica",IF(K193&gt;=Umbrales!$B$4,"Rara",IF(K193&gt;=Umbrales!$B$5,"Poco común","Común")))))</f>
        <v/>
      </c>
      <c r="M193" s="5" t="n">
        <v>18635.999232</v>
      </c>
      <c r="N193" s="5" t="n">
        <v>2576</v>
      </c>
      <c r="O193" s="5">
        <f>IF(M193="","",M193*J193)</f>
        <v/>
      </c>
      <c r="P193" s="5">
        <f>IF(N193="","",N193*J193)</f>
        <v/>
      </c>
      <c r="Q193" s="7" t="n">
        <v>0.0136</v>
      </c>
      <c r="R193" s="8" t="n">
        <v>35.795555</v>
      </c>
      <c r="S193" s="4" t="inlineStr"/>
      <c r="T193" s="9" t="inlineStr">
        <is>
          <t>SI</t>
        </is>
      </c>
      <c r="U193" s="9" t="inlineStr"/>
      <c r="V193" s="10">
        <f>Umbrales!$B$9*(K193/1000)^Umbrales!$B$10</f>
        <v/>
      </c>
    </row>
    <row r="194">
      <c r="A194" s="4" t="inlineStr">
        <is>
          <t>TCS.NS</t>
        </is>
      </c>
      <c r="B194" s="4" t="inlineStr">
        <is>
          <t>Tata Consultancy Services Limited</t>
        </is>
      </c>
      <c r="C194" s="4" t="inlineStr">
        <is>
          <t>India</t>
        </is>
      </c>
      <c r="D194" s="4" t="inlineStr">
        <is>
          <t>IN</t>
        </is>
      </c>
      <c r="E194" s="4" t="inlineStr">
        <is>
          <t>Tecnología</t>
        </is>
      </c>
      <c r="F194" s="4" t="inlineStr">
        <is>
          <t>Information Technology Services</t>
        </is>
      </c>
      <c r="G194" s="4" t="inlineStr">
        <is>
          <t>NSI</t>
        </is>
      </c>
      <c r="H194" s="4" t="inlineStr">
        <is>
          <t>INR</t>
        </is>
      </c>
      <c r="I194" s="5" t="n">
        <v>8538686.488576001</v>
      </c>
      <c r="J194" s="6">
        <f>INDEX(FX!$B:$B,MATCH(H194,FX!$A:$A,0))</f>
        <v/>
      </c>
      <c r="K194" s="5">
        <f>I194*J194</f>
        <v/>
      </c>
      <c r="L194" s="4">
        <f>IF(U194&lt;&gt;"",U194,IF(K194&gt;=Umbrales!$B$2,"Legendaria",IF(K194&gt;=Umbrales!$B$3,"Épica",IF(K194&gt;=Umbrales!$B$4,"Rara",IF(K194&gt;=Umbrales!$B$5,"Poco común","Común")))))</f>
        <v/>
      </c>
      <c r="M194" s="5" t="n">
        <v>2832480.075776</v>
      </c>
      <c r="N194" s="5" t="n">
        <v>516080.009216</v>
      </c>
      <c r="O194" s="5">
        <f>IF(M194="","",M194*J194)</f>
        <v/>
      </c>
      <c r="P194" s="5">
        <f>IF(N194="","",N194*J194)</f>
        <v/>
      </c>
      <c r="Q194" s="7" t="n">
        <v>0.0208</v>
      </c>
      <c r="R194" s="8" t="n">
        <v>16.54283</v>
      </c>
      <c r="S194" s="4" t="inlineStr">
        <is>
          <t>ASIA_TOP</t>
        </is>
      </c>
      <c r="T194" s="9" t="inlineStr">
        <is>
          <t>SI</t>
        </is>
      </c>
      <c r="U194" s="9" t="inlineStr"/>
      <c r="V194" s="10">
        <f>Umbrales!$B$9*(K194/1000)^Umbrales!$B$10</f>
        <v/>
      </c>
    </row>
    <row r="195">
      <c r="A195" s="4" t="inlineStr">
        <is>
          <t>CSX</t>
        </is>
      </c>
      <c r="B195" s="4" t="inlineStr">
        <is>
          <t>CSX Corporation</t>
        </is>
      </c>
      <c r="C195" s="4" t="inlineStr">
        <is>
          <t>United States</t>
        </is>
      </c>
      <c r="D195" s="4" t="inlineStr">
        <is>
          <t>US</t>
        </is>
      </c>
      <c r="E195" s="4" t="inlineStr">
        <is>
          <t>Industria</t>
        </is>
      </c>
      <c r="F195" s="4" t="inlineStr">
        <is>
          <t>Railroads</t>
        </is>
      </c>
      <c r="G195" s="4" t="inlineStr">
        <is>
          <t>NMS</t>
        </is>
      </c>
      <c r="H195" s="4" t="inlineStr">
        <is>
          <t>USD</t>
        </is>
      </c>
      <c r="I195" s="5" t="n">
        <v>89437.487104</v>
      </c>
      <c r="J195" s="6">
        <f>INDEX(FX!$B:$B,MATCH(H195,FX!$A:$A,0))</f>
        <v/>
      </c>
      <c r="K195" s="5">
        <f>I195*J195</f>
        <v/>
      </c>
      <c r="L195" s="4">
        <f>IF(U195&lt;&gt;"",U195,IF(K195&gt;=Umbrales!$B$2,"Legendaria",IF(K195&gt;=Umbrales!$B$3,"Épica",IF(K195&gt;=Umbrales!$B$4,"Rara",IF(K195&gt;=Umbrales!$B$5,"Poco común","Común")))))</f>
        <v/>
      </c>
      <c r="M195" s="5" t="n">
        <v>14512</v>
      </c>
      <c r="N195" s="5" t="n">
        <v>3223.000064</v>
      </c>
      <c r="O195" s="5">
        <f>IF(M195="","",M195*J195)</f>
        <v/>
      </c>
      <c r="P195" s="5">
        <f>IF(N195="","",N195*J195)</f>
        <v/>
      </c>
      <c r="Q195" s="7" t="n">
        <v>0.0117</v>
      </c>
      <c r="R195" s="8" t="n">
        <v>28.069767</v>
      </c>
      <c r="S195" s="4" t="inlineStr">
        <is>
          <t>NASDAQ100</t>
        </is>
      </c>
      <c r="T195" s="9" t="inlineStr">
        <is>
          <t>SI</t>
        </is>
      </c>
      <c r="U195" s="9" t="inlineStr"/>
      <c r="V195" s="10">
        <f>Umbrales!$B$9*(K195/1000)^Umbrales!$B$10</f>
        <v/>
      </c>
    </row>
    <row r="196">
      <c r="A196" s="4" t="inlineStr">
        <is>
          <t>1810.HK</t>
        </is>
      </c>
      <c r="B196" s="4" t="inlineStr">
        <is>
          <t>Xiaomi Corporation</t>
        </is>
      </c>
      <c r="C196" s="4" t="inlineStr">
        <is>
          <t>China</t>
        </is>
      </c>
      <c r="D196" s="4" t="inlineStr">
        <is>
          <t>CN</t>
        </is>
      </c>
      <c r="E196" s="4" t="inlineStr">
        <is>
          <t>Tecnología</t>
        </is>
      </c>
      <c r="F196" s="4" t="inlineStr">
        <is>
          <t>Consumer Electronics</t>
        </is>
      </c>
      <c r="G196" s="4" t="inlineStr">
        <is>
          <t>HKG</t>
        </is>
      </c>
      <c r="H196" s="4" t="inlineStr">
        <is>
          <t>HKD</t>
        </is>
      </c>
      <c r="I196" s="5" t="n">
        <v>697170.919424</v>
      </c>
      <c r="J196" s="6">
        <f>INDEX(FX!$B:$B,MATCH(H196,FX!$A:$A,0))</f>
        <v/>
      </c>
      <c r="K196" s="5">
        <f>I196*J196</f>
        <v/>
      </c>
      <c r="L196" s="4">
        <f>IF(U196&lt;&gt;"",U196,IF(K196&gt;=Umbrales!$B$2,"Legendaria",IF(K196&gt;=Umbrales!$B$3,"Épica",IF(K196&gt;=Umbrales!$B$4,"Rara",IF(K196&gt;=Umbrales!$B$5,"Poco común","Común")))))</f>
        <v/>
      </c>
      <c r="M196" s="5" t="n">
        <v>438100.492288</v>
      </c>
      <c r="N196" s="5" t="n">
        <v>33000.187904</v>
      </c>
      <c r="O196" s="5">
        <f>IF(M196="","",M196*J196)</f>
        <v/>
      </c>
      <c r="P196" s="5">
        <f>IF(N196="","",N196*J196)</f>
        <v/>
      </c>
      <c r="Q196" s="7" t="n">
        <v>0</v>
      </c>
      <c r="R196" s="8" t="n">
        <v>18.805555</v>
      </c>
      <c r="S196" s="4" t="inlineStr">
        <is>
          <t>ASIA_TOP</t>
        </is>
      </c>
      <c r="T196" s="9" t="inlineStr">
        <is>
          <t>SI</t>
        </is>
      </c>
      <c r="U196" s="9" t="inlineStr"/>
      <c r="V196" s="10">
        <f>Umbrales!$B$9*(K196/1000)^Umbrales!$B$10</f>
        <v/>
      </c>
    </row>
    <row r="197">
      <c r="A197" s="4" t="inlineStr">
        <is>
          <t>APP</t>
        </is>
      </c>
      <c r="B197" s="4" t="inlineStr">
        <is>
          <t>AppLovin Corporation</t>
        </is>
      </c>
      <c r="C197" s="4" t="inlineStr">
        <is>
          <t>United States</t>
        </is>
      </c>
      <c r="D197" s="4" t="inlineStr">
        <is>
          <t>US</t>
        </is>
      </c>
      <c r="E197" s="4" t="inlineStr">
        <is>
          <t>Comunicación</t>
        </is>
      </c>
      <c r="F197" s="4" t="inlineStr">
        <is>
          <t>Advertising Agencies</t>
        </is>
      </c>
      <c r="G197" s="4" t="inlineStr">
        <is>
          <t>NMS</t>
        </is>
      </c>
      <c r="H197" s="4" t="inlineStr">
        <is>
          <t>USD</t>
        </is>
      </c>
      <c r="I197" s="5" t="n">
        <v>87742.021632</v>
      </c>
      <c r="J197" s="6">
        <f>INDEX(FX!$B:$B,MATCH(H197,FX!$A:$A,0))</f>
        <v/>
      </c>
      <c r="K197" s="5">
        <f>I197*J197</f>
        <v/>
      </c>
      <c r="L197" s="4">
        <f>IF(U197&lt;&gt;"",U197,IF(K197&gt;=Umbrales!$B$2,"Legendaria",IF(K197&gt;=Umbrales!$B$3,"Épica",IF(K197&gt;=Umbrales!$B$4,"Rara",IF(K197&gt;=Umbrales!$B$5,"Poco común","Común")))))</f>
        <v/>
      </c>
      <c r="M197" s="5" t="n">
        <v>6829.124096</v>
      </c>
      <c r="N197" s="5" t="n">
        <v>4409.847808</v>
      </c>
      <c r="O197" s="5">
        <f>IF(M197="","",M197*J197)</f>
        <v/>
      </c>
      <c r="P197" s="5">
        <f>IF(N197="","",N197*J197)</f>
        <v/>
      </c>
      <c r="Q197" s="7" t="n">
        <v>0</v>
      </c>
      <c r="R197" s="8" t="n">
        <v>20.92498</v>
      </c>
      <c r="S197" s="4" t="inlineStr">
        <is>
          <t>NASDAQ100</t>
        </is>
      </c>
      <c r="T197" s="9" t="inlineStr">
        <is>
          <t>SI</t>
        </is>
      </c>
      <c r="U197" s="9" t="inlineStr"/>
      <c r="V197" s="10">
        <f>Umbrales!$B$9*(K197/1000)^Umbrales!$B$10</f>
        <v/>
      </c>
    </row>
    <row r="198">
      <c r="A198" s="4" t="inlineStr">
        <is>
          <t>USB</t>
        </is>
      </c>
      <c r="B198" s="4" t="inlineStr">
        <is>
          <t>U.S. Bancorp</t>
        </is>
      </c>
      <c r="C198" s="4" t="inlineStr">
        <is>
          <t>United States</t>
        </is>
      </c>
      <c r="D198" s="4" t="inlineStr">
        <is>
          <t>US</t>
        </is>
      </c>
      <c r="E198" s="4" t="inlineStr">
        <is>
          <t>Finanzas</t>
        </is>
      </c>
      <c r="F198" s="4" t="inlineStr">
        <is>
          <t>Banks - Regional</t>
        </is>
      </c>
      <c r="G198" s="4" t="inlineStr">
        <is>
          <t>NYQ</t>
        </is>
      </c>
      <c r="H198" s="4" t="inlineStr">
        <is>
          <t>USD</t>
        </is>
      </c>
      <c r="I198" s="5" t="n">
        <v>87655.972864</v>
      </c>
      <c r="J198" s="6">
        <f>INDEX(FX!$B:$B,MATCH(H198,FX!$A:$A,0))</f>
        <v/>
      </c>
      <c r="K198" s="5">
        <f>I198*J198</f>
        <v/>
      </c>
      <c r="L198" s="4">
        <f>IF(U198&lt;&gt;"",U198,IF(K198&gt;=Umbrales!$B$2,"Legendaria",IF(K198&gt;=Umbrales!$B$3,"Épica",IF(K198&gt;=Umbrales!$B$4,"Rara",IF(K198&gt;=Umbrales!$B$5,"Poco común","Común")))))</f>
        <v/>
      </c>
      <c r="M198" s="5" t="n">
        <v>27320.999936</v>
      </c>
      <c r="N198" s="5" t="n">
        <v>7797.000192</v>
      </c>
      <c r="O198" s="5">
        <f>IF(M198="","",M198*J198)</f>
        <v/>
      </c>
      <c r="P198" s="5">
        <f>IF(N198="","",N198*J198)</f>
        <v/>
      </c>
      <c r="Q198" s="7" t="n">
        <v>0.038</v>
      </c>
      <c r="R198" s="8" t="n">
        <v>11.365657</v>
      </c>
      <c r="S198" s="4" t="inlineStr"/>
      <c r="T198" s="9" t="inlineStr">
        <is>
          <t>SI</t>
        </is>
      </c>
      <c r="U198" s="9" t="inlineStr"/>
      <c r="V198" s="10">
        <f>Umbrales!$B$9*(K198/1000)^Umbrales!$B$10</f>
        <v/>
      </c>
    </row>
    <row r="199">
      <c r="A199" s="4" t="inlineStr">
        <is>
          <t>GLEN.L</t>
        </is>
      </c>
      <c r="B199" s="4" t="inlineStr">
        <is>
          <t>Glencore plc</t>
        </is>
      </c>
      <c r="C199" s="4" t="inlineStr">
        <is>
          <t>Switzerland</t>
        </is>
      </c>
      <c r="D199" s="4" t="inlineStr">
        <is>
          <t>CH</t>
        </is>
      </c>
      <c r="E199" s="4" t="inlineStr">
        <is>
          <t>Materiales</t>
        </is>
      </c>
      <c r="F199" s="4" t="inlineStr">
        <is>
          <t>Other Industrial Metals &amp; Mining</t>
        </is>
      </c>
      <c r="G199" s="4" t="inlineStr">
        <is>
          <t>LSE</t>
        </is>
      </c>
      <c r="H199" s="4" t="inlineStr">
        <is>
          <t>GBP</t>
        </is>
      </c>
      <c r="I199" s="5" t="n">
        <v>65908.789248</v>
      </c>
      <c r="J199" s="6">
        <f>INDEX(FX!$B:$B,MATCH(H199,FX!$A:$A,0))</f>
        <v/>
      </c>
      <c r="K199" s="5">
        <f>I199*J199</f>
        <v/>
      </c>
      <c r="L199" s="4">
        <f>IF(U199&lt;&gt;"",U199,IF(K199&gt;=Umbrales!$B$2,"Legendaria",IF(K199&gt;=Umbrales!$B$3,"Épica",IF(K199&gt;=Umbrales!$B$4,"Rara",IF(K199&gt;=Umbrales!$B$5,"Poco común","Común")))))</f>
        <v/>
      </c>
      <c r="M199" s="5" t="n">
        <v>304568.991744</v>
      </c>
      <c r="N199" s="5" t="n">
        <v>5423.000064</v>
      </c>
      <c r="O199" s="5">
        <f>IF(M199="","",M199*J199)</f>
        <v/>
      </c>
      <c r="P199" s="5">
        <f>IF(N199="","",N199*J199)</f>
        <v/>
      </c>
      <c r="Q199" s="7" t="n">
        <v>0.0216</v>
      </c>
      <c r="R199" s="8" t="n">
        <v>16.535295</v>
      </c>
      <c r="S199" s="4" t="inlineStr">
        <is>
          <t>UK_TOP</t>
        </is>
      </c>
      <c r="T199" s="9" t="inlineStr">
        <is>
          <t>SI</t>
        </is>
      </c>
      <c r="U199" s="9" t="inlineStr"/>
      <c r="V199" s="10">
        <f>Umbrales!$B$9*(K199/1000)^Umbrales!$B$10</f>
        <v/>
      </c>
    </row>
    <row r="200">
      <c r="A200" s="4" t="inlineStr">
        <is>
          <t>ICE</t>
        </is>
      </c>
      <c r="B200" s="4" t="inlineStr">
        <is>
          <t>Intercontinental Exchange, Inc.</t>
        </is>
      </c>
      <c r="C200" s="4" t="inlineStr">
        <is>
          <t>United States</t>
        </is>
      </c>
      <c r="D200" s="4" t="inlineStr">
        <is>
          <t>US</t>
        </is>
      </c>
      <c r="E200" s="4" t="inlineStr">
        <is>
          <t>Finanzas</t>
        </is>
      </c>
      <c r="F200" s="4" t="inlineStr">
        <is>
          <t>Financial Data &amp; Stock Exchanges</t>
        </is>
      </c>
      <c r="G200" s="4" t="inlineStr">
        <is>
          <t>NYQ</t>
        </is>
      </c>
      <c r="H200" s="4" t="inlineStr">
        <is>
          <t>USD</t>
        </is>
      </c>
      <c r="I200" s="5" t="n">
        <v>87077.90438399999</v>
      </c>
      <c r="J200" s="6">
        <f>INDEX(FX!$B:$B,MATCH(H200,FX!$A:$A,0))</f>
        <v/>
      </c>
      <c r="K200" s="5">
        <f>I200*J200</f>
        <v/>
      </c>
      <c r="L200" s="4">
        <f>IF(U200&lt;&gt;"",U200,IF(K200&gt;=Umbrales!$B$2,"Legendaria",IF(K200&gt;=Umbrales!$B$3,"Épica",IF(K200&gt;=Umbrales!$B$4,"Rara",IF(K200&gt;=Umbrales!$B$5,"Poco común","Común")))))</f>
        <v/>
      </c>
      <c r="M200" s="5" t="n">
        <v>10558.000128</v>
      </c>
      <c r="N200" s="5" t="n">
        <v>4038.000128</v>
      </c>
      <c r="O200" s="5">
        <f>IF(M200="","",M200*J200)</f>
        <v/>
      </c>
      <c r="P200" s="5">
        <f>IF(N200="","",N200*J200)</f>
        <v/>
      </c>
      <c r="Q200" s="7" t="n">
        <v>0.0133</v>
      </c>
      <c r="R200" s="8" t="n">
        <v>22.06401</v>
      </c>
      <c r="S200" s="4" t="inlineStr"/>
      <c r="T200" s="9" t="inlineStr">
        <is>
          <t>SI</t>
        </is>
      </c>
      <c r="U200" s="9" t="inlineStr"/>
      <c r="V200" s="10">
        <f>Umbrales!$B$9*(K200/1000)^Umbrales!$B$10</f>
        <v/>
      </c>
    </row>
    <row r="201">
      <c r="A201" s="4" t="inlineStr">
        <is>
          <t>MNST</t>
        </is>
      </c>
      <c r="B201" s="4" t="inlineStr">
        <is>
          <t>Monster Beverage Corporation</t>
        </is>
      </c>
      <c r="C201" s="4" t="inlineStr">
        <is>
          <t>United States</t>
        </is>
      </c>
      <c r="D201" s="4" t="inlineStr">
        <is>
          <t>US</t>
        </is>
      </c>
      <c r="E201" s="4" t="inlineStr">
        <is>
          <t>Consumo básico</t>
        </is>
      </c>
      <c r="F201" s="4" t="inlineStr">
        <is>
          <t>Beverages - Non-Alcoholic</t>
        </is>
      </c>
      <c r="G201" s="4" t="inlineStr">
        <is>
          <t>NMS</t>
        </is>
      </c>
      <c r="H201" s="4" t="inlineStr">
        <is>
          <t>USD</t>
        </is>
      </c>
      <c r="I201" s="5" t="n">
        <v>86629.269504</v>
      </c>
      <c r="J201" s="6">
        <f>INDEX(FX!$B:$B,MATCH(H201,FX!$A:$A,0))</f>
        <v/>
      </c>
      <c r="K201" s="5">
        <f>I201*J201</f>
        <v/>
      </c>
      <c r="L201" s="4">
        <f>IF(U201&lt;&gt;"",U201,IF(K201&gt;=Umbrales!$B$2,"Legendaria",IF(K201&gt;=Umbrales!$B$3,"Épica",IF(K201&gt;=Umbrales!$B$4,"Rara",IF(K201&gt;=Umbrales!$B$5,"Poco común","Común")))))</f>
        <v/>
      </c>
      <c r="M201" s="5" t="n">
        <v>9218.957312</v>
      </c>
      <c r="N201" s="5" t="n">
        <v>2127.670016</v>
      </c>
      <c r="O201" s="5">
        <f>IF(M201="","",M201*J201)</f>
        <v/>
      </c>
      <c r="P201" s="5">
        <f>IF(N201="","",N201*J201)</f>
        <v/>
      </c>
      <c r="Q201" s="7" t="n">
        <v>0</v>
      </c>
      <c r="R201" s="8" t="n">
        <v>40.944443</v>
      </c>
      <c r="S201" s="4" t="inlineStr">
        <is>
          <t>NASDAQ100</t>
        </is>
      </c>
      <c r="T201" s="9" t="inlineStr">
        <is>
          <t>SI</t>
        </is>
      </c>
      <c r="U201" s="9" t="inlineStr"/>
      <c r="V201" s="10">
        <f>Umbrales!$B$9*(K201/1000)^Umbrales!$B$10</f>
        <v/>
      </c>
    </row>
    <row r="202">
      <c r="A202" s="4" t="inlineStr">
        <is>
          <t>WM</t>
        </is>
      </c>
      <c r="B202" s="4" t="inlineStr">
        <is>
          <t>Waste Management, Inc.</t>
        </is>
      </c>
      <c r="C202" s="4" t="inlineStr">
        <is>
          <t>United States</t>
        </is>
      </c>
      <c r="D202" s="4" t="inlineStr">
        <is>
          <t>US</t>
        </is>
      </c>
      <c r="E202" s="4" t="inlineStr">
        <is>
          <t>Industria</t>
        </is>
      </c>
      <c r="F202" s="4" t="inlineStr">
        <is>
          <t>Waste Management</t>
        </is>
      </c>
      <c r="G202" s="4" t="inlineStr">
        <is>
          <t>NYQ</t>
        </is>
      </c>
      <c r="H202" s="4" t="inlineStr">
        <is>
          <t>USD</t>
        </is>
      </c>
      <c r="I202" s="5" t="n">
        <v>86238.552064</v>
      </c>
      <c r="J202" s="6">
        <f>INDEX(FX!$B:$B,MATCH(H202,FX!$A:$A,0))</f>
        <v/>
      </c>
      <c r="K202" s="5">
        <f>I202*J202</f>
        <v/>
      </c>
      <c r="L202" s="4">
        <f>IF(U202&lt;&gt;"",U202,IF(K202&gt;=Umbrales!$B$2,"Legendaria",IF(K202&gt;=Umbrales!$B$3,"Épica",IF(K202&gt;=Umbrales!$B$4,"Rara",IF(K202&gt;=Umbrales!$B$5,"Poco común","Común")))))</f>
        <v/>
      </c>
      <c r="M202" s="5" t="n">
        <v>25667.00032</v>
      </c>
      <c r="N202" s="5" t="n">
        <v>2852.999936</v>
      </c>
      <c r="O202" s="5">
        <f>IF(M202="","",M202*J202)</f>
        <v/>
      </c>
      <c r="P202" s="5">
        <f>IF(N202="","",N202*J202)</f>
        <v/>
      </c>
      <c r="Q202" s="7" t="n">
        <v>0.0178</v>
      </c>
      <c r="R202" s="8" t="n">
        <v>30.006954</v>
      </c>
      <c r="S202" s="4" t="inlineStr"/>
      <c r="T202" s="9" t="inlineStr">
        <is>
          <t>SI</t>
        </is>
      </c>
      <c r="U202" s="9" t="inlineStr"/>
      <c r="V202" s="10">
        <f>Umbrales!$B$9*(K202/1000)^Umbrales!$B$10</f>
        <v/>
      </c>
    </row>
    <row r="203">
      <c r="A203" s="4" t="inlineStr">
        <is>
          <t>PNC</t>
        </is>
      </c>
      <c r="B203" s="4" t="inlineStr">
        <is>
          <t>The PNC Financial Services Group, Inc.</t>
        </is>
      </c>
      <c r="C203" s="4" t="inlineStr">
        <is>
          <t>United States</t>
        </is>
      </c>
      <c r="D203" s="4" t="inlineStr">
        <is>
          <t>US</t>
        </is>
      </c>
      <c r="E203" s="4" t="inlineStr">
        <is>
          <t>Finanzas</t>
        </is>
      </c>
      <c r="F203" s="4" t="inlineStr">
        <is>
          <t>Banks - Regional</t>
        </is>
      </c>
      <c r="G203" s="4" t="inlineStr">
        <is>
          <t>NYQ</t>
        </is>
      </c>
      <c r="H203" s="4" t="inlineStr">
        <is>
          <t>USD</t>
        </is>
      </c>
      <c r="I203" s="5" t="n">
        <v>86092.046336</v>
      </c>
      <c r="J203" s="6">
        <f>INDEX(FX!$B:$B,MATCH(H203,FX!$A:$A,0))</f>
        <v/>
      </c>
      <c r="K203" s="5">
        <f>I203*J203</f>
        <v/>
      </c>
      <c r="L203" s="4">
        <f>IF(U203&lt;&gt;"",U203,IF(K203&gt;=Umbrales!$B$2,"Legendaria",IF(K203&gt;=Umbrales!$B$3,"Épica",IF(K203&gt;=Umbrales!$B$4,"Rara",IF(K203&gt;=Umbrales!$B$5,"Poco común","Común")))))</f>
        <v/>
      </c>
      <c r="M203" s="5" t="n">
        <v>24319.000576</v>
      </c>
      <c r="N203" s="5" t="n">
        <v>7261.000192</v>
      </c>
      <c r="O203" s="5">
        <f>IF(M203="","",M203*J203)</f>
        <v/>
      </c>
      <c r="P203" s="5">
        <f>IF(N203="","",N203*J203)</f>
        <v/>
      </c>
      <c r="Q203" s="7" t="n">
        <v>0.0365</v>
      </c>
      <c r="R203" s="8" t="n">
        <v>11.995553</v>
      </c>
      <c r="S203" s="4" t="inlineStr"/>
      <c r="T203" s="9" t="inlineStr">
        <is>
          <t>SI</t>
        </is>
      </c>
      <c r="U203" s="9" t="inlineStr"/>
      <c r="V203" s="10">
        <f>Umbrales!$B$9*(K203/1000)^Umbrales!$B$10</f>
        <v/>
      </c>
    </row>
    <row r="204">
      <c r="A204" s="4" t="inlineStr">
        <is>
          <t>MMM</t>
        </is>
      </c>
      <c r="B204" s="4" t="inlineStr">
        <is>
          <t>3M Company</t>
        </is>
      </c>
      <c r="C204" s="4" t="inlineStr">
        <is>
          <t>United States</t>
        </is>
      </c>
      <c r="D204" s="4" t="inlineStr">
        <is>
          <t>US</t>
        </is>
      </c>
      <c r="E204" s="4" t="inlineStr">
        <is>
          <t>Industria</t>
        </is>
      </c>
      <c r="F204" s="4" t="inlineStr">
        <is>
          <t>Conglomerates</t>
        </is>
      </c>
      <c r="G204" s="4" t="inlineStr">
        <is>
          <t>NYQ</t>
        </is>
      </c>
      <c r="H204" s="4" t="inlineStr">
        <is>
          <t>USD</t>
        </is>
      </c>
      <c r="I204" s="5" t="n">
        <v>84815.716352</v>
      </c>
      <c r="J204" s="6">
        <f>INDEX(FX!$B:$B,MATCH(H204,FX!$A:$A,0))</f>
        <v/>
      </c>
      <c r="K204" s="5">
        <f>I204*J204</f>
        <v/>
      </c>
      <c r="L204" s="4">
        <f>IF(U204&lt;&gt;"",U204,IF(K204&gt;=Umbrales!$B$2,"Legendaria",IF(K204&gt;=Umbrales!$B$3,"Épica",IF(K204&gt;=Umbrales!$B$4,"Rara",IF(K204&gt;=Umbrales!$B$5,"Poco común","Común")))))</f>
        <v/>
      </c>
      <c r="M204" s="5" t="n">
        <v>25180.000256</v>
      </c>
      <c r="N204" s="5" t="n">
        <v>2996.999936</v>
      </c>
      <c r="O204" s="5">
        <f>IF(M204="","",M204*J204)</f>
        <v/>
      </c>
      <c r="P204" s="5">
        <f>IF(N204="","",N204*J204)</f>
        <v/>
      </c>
      <c r="Q204" s="7" t="n">
        <v>0.0192</v>
      </c>
      <c r="R204" s="8" t="n">
        <v>28.90334</v>
      </c>
      <c r="S204" s="4" t="inlineStr">
        <is>
          <t>DOW30</t>
        </is>
      </c>
      <c r="T204" s="9" t="inlineStr">
        <is>
          <t>SI</t>
        </is>
      </c>
      <c r="U204" s="9" t="inlineStr"/>
      <c r="V204" s="10">
        <f>Umbrales!$B$9*(K204/1000)^Umbrales!$B$10</f>
        <v/>
      </c>
    </row>
    <row r="205">
      <c r="A205" s="4" t="inlineStr">
        <is>
          <t>PRX.AS</t>
        </is>
      </c>
      <c r="B205" s="4" t="inlineStr">
        <is>
          <t>Prosus N.V.</t>
        </is>
      </c>
      <c r="C205" s="4" t="inlineStr">
        <is>
          <t>Netherlands</t>
        </is>
      </c>
      <c r="D205" s="4" t="inlineStr">
        <is>
          <t>NL</t>
        </is>
      </c>
      <c r="E205" s="4" t="inlineStr">
        <is>
          <t>Consumo cíclico</t>
        </is>
      </c>
      <c r="F205" s="4" t="inlineStr">
        <is>
          <t>Internet Retail</t>
        </is>
      </c>
      <c r="G205" s="4" t="inlineStr">
        <is>
          <t>AMS</t>
        </is>
      </c>
      <c r="H205" s="4" t="inlineStr">
        <is>
          <t>EUR</t>
        </is>
      </c>
      <c r="I205" s="5" t="n">
        <v>74308.386816</v>
      </c>
      <c r="J205" s="6">
        <f>INDEX(FX!$B:$B,MATCH(H205,FX!$A:$A,0))</f>
        <v/>
      </c>
      <c r="K205" s="5">
        <f>I205*J205</f>
        <v/>
      </c>
      <c r="L205" s="4">
        <f>IF(U205&lt;&gt;"",U205,IF(K205&gt;=Umbrales!$B$2,"Legendaria",IF(K205&gt;=Umbrales!$B$3,"Épica",IF(K205&gt;=Umbrales!$B$4,"Rara",IF(K205&gt;=Umbrales!$B$5,"Poco común","Común")))))</f>
        <v/>
      </c>
      <c r="M205" s="5" t="n">
        <v>9704.999936</v>
      </c>
      <c r="N205" s="5" t="n">
        <v>11649.000448</v>
      </c>
      <c r="O205" s="5">
        <f>IF(M205="","",M205*J205)</f>
        <v/>
      </c>
      <c r="P205" s="5">
        <f>IF(N205="","",N205*J205)</f>
        <v/>
      </c>
      <c r="Q205" s="7" t="n">
        <v>0.007800000000000001</v>
      </c>
      <c r="R205" s="8" t="n">
        <v>7.8835917</v>
      </c>
      <c r="S205" s="4" t="inlineStr">
        <is>
          <t>EUROSTOXX50</t>
        </is>
      </c>
      <c r="T205" s="9" t="inlineStr">
        <is>
          <t>SI</t>
        </is>
      </c>
      <c r="U205" s="9" t="inlineStr"/>
      <c r="V205" s="10">
        <f>Umbrales!$B$9*(K205/1000)^Umbrales!$B$10</f>
        <v/>
      </c>
    </row>
    <row r="206">
      <c r="A206" s="4" t="inlineStr">
        <is>
          <t>INTU</t>
        </is>
      </c>
      <c r="B206" s="4" t="inlineStr">
        <is>
          <t>Intuit Inc.</t>
        </is>
      </c>
      <c r="C206" s="4" t="inlineStr">
        <is>
          <t>United States</t>
        </is>
      </c>
      <c r="D206" s="4" t="inlineStr">
        <is>
          <t>US</t>
        </is>
      </c>
      <c r="E206" s="4" t="inlineStr">
        <is>
          <t>Tecnología</t>
        </is>
      </c>
      <c r="F206" s="4" t="inlineStr">
        <is>
          <t>Software - Application</t>
        </is>
      </c>
      <c r="G206" s="4" t="inlineStr">
        <is>
          <t>NMS</t>
        </is>
      </c>
      <c r="H206" s="4" t="inlineStr">
        <is>
          <t>USD</t>
        </is>
      </c>
      <c r="I206" s="5" t="n">
        <v>82960.744448</v>
      </c>
      <c r="J206" s="6">
        <f>INDEX(FX!$B:$B,MATCH(H206,FX!$A:$A,0))</f>
        <v/>
      </c>
      <c r="K206" s="5">
        <f>I206*J206</f>
        <v/>
      </c>
      <c r="L206" s="4">
        <f>IF(U206&lt;&gt;"",U206,IF(K206&gt;=Umbrales!$B$2,"Legendaria",IF(K206&gt;=Umbrales!$B$3,"Épica",IF(K206&gt;=Umbrales!$B$4,"Rara",IF(K206&gt;=Umbrales!$B$5,"Poco común","Común")))))</f>
        <v/>
      </c>
      <c r="M206" s="5" t="n">
        <v>21447.999488</v>
      </c>
      <c r="N206" s="5" t="n">
        <v>4566.000128</v>
      </c>
      <c r="O206" s="5">
        <f>IF(M206="","",M206*J206)</f>
        <v/>
      </c>
      <c r="P206" s="5">
        <f>IF(N206="","",N206*J206)</f>
        <v/>
      </c>
      <c r="Q206" s="7" t="n">
        <v>0.0183</v>
      </c>
      <c r="R206" s="8" t="n">
        <v>18.860268</v>
      </c>
      <c r="S206" s="4" t="inlineStr">
        <is>
          <t>NASDAQ100</t>
        </is>
      </c>
      <c r="T206" s="9" t="inlineStr">
        <is>
          <t>SI</t>
        </is>
      </c>
      <c r="U206" s="9" t="inlineStr"/>
      <c r="V206" s="10">
        <f>Umbrales!$B$9*(K206/1000)^Umbrales!$B$10</f>
        <v/>
      </c>
    </row>
    <row r="207">
      <c r="A207" s="4" t="inlineStr">
        <is>
          <t>CTAS</t>
        </is>
      </c>
      <c r="B207" s="4" t="inlineStr">
        <is>
          <t>Cintas Corporation</t>
        </is>
      </c>
      <c r="C207" s="4" t="inlineStr">
        <is>
          <t>United States</t>
        </is>
      </c>
      <c r="D207" s="4" t="inlineStr">
        <is>
          <t>US</t>
        </is>
      </c>
      <c r="E207" s="4" t="inlineStr">
        <is>
          <t>Industria</t>
        </is>
      </c>
      <c r="F207" s="4" t="inlineStr">
        <is>
          <t>Specialty Business Services</t>
        </is>
      </c>
      <c r="G207" s="4" t="inlineStr">
        <is>
          <t>NMS</t>
        </is>
      </c>
      <c r="H207" s="4" t="inlineStr">
        <is>
          <t>USD</t>
        </is>
      </c>
      <c r="I207" s="5" t="n">
        <v>82841.780224</v>
      </c>
      <c r="J207" s="6">
        <f>INDEX(FX!$B:$B,MATCH(H207,FX!$A:$A,0))</f>
        <v/>
      </c>
      <c r="K207" s="5">
        <f>I207*J207</f>
        <v/>
      </c>
      <c r="L207" s="4">
        <f>IF(U207&lt;&gt;"",U207,IF(K207&gt;=Umbrales!$B$2,"Legendaria",IF(K207&gt;=Umbrales!$B$3,"Épica",IF(K207&gt;=Umbrales!$B$4,"Rara",IF(K207&gt;=Umbrales!$B$5,"Poco común","Común")))))</f>
        <v/>
      </c>
      <c r="M207" s="5" t="n">
        <v>11560.620032</v>
      </c>
      <c r="N207" s="5" t="n">
        <v>2054.306944</v>
      </c>
      <c r="O207" s="5">
        <f>IF(M207="","",M207*J207)</f>
        <v/>
      </c>
      <c r="P207" s="5">
        <f>IF(N207="","",N207*J207)</f>
        <v/>
      </c>
      <c r="Q207" s="7" t="n">
        <v>0.0101</v>
      </c>
      <c r="R207" s="8" t="n">
        <v>41.149902</v>
      </c>
      <c r="S207" s="4" t="inlineStr">
        <is>
          <t>NASDAQ100</t>
        </is>
      </c>
      <c r="T207" s="9" t="inlineStr">
        <is>
          <t>SI</t>
        </is>
      </c>
      <c r="U207" s="9" t="inlineStr"/>
      <c r="V207" s="10">
        <f>Umbrales!$B$9*(K207/1000)^Umbrales!$B$10</f>
        <v/>
      </c>
    </row>
    <row r="208">
      <c r="A208" s="4" t="inlineStr">
        <is>
          <t>ENI.MI</t>
        </is>
      </c>
      <c r="B208" s="4" t="inlineStr">
        <is>
          <t>Eni S.p.A.</t>
        </is>
      </c>
      <c r="C208" s="4" t="inlineStr">
        <is>
          <t>Italy</t>
        </is>
      </c>
      <c r="D208" s="4" t="inlineStr">
        <is>
          <t>IT</t>
        </is>
      </c>
      <c r="E208" s="4" t="inlineStr">
        <is>
          <t>Energía</t>
        </is>
      </c>
      <c r="F208" s="4" t="inlineStr">
        <is>
          <t>Oil &amp; Gas Integrated</t>
        </is>
      </c>
      <c r="G208" s="4" t="inlineStr">
        <is>
          <t>MIL</t>
        </is>
      </c>
      <c r="H208" s="4" t="inlineStr">
        <is>
          <t>EUR</t>
        </is>
      </c>
      <c r="I208" s="5" t="n">
        <v>73716.18713599999</v>
      </c>
      <c r="J208" s="6">
        <f>INDEX(FX!$B:$B,MATCH(H208,FX!$A:$A,0))</f>
        <v/>
      </c>
      <c r="K208" s="5">
        <f>I208*J208</f>
        <v/>
      </c>
      <c r="L208" s="4">
        <f>IF(U208&lt;&gt;"",U208,IF(K208&gt;=Umbrales!$B$2,"Legendaria",IF(K208&gt;=Umbrales!$B$3,"Épica",IF(K208&gt;=Umbrales!$B$4,"Rara",IF(K208&gt;=Umbrales!$B$5,"Poco común","Común")))))</f>
        <v/>
      </c>
      <c r="M208" s="5" t="n">
        <v>89931.99718400001</v>
      </c>
      <c r="N208" s="5" t="n">
        <v>5784.999936</v>
      </c>
      <c r="O208" s="5">
        <f>IF(M208="","",M208*J208)</f>
        <v/>
      </c>
      <c r="P208" s="5">
        <f>IF(N208="","",N208*J208)</f>
        <v/>
      </c>
      <c r="Q208" s="7" t="n">
        <v>0.0421</v>
      </c>
      <c r="R208" s="8" t="n">
        <v>20.926828</v>
      </c>
      <c r="S208" s="4" t="inlineStr">
        <is>
          <t>EUROSTOXX50</t>
        </is>
      </c>
      <c r="T208" s="9" t="inlineStr">
        <is>
          <t>SI</t>
        </is>
      </c>
      <c r="U208" s="9" t="inlineStr"/>
      <c r="V208" s="10">
        <f>Umbrales!$B$9*(K208/1000)^Umbrales!$B$10</f>
        <v/>
      </c>
    </row>
    <row r="209">
      <c r="A209" s="4" t="inlineStr">
        <is>
          <t>EOG</t>
        </is>
      </c>
      <c r="B209" s="4" t="inlineStr">
        <is>
          <t>EOG Resources, Inc.</t>
        </is>
      </c>
      <c r="C209" s="4" t="inlineStr">
        <is>
          <t>United States</t>
        </is>
      </c>
      <c r="D209" s="4" t="inlineStr">
        <is>
          <t>US</t>
        </is>
      </c>
      <c r="E209" s="4" t="inlineStr">
        <is>
          <t>Energía</t>
        </is>
      </c>
      <c r="F209" s="4" t="inlineStr">
        <is>
          <t>Oil &amp; Gas E&amp;P</t>
        </is>
      </c>
      <c r="G209" s="4" t="inlineStr">
        <is>
          <t>NYQ</t>
        </is>
      </c>
      <c r="H209" s="4" t="inlineStr">
        <is>
          <t>USD</t>
        </is>
      </c>
      <c r="I209" s="5" t="n">
        <v>82125.996032</v>
      </c>
      <c r="J209" s="6">
        <f>INDEX(FX!$B:$B,MATCH(H209,FX!$A:$A,0))</f>
        <v/>
      </c>
      <c r="K209" s="5">
        <f>I209*J209</f>
        <v/>
      </c>
      <c r="L209" s="4">
        <f>IF(U209&lt;&gt;"",U209,IF(K209&gt;=Umbrales!$B$2,"Legendaria",IF(K209&gt;=Umbrales!$B$3,"Épica",IF(K209&gt;=Umbrales!$B$4,"Rara",IF(K209&gt;=Umbrales!$B$5,"Poco común","Común")))))</f>
        <v/>
      </c>
      <c r="M209" s="5" t="n">
        <v>26720.999424</v>
      </c>
      <c r="N209" s="5" t="n">
        <v>6876.000256</v>
      </c>
      <c r="O209" s="5">
        <f>IF(M209="","",M209*J209)</f>
        <v/>
      </c>
      <c r="P209" s="5">
        <f>IF(N209="","",N209*J209)</f>
        <v/>
      </c>
      <c r="Q209" s="7" t="n">
        <v>0.0266</v>
      </c>
      <c r="R209" s="8" t="n">
        <v>11.915766</v>
      </c>
      <c r="S209" s="4" t="inlineStr"/>
      <c r="T209" s="9" t="inlineStr">
        <is>
          <t>SI</t>
        </is>
      </c>
      <c r="U209" s="9" t="inlineStr"/>
      <c r="V209" s="10">
        <f>Umbrales!$B$9*(K209/1000)^Umbrales!$B$10</f>
        <v/>
      </c>
    </row>
    <row r="210">
      <c r="A210" s="4" t="inlineStr">
        <is>
          <t>UPS</t>
        </is>
      </c>
      <c r="B210" s="4" t="inlineStr">
        <is>
          <t>United Parcel Service, Inc.</t>
        </is>
      </c>
      <c r="C210" s="4" t="inlineStr">
        <is>
          <t>United States</t>
        </is>
      </c>
      <c r="D210" s="4" t="inlineStr">
        <is>
          <t>US</t>
        </is>
      </c>
      <c r="E210" s="4" t="inlineStr">
        <is>
          <t>Industria</t>
        </is>
      </c>
      <c r="F210" s="4" t="inlineStr">
        <is>
          <t>Integrated Freight &amp; Logistics</t>
        </is>
      </c>
      <c r="G210" s="4" t="inlineStr">
        <is>
          <t>NYQ</t>
        </is>
      </c>
      <c r="H210" s="4" t="inlineStr">
        <is>
          <t>USD</t>
        </is>
      </c>
      <c r="I210" s="5" t="n">
        <v>81487.855616</v>
      </c>
      <c r="J210" s="6">
        <f>INDEX(FX!$B:$B,MATCH(H210,FX!$A:$A,0))</f>
        <v/>
      </c>
      <c r="K210" s="5">
        <f>I210*J210</f>
        <v/>
      </c>
      <c r="L210" s="4">
        <f>IF(U210&lt;&gt;"",U210,IF(K210&gt;=Umbrales!$B$2,"Legendaria",IF(K210&gt;=Umbrales!$B$3,"Épica",IF(K210&gt;=Umbrales!$B$4,"Rara",IF(K210&gt;=Umbrales!$B$5,"Poco común","Común")))))</f>
        <v/>
      </c>
      <c r="M210" s="5" t="n">
        <v>89929.998336</v>
      </c>
      <c r="N210" s="5" t="n">
        <v>4569.999872</v>
      </c>
      <c r="O210" s="5">
        <f>IF(M210="","",M210*J210)</f>
        <v/>
      </c>
      <c r="P210" s="5">
        <f>IF(N210="","",N210*J210)</f>
        <v/>
      </c>
      <c r="Q210" s="7" t="n">
        <v>0.0692</v>
      </c>
      <c r="R210" s="8" t="n">
        <v>17.606617</v>
      </c>
      <c r="S210" s="4" t="inlineStr"/>
      <c r="T210" s="9" t="inlineStr">
        <is>
          <t>SI</t>
        </is>
      </c>
      <c r="U210" s="9" t="inlineStr"/>
      <c r="V210" s="10">
        <f>Umbrales!$B$9*(K210/1000)^Umbrales!$B$10</f>
        <v/>
      </c>
    </row>
    <row r="211">
      <c r="A211" s="4" t="inlineStr">
        <is>
          <t>ECL</t>
        </is>
      </c>
      <c r="B211" s="4" t="inlineStr">
        <is>
          <t>Ecolab Inc.</t>
        </is>
      </c>
      <c r="C211" s="4" t="inlineStr">
        <is>
          <t>United States</t>
        </is>
      </c>
      <c r="D211" s="4" t="inlineStr">
        <is>
          <t>US</t>
        </is>
      </c>
      <c r="E211" s="4" t="inlineStr">
        <is>
          <t>Materiales</t>
        </is>
      </c>
      <c r="F211" s="4" t="inlineStr">
        <is>
          <t>Specialty Chemicals</t>
        </is>
      </c>
      <c r="G211" s="4" t="inlineStr">
        <is>
          <t>NYQ</t>
        </is>
      </c>
      <c r="H211" s="4" t="inlineStr">
        <is>
          <t>USD</t>
        </is>
      </c>
      <c r="I211" s="5" t="n">
        <v>80653.344768</v>
      </c>
      <c r="J211" s="6">
        <f>INDEX(FX!$B:$B,MATCH(H211,FX!$A:$A,0))</f>
        <v/>
      </c>
      <c r="K211" s="5">
        <f>I211*J211</f>
        <v/>
      </c>
      <c r="L211" s="4">
        <f>IF(U211&lt;&gt;"",U211,IF(K211&gt;=Umbrales!$B$2,"Legendaria",IF(K211&gt;=Umbrales!$B$3,"Épica",IF(K211&gt;=Umbrales!$B$4,"Rara",IF(K211&gt;=Umbrales!$B$5,"Poco común","Común")))))</f>
        <v/>
      </c>
      <c r="M211" s="5" t="n">
        <v>16842.500096</v>
      </c>
      <c r="N211" s="5" t="n">
        <v>2116.4</v>
      </c>
      <c r="O211" s="5">
        <f>IF(M211="","",M211*J211)</f>
        <v/>
      </c>
      <c r="P211" s="5">
        <f>IF(N211="","",N211*J211)</f>
        <v/>
      </c>
      <c r="Q211" s="7" t="n">
        <v>0.0102</v>
      </c>
      <c r="R211" s="8" t="n">
        <v>38.618793</v>
      </c>
      <c r="S211" s="4" t="inlineStr"/>
      <c r="T211" s="9" t="inlineStr">
        <is>
          <t>SI</t>
        </is>
      </c>
      <c r="U211" s="9" t="inlineStr"/>
      <c r="V211" s="10">
        <f>Umbrales!$B$9*(K211/1000)^Umbrales!$B$10</f>
        <v/>
      </c>
    </row>
    <row r="212">
      <c r="A212" s="4" t="inlineStr">
        <is>
          <t>MDLZ</t>
        </is>
      </c>
      <c r="B212" s="4" t="inlineStr">
        <is>
          <t>Mondelez International, Inc.</t>
        </is>
      </c>
      <c r="C212" s="4" t="inlineStr">
        <is>
          <t>United States</t>
        </is>
      </c>
      <c r="D212" s="4" t="inlineStr">
        <is>
          <t>US</t>
        </is>
      </c>
      <c r="E212" s="4" t="inlineStr">
        <is>
          <t>Consumo básico</t>
        </is>
      </c>
      <c r="F212" s="4" t="inlineStr">
        <is>
          <t>Confectioners</t>
        </is>
      </c>
      <c r="G212" s="4" t="inlineStr">
        <is>
          <t>NMS</t>
        </is>
      </c>
      <c r="H212" s="4" t="inlineStr">
        <is>
          <t>USD</t>
        </is>
      </c>
      <c r="I212" s="5" t="n">
        <v>80317.964288</v>
      </c>
      <c r="J212" s="6">
        <f>INDEX(FX!$B:$B,MATCH(H212,FX!$A:$A,0))</f>
        <v/>
      </c>
      <c r="K212" s="5">
        <f>I212*J212</f>
        <v/>
      </c>
      <c r="L212" s="4">
        <f>IF(U212&lt;&gt;"",U212,IF(K212&gt;=Umbrales!$B$2,"Legendaria",IF(K212&gt;=Umbrales!$B$3,"Épica",IF(K212&gt;=Umbrales!$B$4,"Rara",IF(K212&gt;=Umbrales!$B$5,"Poco común","Común")))))</f>
        <v/>
      </c>
      <c r="M212" s="5" t="n">
        <v>39674.998784</v>
      </c>
      <c r="N212" s="5" t="n">
        <v>3516</v>
      </c>
      <c r="O212" s="5">
        <f>IF(M212="","",M212*J212)</f>
        <v/>
      </c>
      <c r="P212" s="5">
        <f>IF(N212="","",N212*J212)</f>
        <v/>
      </c>
      <c r="Q212" s="7" t="n">
        <v>0.0338</v>
      </c>
      <c r="R212" s="8" t="n">
        <v>22.588448</v>
      </c>
      <c r="S212" s="4" t="inlineStr">
        <is>
          <t>NASDAQ100</t>
        </is>
      </c>
      <c r="T212" s="9" t="inlineStr">
        <is>
          <t>SI</t>
        </is>
      </c>
      <c r="U212" s="9" t="inlineStr"/>
      <c r="V212" s="10">
        <f>Umbrales!$B$9*(K212/1000)^Umbrales!$B$10</f>
        <v/>
      </c>
    </row>
    <row r="213">
      <c r="A213" s="4" t="inlineStr">
        <is>
          <t>LLOY.L</t>
        </is>
      </c>
      <c r="B213" s="4" t="inlineStr">
        <is>
          <t>Lloyds Banking Group plc</t>
        </is>
      </c>
      <c r="C213" s="4" t="inlineStr">
        <is>
          <t>United Kingdom</t>
        </is>
      </c>
      <c r="D213" s="4" t="inlineStr">
        <is>
          <t>GB</t>
        </is>
      </c>
      <c r="E213" s="4" t="inlineStr">
        <is>
          <t>Finanzas</t>
        </is>
      </c>
      <c r="F213" s="4" t="inlineStr">
        <is>
          <t>Banks - Regional</t>
        </is>
      </c>
      <c r="G213" s="4" t="inlineStr">
        <is>
          <t>LSE</t>
        </is>
      </c>
      <c r="H213" s="4" t="inlineStr">
        <is>
          <t>GBP</t>
        </is>
      </c>
      <c r="I213" s="5" t="n">
        <v>60517.482496</v>
      </c>
      <c r="J213" s="6">
        <f>INDEX(FX!$B:$B,MATCH(H213,FX!$A:$A,0))</f>
        <v/>
      </c>
      <c r="K213" s="5">
        <f>I213*J213</f>
        <v/>
      </c>
      <c r="L213" s="4">
        <f>IF(U213&lt;&gt;"",U213,IF(K213&gt;=Umbrales!$B$2,"Legendaria",IF(K213&gt;=Umbrales!$B$3,"Épica",IF(K213&gt;=Umbrales!$B$4,"Rara",IF(K213&gt;=Umbrales!$B$5,"Poco común","Común")))))</f>
        <v/>
      </c>
      <c r="M213" s="5" t="n">
        <v>19693.000704</v>
      </c>
      <c r="N213" s="5" t="n">
        <v>4758.000128</v>
      </c>
      <c r="O213" s="5">
        <f>IF(M213="","",M213*J213)</f>
        <v/>
      </c>
      <c r="P213" s="5">
        <f>IF(N213="","",N213*J213)</f>
        <v/>
      </c>
      <c r="Q213" s="7" t="n">
        <v>0.0384</v>
      </c>
      <c r="R213" s="8" t="n">
        <v>13.19375</v>
      </c>
      <c r="S213" s="4" t="inlineStr">
        <is>
          <t>UK_TOP</t>
        </is>
      </c>
      <c r="T213" s="9" t="inlineStr">
        <is>
          <t>SI</t>
        </is>
      </c>
      <c r="U213" s="9" t="inlineStr"/>
      <c r="V213" s="10">
        <f>Umbrales!$B$9*(K213/1000)^Umbrales!$B$10</f>
        <v/>
      </c>
    </row>
    <row r="214">
      <c r="A214" s="4" t="inlineStr">
        <is>
          <t>MCO</t>
        </is>
      </c>
      <c r="B214" s="4" t="inlineStr">
        <is>
          <t>Moody's Corporation</t>
        </is>
      </c>
      <c r="C214" s="4" t="inlineStr">
        <is>
          <t>United States</t>
        </is>
      </c>
      <c r="D214" s="4" t="inlineStr">
        <is>
          <t>US</t>
        </is>
      </c>
      <c r="E214" s="4" t="inlineStr">
        <is>
          <t>Finanzas</t>
        </is>
      </c>
      <c r="F214" s="4" t="inlineStr">
        <is>
          <t>Financial Data &amp; Stock Exchanges</t>
        </is>
      </c>
      <c r="G214" s="4" t="inlineStr">
        <is>
          <t>NYQ</t>
        </is>
      </c>
      <c r="H214" s="4" t="inlineStr">
        <is>
          <t>USD</t>
        </is>
      </c>
      <c r="I214" s="5" t="n">
        <v>80142.966784</v>
      </c>
      <c r="J214" s="6">
        <f>INDEX(FX!$B:$B,MATCH(H214,FX!$A:$A,0))</f>
        <v/>
      </c>
      <c r="K214" s="5">
        <f>I214*J214</f>
        <v/>
      </c>
      <c r="L214" s="4">
        <f>IF(U214&lt;&gt;"",U214,IF(K214&gt;=Umbrales!$B$2,"Legendaria",IF(K214&gt;=Umbrales!$B$3,"Épica",IF(K214&gt;=Umbrales!$B$4,"Rara",IF(K214&gt;=Umbrales!$B$5,"Poco común","Común")))))</f>
        <v/>
      </c>
      <c r="M214" s="5" t="n">
        <v>8160</v>
      </c>
      <c r="N214" s="5" t="n">
        <v>2795.000064</v>
      </c>
      <c r="O214" s="5">
        <f>IF(M214="","",M214*J214)</f>
        <v/>
      </c>
      <c r="P214" s="5">
        <f>IF(N214="","",N214*J214)</f>
        <v/>
      </c>
      <c r="Q214" s="7" t="n">
        <v>0.0089</v>
      </c>
      <c r="R214" s="8" t="n">
        <v>29.363577</v>
      </c>
      <c r="S214" s="4" t="inlineStr"/>
      <c r="T214" s="9" t="inlineStr">
        <is>
          <t>SI</t>
        </is>
      </c>
      <c r="U214" s="9" t="inlineStr"/>
      <c r="V214" s="10">
        <f>Umbrales!$B$9*(K214/1000)^Umbrales!$B$10</f>
        <v/>
      </c>
    </row>
    <row r="215">
      <c r="A215" s="4" t="inlineStr">
        <is>
          <t>REGN</t>
        </is>
      </c>
      <c r="B215" s="4" t="inlineStr">
        <is>
          <t>Regeneron Pharmaceuticals, Inc.</t>
        </is>
      </c>
      <c r="C215" s="4" t="inlineStr">
        <is>
          <t>United States</t>
        </is>
      </c>
      <c r="D215" s="4" t="inlineStr">
        <is>
          <t>US</t>
        </is>
      </c>
      <c r="E215" s="4" t="inlineStr">
        <is>
          <t>Salud</t>
        </is>
      </c>
      <c r="F215" s="4" t="inlineStr">
        <is>
          <t>Biotechnology</t>
        </is>
      </c>
      <c r="G215" s="4" t="inlineStr">
        <is>
          <t>NMS</t>
        </is>
      </c>
      <c r="H215" s="4" t="inlineStr">
        <is>
          <t>USD</t>
        </is>
      </c>
      <c r="I215" s="5" t="n">
        <v>80136.044544</v>
      </c>
      <c r="J215" s="6">
        <f>INDEX(FX!$B:$B,MATCH(H215,FX!$A:$A,0))</f>
        <v/>
      </c>
      <c r="K215" s="5">
        <f>I215*J215</f>
        <v/>
      </c>
      <c r="L215" s="4">
        <f>IF(U215&lt;&gt;"",U215,IF(K215&gt;=Umbrales!$B$2,"Legendaria",IF(K215&gt;=Umbrales!$B$3,"Épica",IF(K215&gt;=Umbrales!$B$4,"Rara",IF(K215&gt;=Umbrales!$B$5,"Poco común","Común")))))</f>
        <v/>
      </c>
      <c r="M215" s="5" t="n">
        <v>15534.69952</v>
      </c>
      <c r="N215" s="5" t="n">
        <v>4328.699904</v>
      </c>
      <c r="O215" s="5">
        <f>IF(M215="","",M215*J215)</f>
        <v/>
      </c>
      <c r="P215" s="5">
        <f>IF(N215="","",N215*J215)</f>
        <v/>
      </c>
      <c r="Q215" s="7" t="n">
        <v>0.005</v>
      </c>
      <c r="R215" s="8" t="n">
        <v>18.621052</v>
      </c>
      <c r="S215" s="4" t="inlineStr">
        <is>
          <t>NASDAQ100</t>
        </is>
      </c>
      <c r="T215" s="9" t="inlineStr">
        <is>
          <t>SI</t>
        </is>
      </c>
      <c r="U215" s="9" t="inlineStr"/>
      <c r="V215" s="10">
        <f>Umbrales!$B$9*(K215/1000)^Umbrales!$B$10</f>
        <v/>
      </c>
    </row>
    <row r="216">
      <c r="A216" s="4" t="inlineStr">
        <is>
          <t>NG.L</t>
        </is>
      </c>
      <c r="B216" s="4" t="inlineStr">
        <is>
          <t>National Grid plc</t>
        </is>
      </c>
      <c r="C216" s="4" t="inlineStr">
        <is>
          <t>United Kingdom</t>
        </is>
      </c>
      <c r="D216" s="4" t="inlineStr">
        <is>
          <t>GB</t>
        </is>
      </c>
      <c r="E216" s="4" t="inlineStr">
        <is>
          <t>Servicios públicos</t>
        </is>
      </c>
      <c r="F216" s="4" t="inlineStr">
        <is>
          <t>Utilities - Regulated Electric</t>
        </is>
      </c>
      <c r="G216" s="4" t="inlineStr">
        <is>
          <t>LSE</t>
        </is>
      </c>
      <c r="H216" s="4" t="inlineStr">
        <is>
          <t>GBP</t>
        </is>
      </c>
      <c r="I216" s="5" t="n">
        <v>60348.043264</v>
      </c>
      <c r="J216" s="6">
        <f>INDEX(FX!$B:$B,MATCH(H216,FX!$A:$A,0))</f>
        <v/>
      </c>
      <c r="K216" s="5">
        <f>I216*J216</f>
        <v/>
      </c>
      <c r="L216" s="4">
        <f>IF(U216&lt;&gt;"",U216,IF(K216&gt;=Umbrales!$B$2,"Legendaria",IF(K216&gt;=Umbrales!$B$3,"Épica",IF(K216&gt;=Umbrales!$B$4,"Rara",IF(K216&gt;=Umbrales!$B$5,"Poco común","Común")))))</f>
        <v/>
      </c>
      <c r="M216" s="5" t="n">
        <v>17686.99904</v>
      </c>
      <c r="N216" s="5" t="n">
        <v>3240.999936</v>
      </c>
      <c r="O216" s="5">
        <f>IF(M216="","",M216*J216)</f>
        <v/>
      </c>
      <c r="P216" s="5">
        <f>IF(N216="","",N216*J216)</f>
        <v/>
      </c>
      <c r="Q216" s="7" t="n">
        <v>0.0411</v>
      </c>
      <c r="R216" s="8" t="n">
        <v>18.469233</v>
      </c>
      <c r="S216" s="4" t="inlineStr">
        <is>
          <t>UK_TOP</t>
        </is>
      </c>
      <c r="T216" s="9" t="inlineStr">
        <is>
          <t>SI</t>
        </is>
      </c>
      <c r="U216" s="9" t="inlineStr"/>
      <c r="V216" s="10">
        <f>Umbrales!$B$9*(K216/1000)^Umbrales!$B$10</f>
        <v/>
      </c>
    </row>
    <row r="217">
      <c r="A217" s="4" t="inlineStr">
        <is>
          <t>DASH</t>
        </is>
      </c>
      <c r="B217" s="4" t="inlineStr">
        <is>
          <t>DoorDash, Inc.</t>
        </is>
      </c>
      <c r="C217" s="4" t="inlineStr">
        <is>
          <t>United States</t>
        </is>
      </c>
      <c r="D217" s="4" t="inlineStr">
        <is>
          <t>US</t>
        </is>
      </c>
      <c r="E217" s="4" t="inlineStr">
        <is>
          <t>Consumo cíclico</t>
        </is>
      </c>
      <c r="F217" s="4" t="inlineStr">
        <is>
          <t>Internet Retail</t>
        </is>
      </c>
      <c r="G217" s="4" t="inlineStr">
        <is>
          <t>NMS</t>
        </is>
      </c>
      <c r="H217" s="4" t="inlineStr">
        <is>
          <t>USD</t>
        </is>
      </c>
      <c r="I217" s="5" t="n">
        <v>79731.15494399999</v>
      </c>
      <c r="J217" s="6">
        <f>INDEX(FX!$B:$B,MATCH(H217,FX!$A:$A,0))</f>
        <v/>
      </c>
      <c r="K217" s="5">
        <f>I217*J217</f>
        <v/>
      </c>
      <c r="L217" s="4">
        <f>IF(U217&lt;&gt;"",U217,IF(K217&gt;=Umbrales!$B$2,"Legendaria",IF(K217&gt;=Umbrales!$B$3,"Épica",IF(K217&gt;=Umbrales!$B$4,"Rara",IF(K217&gt;=Umbrales!$B$5,"Poco común","Común")))))</f>
        <v/>
      </c>
      <c r="M217" s="5" t="n">
        <v>15891.00032</v>
      </c>
      <c r="N217" s="5" t="n">
        <v>841</v>
      </c>
      <c r="O217" s="5">
        <f>IF(M217="","",M217*J217)</f>
        <v/>
      </c>
      <c r="P217" s="5">
        <f>IF(N217="","",N217*J217)</f>
        <v/>
      </c>
      <c r="Q217" s="7" t="n">
        <v>0</v>
      </c>
      <c r="R217" s="8" t="n">
        <v>101.66299</v>
      </c>
      <c r="S217" s="4" t="inlineStr">
        <is>
          <t>NASDAQ100</t>
        </is>
      </c>
      <c r="T217" s="9" t="inlineStr">
        <is>
          <t>SI</t>
        </is>
      </c>
      <c r="U217" s="9" t="inlineStr"/>
      <c r="V217" s="10">
        <f>Umbrales!$B$9*(K217/1000)^Umbrales!$B$10</f>
        <v/>
      </c>
    </row>
    <row r="218">
      <c r="A218" s="4" t="inlineStr">
        <is>
          <t>KKR</t>
        </is>
      </c>
      <c r="B218" s="4" t="inlineStr">
        <is>
          <t>KKR &amp; Co. Inc.</t>
        </is>
      </c>
      <c r="C218" s="4" t="inlineStr">
        <is>
          <t>United States</t>
        </is>
      </c>
      <c r="D218" s="4" t="inlineStr">
        <is>
          <t>US</t>
        </is>
      </c>
      <c r="E218" s="4" t="inlineStr">
        <is>
          <t>Finanzas</t>
        </is>
      </c>
      <c r="F218" s="4" t="inlineStr">
        <is>
          <t>Asset Management</t>
        </is>
      </c>
      <c r="G218" s="4" t="inlineStr">
        <is>
          <t>NYQ</t>
        </is>
      </c>
      <c r="H218" s="4" t="inlineStr">
        <is>
          <t>USD</t>
        </is>
      </c>
      <c r="I218" s="5" t="n">
        <v>79059.34540799999</v>
      </c>
      <c r="J218" s="6">
        <f>INDEX(FX!$B:$B,MATCH(H218,FX!$A:$A,0))</f>
        <v/>
      </c>
      <c r="K218" s="5">
        <f>I218*J218</f>
        <v/>
      </c>
      <c r="L218" s="4">
        <f>IF(U218&lt;&gt;"",U218,IF(K218&gt;=Umbrales!$B$2,"Legendaria",IF(K218&gt;=Umbrales!$B$3,"Épica",IF(K218&gt;=Umbrales!$B$4,"Rara",IF(K218&gt;=Umbrales!$B$5,"Poco común","Común")))))</f>
        <v/>
      </c>
      <c r="M218" s="5" t="n">
        <v>25833.117696</v>
      </c>
      <c r="N218" s="5" t="n">
        <v>2990.256128</v>
      </c>
      <c r="O218" s="5">
        <f>IF(M218="","",M218*J218)</f>
        <v/>
      </c>
      <c r="P218" s="5">
        <f>IF(N218="","",N218*J218)</f>
        <v/>
      </c>
      <c r="Q218" s="7" t="n">
        <v>0.0089</v>
      </c>
      <c r="R218" s="8" t="n">
        <v>27.524117</v>
      </c>
      <c r="S218" s="4" t="inlineStr"/>
      <c r="T218" s="9" t="inlineStr">
        <is>
          <t>SI</t>
        </is>
      </c>
      <c r="U218" s="9" t="inlineStr"/>
      <c r="V218" s="10">
        <f>Umbrales!$B$9*(K218/1000)^Umbrales!$B$10</f>
        <v/>
      </c>
    </row>
    <row r="219">
      <c r="A219" s="4" t="inlineStr">
        <is>
          <t>TRV</t>
        </is>
      </c>
      <c r="B219" s="4" t="inlineStr">
        <is>
          <t>The Travelers Companies, Inc.</t>
        </is>
      </c>
      <c r="C219" s="4" t="inlineStr">
        <is>
          <t>United States</t>
        </is>
      </c>
      <c r="D219" s="4" t="inlineStr">
        <is>
          <t>US</t>
        </is>
      </c>
      <c r="E219" s="4" t="inlineStr">
        <is>
          <t>Finanzas</t>
        </is>
      </c>
      <c r="F219" s="4" t="inlineStr">
        <is>
          <t>Insurance - Property &amp; Casualty</t>
        </is>
      </c>
      <c r="G219" s="4" t="inlineStr">
        <is>
          <t>NYQ</t>
        </is>
      </c>
      <c r="H219" s="4" t="inlineStr">
        <is>
          <t>USD</t>
        </is>
      </c>
      <c r="I219" s="5" t="n">
        <v>78803.820544</v>
      </c>
      <c r="J219" s="6">
        <f>INDEX(FX!$B:$B,MATCH(H219,FX!$A:$A,0))</f>
        <v/>
      </c>
      <c r="K219" s="5">
        <f>I219*J219</f>
        <v/>
      </c>
      <c r="L219" s="4">
        <f>IF(U219&lt;&gt;"",U219,IF(K219&gt;=Umbrales!$B$2,"Legendaria",IF(K219&gt;=Umbrales!$B$3,"Épica",IF(K219&gt;=Umbrales!$B$4,"Rara",IF(K219&gt;=Umbrales!$B$5,"Poco común","Común")))))</f>
        <v/>
      </c>
      <c r="M219" s="5" t="n">
        <v>48979.001344</v>
      </c>
      <c r="N219" s="5" t="n">
        <v>8242.999808</v>
      </c>
      <c r="O219" s="5">
        <f>IF(M219="","",M219*J219)</f>
        <v/>
      </c>
      <c r="P219" s="5">
        <f>IF(N219="","",N219*J219)</f>
        <v/>
      </c>
      <c r="Q219" s="7" t="n">
        <v>0.0134</v>
      </c>
      <c r="R219" s="8" t="n">
        <v>10.02707</v>
      </c>
      <c r="S219" s="4" t="inlineStr">
        <is>
          <t>DOW30</t>
        </is>
      </c>
      <c r="T219" s="9" t="inlineStr">
        <is>
          <t>SI</t>
        </is>
      </c>
      <c r="U219" s="9" t="inlineStr"/>
      <c r="V219" s="10">
        <f>Umbrales!$B$9*(K219/1000)^Umbrales!$B$10</f>
        <v/>
      </c>
    </row>
    <row r="220">
      <c r="A220" s="4" t="inlineStr">
        <is>
          <t>SHW</t>
        </is>
      </c>
      <c r="B220" s="4" t="inlineStr">
        <is>
          <t>The Sherwin-Williams Company</t>
        </is>
      </c>
      <c r="C220" s="4" t="inlineStr">
        <is>
          <t>United States</t>
        </is>
      </c>
      <c r="D220" s="4" t="inlineStr">
        <is>
          <t>US</t>
        </is>
      </c>
      <c r="E220" s="4" t="inlineStr">
        <is>
          <t>Materiales</t>
        </is>
      </c>
      <c r="F220" s="4" t="inlineStr">
        <is>
          <t>Specialty Chemicals</t>
        </is>
      </c>
      <c r="G220" s="4" t="inlineStr">
        <is>
          <t>NYQ</t>
        </is>
      </c>
      <c r="H220" s="4" t="inlineStr">
        <is>
          <t>USD</t>
        </is>
      </c>
      <c r="I220" s="5" t="n">
        <v>78784.733184</v>
      </c>
      <c r="J220" s="6">
        <f>INDEX(FX!$B:$B,MATCH(H220,FX!$A:$A,0))</f>
        <v/>
      </c>
      <c r="K220" s="5">
        <f>I220*J220</f>
        <v/>
      </c>
      <c r="L220" s="4">
        <f>IF(U220&lt;&gt;"",U220,IF(K220&gt;=Umbrales!$B$2,"Legendaria",IF(K220&gt;=Umbrales!$B$3,"Épica",IF(K220&gt;=Umbrales!$B$4,"Rara",IF(K220&gt;=Umbrales!$B$5,"Poco común","Común")))))</f>
        <v/>
      </c>
      <c r="M220" s="5" t="n">
        <v>24410.300416</v>
      </c>
      <c r="N220" s="5" t="n">
        <v>2688.199936</v>
      </c>
      <c r="O220" s="5">
        <f>IF(M220="","",M220*J220)</f>
        <v/>
      </c>
      <c r="P220" s="5">
        <f>IF(N220="","",N220*J220)</f>
        <v/>
      </c>
      <c r="Q220" s="7" t="n">
        <v>0.009899999999999999</v>
      </c>
      <c r="R220" s="8" t="n">
        <v>29.88398</v>
      </c>
      <c r="S220" s="4" t="inlineStr">
        <is>
          <t>DOW30</t>
        </is>
      </c>
      <c r="T220" s="9" t="inlineStr">
        <is>
          <t>SI</t>
        </is>
      </c>
      <c r="U220" s="9" t="inlineStr"/>
      <c r="V220" s="10">
        <f>Umbrales!$B$9*(K220/1000)^Umbrales!$B$10</f>
        <v/>
      </c>
    </row>
    <row r="221">
      <c r="A221" s="4" t="inlineStr">
        <is>
          <t>WBD</t>
        </is>
      </c>
      <c r="B221" s="4" t="inlineStr">
        <is>
          <t>Warner Bros. Discovery, Inc.</t>
        </is>
      </c>
      <c r="C221" s="4" t="inlineStr">
        <is>
          <t>United States</t>
        </is>
      </c>
      <c r="D221" s="4" t="inlineStr">
        <is>
          <t>US</t>
        </is>
      </c>
      <c r="E221" s="4" t="inlineStr">
        <is>
          <t>Comunicación</t>
        </is>
      </c>
      <c r="F221" s="4" t="inlineStr">
        <is>
          <t>Entertainment</t>
        </is>
      </c>
      <c r="G221" s="4" t="inlineStr">
        <is>
          <t>NMS</t>
        </is>
      </c>
      <c r="H221" s="4" t="inlineStr">
        <is>
          <t>USD</t>
        </is>
      </c>
      <c r="I221" s="5" t="n">
        <v>77595.885568</v>
      </c>
      <c r="J221" s="6">
        <f>INDEX(FX!$B:$B,MATCH(H221,FX!$A:$A,0))</f>
        <v/>
      </c>
      <c r="K221" s="5">
        <f>I221*J221</f>
        <v/>
      </c>
      <c r="L221" s="4">
        <f>IF(U221&lt;&gt;"",U221,IF(K221&gt;=Umbrales!$B$2,"Legendaria",IF(K221&gt;=Umbrales!$B$3,"Épica",IF(K221&gt;=Umbrales!$B$4,"Rara",IF(K221&gt;=Umbrales!$B$5,"Poco común","Común")))))</f>
        <v/>
      </c>
      <c r="M221" s="5" t="n">
        <v>36115.001344</v>
      </c>
      <c r="N221" s="5" t="n">
        <v>-3166.000128</v>
      </c>
      <c r="O221" s="5">
        <f>IF(M221="","",M221*J221)</f>
        <v/>
      </c>
      <c r="P221" s="5">
        <f>IF(N221="","",N221*J221)</f>
        <v/>
      </c>
      <c r="Q221" s="7" t="n">
        <v>0</v>
      </c>
      <c r="R221" s="8" t="n"/>
      <c r="S221" s="4" t="inlineStr">
        <is>
          <t>NASDAQ100</t>
        </is>
      </c>
      <c r="T221" s="9" t="inlineStr">
        <is>
          <t>SI</t>
        </is>
      </c>
      <c r="U221" s="9" t="inlineStr"/>
      <c r="V221" s="10">
        <f>Umbrales!$B$9*(K221/1000)^Umbrales!$B$10</f>
        <v/>
      </c>
    </row>
    <row r="222">
      <c r="A222" s="4" t="inlineStr">
        <is>
          <t>EL.PA</t>
        </is>
      </c>
      <c r="B222" s="4" t="inlineStr">
        <is>
          <t>EssilorLuxottica Société anonyme</t>
        </is>
      </c>
      <c r="C222" s="4" t="inlineStr">
        <is>
          <t>France</t>
        </is>
      </c>
      <c r="D222" s="4" t="inlineStr">
        <is>
          <t>FR</t>
        </is>
      </c>
      <c r="E222" s="4" t="inlineStr">
        <is>
          <t>Salud</t>
        </is>
      </c>
      <c r="F222" s="4" t="inlineStr">
        <is>
          <t>Medical Instruments &amp; Supplies</t>
        </is>
      </c>
      <c r="G222" s="4" t="inlineStr">
        <is>
          <t>PAR</t>
        </is>
      </c>
      <c r="H222" s="4" t="inlineStr">
        <is>
          <t>EUR</t>
        </is>
      </c>
      <c r="I222" s="5" t="n">
        <v>68526.66572800001</v>
      </c>
      <c r="J222" s="6">
        <f>INDEX(FX!$B:$B,MATCH(H222,FX!$A:$A,0))</f>
        <v/>
      </c>
      <c r="K222" s="5">
        <f>I222*J222</f>
        <v/>
      </c>
      <c r="L222" s="4">
        <f>IF(U222&lt;&gt;"",U222,IF(K222&gt;=Umbrales!$B$2,"Legendaria",IF(K222&gt;=Umbrales!$B$3,"Épica",IF(K222&gt;=Umbrales!$B$4,"Rara",IF(K222&gt;=Umbrales!$B$5,"Poco común","Común")))))</f>
        <v/>
      </c>
      <c r="M222" s="5" t="n">
        <v>29284.999168</v>
      </c>
      <c r="N222" s="5" t="n">
        <v>2494.000128</v>
      </c>
      <c r="O222" s="5">
        <f>IF(M222="","",M222*J222)</f>
        <v/>
      </c>
      <c r="P222" s="5">
        <f>IF(N222="","",N222*J222)</f>
        <v/>
      </c>
      <c r="Q222" s="7" t="n">
        <v>0.0273</v>
      </c>
      <c r="R222" s="8" t="n">
        <v>27.943926</v>
      </c>
      <c r="S222" s="4" t="inlineStr">
        <is>
          <t>EUROSTOXX50</t>
        </is>
      </c>
      <c r="T222" s="9" t="inlineStr">
        <is>
          <t>SI</t>
        </is>
      </c>
      <c r="U222" s="9" t="inlineStr"/>
      <c r="V222" s="10">
        <f>Umbrales!$B$9*(K222/1000)^Umbrales!$B$10</f>
        <v/>
      </c>
    </row>
    <row r="223">
      <c r="A223" s="4" t="inlineStr">
        <is>
          <t>MUV2.DE</t>
        </is>
      </c>
      <c r="B223" s="4" t="inlineStr">
        <is>
          <t>Münchener Rückversicherungs-Gesellschaft Aktiengesellschaft in München</t>
        </is>
      </c>
      <c r="C223" s="4" t="inlineStr">
        <is>
          <t>Germany</t>
        </is>
      </c>
      <c r="D223" s="4" t="inlineStr">
        <is>
          <t>DE</t>
        </is>
      </c>
      <c r="E223" s="4" t="inlineStr">
        <is>
          <t>Finanzas</t>
        </is>
      </c>
      <c r="F223" s="4" t="inlineStr">
        <is>
          <t>Insurance - Reinsurance</t>
        </is>
      </c>
      <c r="G223" s="4" t="inlineStr">
        <is>
          <t>GER</t>
        </is>
      </c>
      <c r="H223" s="4" t="inlineStr">
        <is>
          <t>EUR</t>
        </is>
      </c>
      <c r="I223" s="5" t="n">
        <v>68443.070464</v>
      </c>
      <c r="J223" s="6">
        <f>INDEX(FX!$B:$B,MATCH(H223,FX!$A:$A,0))</f>
        <v/>
      </c>
      <c r="K223" s="5">
        <f>I223*J223</f>
        <v/>
      </c>
      <c r="L223" s="4">
        <f>IF(U223&lt;&gt;"",U223,IF(K223&gt;=Umbrales!$B$2,"Legendaria",IF(K223&gt;=Umbrales!$B$3,"Épica",IF(K223&gt;=Umbrales!$B$4,"Rara",IF(K223&gt;=Umbrales!$B$5,"Poco común","Común")))))</f>
        <v/>
      </c>
      <c r="M223" s="5" t="n">
        <v>61540.999168</v>
      </c>
      <c r="N223" s="5" t="n">
        <v>6870.000128</v>
      </c>
      <c r="O223" s="5">
        <f>IF(M223="","",M223*J223)</f>
        <v/>
      </c>
      <c r="P223" s="5">
        <f>IF(N223="","",N223*J223)</f>
        <v/>
      </c>
      <c r="Q223" s="7" t="n">
        <v>0.04650000000000001</v>
      </c>
      <c r="R223" s="8" t="n">
        <v>10.0684805</v>
      </c>
      <c r="S223" s="4" t="inlineStr">
        <is>
          <t>DAX40, EUROSTOXX50</t>
        </is>
      </c>
      <c r="T223" s="9" t="inlineStr">
        <is>
          <t>SI</t>
        </is>
      </c>
      <c r="U223" s="9" t="inlineStr"/>
      <c r="V223" s="10">
        <f>Umbrales!$B$9*(K223/1000)^Umbrales!$B$10</f>
        <v/>
      </c>
    </row>
    <row r="224">
      <c r="A224" s="4" t="inlineStr">
        <is>
          <t>ITW</t>
        </is>
      </c>
      <c r="B224" s="4" t="inlineStr">
        <is>
          <t>Illinois Tool Works Inc.</t>
        </is>
      </c>
      <c r="C224" s="4" t="inlineStr">
        <is>
          <t>United States</t>
        </is>
      </c>
      <c r="D224" s="4" t="inlineStr">
        <is>
          <t>US</t>
        </is>
      </c>
      <c r="E224" s="4" t="inlineStr">
        <is>
          <t>Industria</t>
        </is>
      </c>
      <c r="F224" s="4" t="inlineStr">
        <is>
          <t>Specialty Industrial Machinery</t>
        </is>
      </c>
      <c r="G224" s="4" t="inlineStr">
        <is>
          <t>NYQ</t>
        </is>
      </c>
      <c r="H224" s="4" t="inlineStr">
        <is>
          <t>USD</t>
        </is>
      </c>
      <c r="I224" s="5" t="n">
        <v>76745.056256</v>
      </c>
      <c r="J224" s="6">
        <f>INDEX(FX!$B:$B,MATCH(H224,FX!$A:$A,0))</f>
        <v/>
      </c>
      <c r="K224" s="5">
        <f>I224*J224</f>
        <v/>
      </c>
      <c r="L224" s="4">
        <f>IF(U224&lt;&gt;"",U224,IF(K224&gt;=Umbrales!$B$2,"Legendaria",IF(K224&gt;=Umbrales!$B$3,"Épica",IF(K224&gt;=Umbrales!$B$4,"Rara",IF(K224&gt;=Umbrales!$B$5,"Poco común","Común")))))</f>
        <v/>
      </c>
      <c r="M224" s="5" t="n">
        <v>16469.000192</v>
      </c>
      <c r="N224" s="5" t="n">
        <v>3193.999872</v>
      </c>
      <c r="O224" s="5">
        <f>IF(M224="","",M224*J224)</f>
        <v/>
      </c>
      <c r="P224" s="5">
        <f>IF(N224="","",N224*J224)</f>
        <v/>
      </c>
      <c r="Q224" s="7" t="n">
        <v>0.0258</v>
      </c>
      <c r="R224" s="8" t="n">
        <v>24.146057</v>
      </c>
      <c r="S224" s="4" t="inlineStr"/>
      <c r="T224" s="9" t="inlineStr">
        <is>
          <t>SI</t>
        </is>
      </c>
      <c r="U224" s="9" t="inlineStr"/>
      <c r="V224" s="10">
        <f>Umbrales!$B$9*(K224/1000)^Umbrales!$B$10</f>
        <v/>
      </c>
    </row>
    <row r="225">
      <c r="A225" s="4" t="inlineStr">
        <is>
          <t>CI</t>
        </is>
      </c>
      <c r="B225" s="4" t="inlineStr">
        <is>
          <t>The Cigna Group</t>
        </is>
      </c>
      <c r="C225" s="4" t="inlineStr">
        <is>
          <t>United States</t>
        </is>
      </c>
      <c r="D225" s="4" t="inlineStr">
        <is>
          <t>US</t>
        </is>
      </c>
      <c r="E225" s="4" t="inlineStr">
        <is>
          <t>Salud</t>
        </is>
      </c>
      <c r="F225" s="4" t="inlineStr">
        <is>
          <t>Healthcare Plans</t>
        </is>
      </c>
      <c r="G225" s="4" t="inlineStr">
        <is>
          <t>NYQ</t>
        </is>
      </c>
      <c r="H225" s="4" t="inlineStr">
        <is>
          <t>USD</t>
        </is>
      </c>
      <c r="I225" s="5" t="n">
        <v>76518.75225600001</v>
      </c>
      <c r="J225" s="6">
        <f>INDEX(FX!$B:$B,MATCH(H225,FX!$A:$A,0))</f>
        <v/>
      </c>
      <c r="K225" s="5">
        <f>I225*J225</f>
        <v/>
      </c>
      <c r="L225" s="4">
        <f>IF(U225&lt;&gt;"",U225,IF(K225&gt;=Umbrales!$B$2,"Legendaria",IF(K225&gt;=Umbrales!$B$3,"Épica",IF(K225&gt;=Umbrales!$B$4,"Rara",IF(K225&gt;=Umbrales!$B$5,"Poco común","Común")))))</f>
        <v/>
      </c>
      <c r="M225" s="5" t="n">
        <v>282382.00832</v>
      </c>
      <c r="N225" s="5" t="n">
        <v>6416</v>
      </c>
      <c r="O225" s="5">
        <f>IF(M225="","",M225*J225)</f>
        <v/>
      </c>
      <c r="P225" s="5">
        <f>IF(N225="","",N225*J225)</f>
        <v/>
      </c>
      <c r="Q225" s="7" t="n">
        <v>0.0221</v>
      </c>
      <c r="R225" s="8" t="n">
        <v>11.681322</v>
      </c>
      <c r="S225" s="4" t="inlineStr"/>
      <c r="T225" s="9" t="inlineStr">
        <is>
          <t>SI</t>
        </is>
      </c>
      <c r="U225" s="9" t="inlineStr"/>
      <c r="V225" s="10">
        <f>Umbrales!$B$9*(K225/1000)^Umbrales!$B$10</f>
        <v/>
      </c>
    </row>
    <row r="226">
      <c r="A226" s="4" t="inlineStr">
        <is>
          <t>BARC.L</t>
        </is>
      </c>
      <c r="B226" s="4" t="inlineStr">
        <is>
          <t>Barclays PLC</t>
        </is>
      </c>
      <c r="C226" s="4" t="inlineStr">
        <is>
          <t>United Kingdom</t>
        </is>
      </c>
      <c r="D226" s="4" t="inlineStr">
        <is>
          <t>GB</t>
        </is>
      </c>
      <c r="E226" s="4" t="inlineStr">
        <is>
          <t>Finanzas</t>
        </is>
      </c>
      <c r="F226" s="4" t="inlineStr">
        <is>
          <t>Banks - Diversified</t>
        </is>
      </c>
      <c r="G226" s="4" t="inlineStr">
        <is>
          <t>LSE</t>
        </is>
      </c>
      <c r="H226" s="4" t="inlineStr">
        <is>
          <t>GBP</t>
        </is>
      </c>
      <c r="I226" s="5" t="n">
        <v>57431.666688</v>
      </c>
      <c r="J226" s="6">
        <f>INDEX(FX!$B:$B,MATCH(H226,FX!$A:$A,0))</f>
        <v/>
      </c>
      <c r="K226" s="5">
        <f>I226*J226</f>
        <v/>
      </c>
      <c r="L226" s="4">
        <f>IF(U226&lt;&gt;"",U226,IF(K226&gt;=Umbrales!$B$2,"Legendaria",IF(K226&gt;=Umbrales!$B$3,"Épica",IF(K226&gt;=Umbrales!$B$4,"Rara",IF(K226&gt;=Umbrales!$B$5,"Poco común","Común")))))</f>
        <v/>
      </c>
      <c r="M226" s="5" t="n">
        <v>28141.000704</v>
      </c>
      <c r="N226" s="5" t="n">
        <v>6842.999808</v>
      </c>
      <c r="O226" s="5">
        <f>IF(M226="","",M226*J226)</f>
        <v/>
      </c>
      <c r="P226" s="5">
        <f>IF(N226="","",N226*J226)</f>
        <v/>
      </c>
      <c r="Q226" s="7" t="n">
        <v>0.0264</v>
      </c>
      <c r="R226" s="8" t="n">
        <v>8.975</v>
      </c>
      <c r="S226" s="4" t="inlineStr">
        <is>
          <t>UK_TOP</t>
        </is>
      </c>
      <c r="T226" s="9" t="inlineStr">
        <is>
          <t>SI</t>
        </is>
      </c>
      <c r="U226" s="9" t="inlineStr"/>
      <c r="V226" s="10">
        <f>Umbrales!$B$9*(K226/1000)^Umbrales!$B$10</f>
        <v/>
      </c>
    </row>
    <row r="227">
      <c r="A227" s="4" t="inlineStr">
        <is>
          <t>SPG</t>
        </is>
      </c>
      <c r="B227" s="4" t="inlineStr">
        <is>
          <t>Simon Property Group, Inc.</t>
        </is>
      </c>
      <c r="C227" s="4" t="inlineStr">
        <is>
          <t>United States</t>
        </is>
      </c>
      <c r="D227" s="4" t="inlineStr">
        <is>
          <t>US</t>
        </is>
      </c>
      <c r="E227" s="4" t="inlineStr">
        <is>
          <t>Inmobiliario</t>
        </is>
      </c>
      <c r="F227" s="4" t="inlineStr">
        <is>
          <t>REIT - Retail</t>
        </is>
      </c>
      <c r="G227" s="4" t="inlineStr">
        <is>
          <t>NYQ</t>
        </is>
      </c>
      <c r="H227" s="4" t="inlineStr">
        <is>
          <t>USD</t>
        </is>
      </c>
      <c r="I227" s="5" t="n">
        <v>75431.182336</v>
      </c>
      <c r="J227" s="6">
        <f>INDEX(FX!$B:$B,MATCH(H227,FX!$A:$A,0))</f>
        <v/>
      </c>
      <c r="K227" s="5">
        <f>I227*J227</f>
        <v/>
      </c>
      <c r="L227" s="4">
        <f>IF(U227&lt;&gt;"",U227,IF(K227&gt;=Umbrales!$B$2,"Legendaria",IF(K227&gt;=Umbrales!$B$3,"Épica",IF(K227&gt;=Umbrales!$B$4,"Rara",IF(K227&gt;=Umbrales!$B$5,"Poco común","Común")))))</f>
        <v/>
      </c>
      <c r="M227" s="5" t="n">
        <v>6940.724224</v>
      </c>
      <c r="N227" s="5" t="n">
        <v>4617.150976</v>
      </c>
      <c r="O227" s="5">
        <f>IF(M227="","",M227*J227)</f>
        <v/>
      </c>
      <c r="P227" s="5">
        <f>IF(N227="","",N227*J227)</f>
        <v/>
      </c>
      <c r="Q227" s="7" t="n">
        <v>0.0444</v>
      </c>
      <c r="R227" s="8" t="n">
        <v>14.162509</v>
      </c>
      <c r="S227" s="4" t="inlineStr"/>
      <c r="T227" s="9" t="inlineStr">
        <is>
          <t>SI</t>
        </is>
      </c>
      <c r="U227" s="9" t="inlineStr"/>
      <c r="V227" s="10">
        <f>Umbrales!$B$9*(K227/1000)^Umbrales!$B$10</f>
        <v/>
      </c>
    </row>
    <row r="228">
      <c r="A228" s="4" t="inlineStr">
        <is>
          <t>BA.L</t>
        </is>
      </c>
      <c r="B228" s="4" t="inlineStr">
        <is>
          <t>BAE Systems plc</t>
        </is>
      </c>
      <c r="C228" s="4" t="inlineStr">
        <is>
          <t>United Kingdom</t>
        </is>
      </c>
      <c r="D228" s="4" t="inlineStr">
        <is>
          <t>GB</t>
        </is>
      </c>
      <c r="E228" s="4" t="inlineStr">
        <is>
          <t>Industria</t>
        </is>
      </c>
      <c r="F228" s="4" t="inlineStr">
        <is>
          <t>Aerospace &amp; Defense</t>
        </is>
      </c>
      <c r="G228" s="4" t="inlineStr">
        <is>
          <t>LSE</t>
        </is>
      </c>
      <c r="H228" s="4" t="inlineStr">
        <is>
          <t>GBP</t>
        </is>
      </c>
      <c r="I228" s="5" t="n">
        <v>56566.74304</v>
      </c>
      <c r="J228" s="6">
        <f>INDEX(FX!$B:$B,MATCH(H228,FX!$A:$A,0))</f>
        <v/>
      </c>
      <c r="K228" s="5">
        <f>I228*J228</f>
        <v/>
      </c>
      <c r="L228" s="4">
        <f>IF(U228&lt;&gt;"",U228,IF(K228&gt;=Umbrales!$B$2,"Legendaria",IF(K228&gt;=Umbrales!$B$3,"Épica",IF(K228&gt;=Umbrales!$B$4,"Rara",IF(K228&gt;=Umbrales!$B$5,"Poco común","Común")))))</f>
        <v/>
      </c>
      <c r="M228" s="5" t="n">
        <v>29379.999744</v>
      </c>
      <c r="N228" s="5" t="n">
        <v>2112.999936</v>
      </c>
      <c r="O228" s="5">
        <f>IF(M228="","",M228*J228)</f>
        <v/>
      </c>
      <c r="P228" s="5">
        <f>IF(N228="","",N228*J228)</f>
        <v/>
      </c>
      <c r="Q228" s="7" t="n">
        <v>0.0195</v>
      </c>
      <c r="R228" s="8" t="n">
        <v>27.621428</v>
      </c>
      <c r="S228" s="4" t="inlineStr">
        <is>
          <t>UK_TOP</t>
        </is>
      </c>
      <c r="T228" s="9" t="inlineStr">
        <is>
          <t>SI</t>
        </is>
      </c>
      <c r="U228" s="9" t="inlineStr"/>
      <c r="V228" s="10">
        <f>Umbrales!$B$9*(K228/1000)^Umbrales!$B$10</f>
        <v/>
      </c>
    </row>
    <row r="229">
      <c r="A229" s="4" t="inlineStr">
        <is>
          <t>CMCSA</t>
        </is>
      </c>
      <c r="B229" s="4" t="inlineStr">
        <is>
          <t>Comcast Corporation</t>
        </is>
      </c>
      <c r="C229" s="4" t="inlineStr">
        <is>
          <t>United States</t>
        </is>
      </c>
      <c r="D229" s="4" t="inlineStr">
        <is>
          <t>US</t>
        </is>
      </c>
      <c r="E229" s="4" t="inlineStr">
        <is>
          <t>Comunicación</t>
        </is>
      </c>
      <c r="F229" s="4" t="inlineStr">
        <is>
          <t>Telecom Services</t>
        </is>
      </c>
      <c r="G229" s="4" t="inlineStr">
        <is>
          <t>NMS</t>
        </is>
      </c>
      <c r="H229" s="4" t="inlineStr">
        <is>
          <t>USD</t>
        </is>
      </c>
      <c r="I229" s="5" t="n">
        <v>74698.801152</v>
      </c>
      <c r="J229" s="6">
        <f>INDEX(FX!$B:$B,MATCH(H229,FX!$A:$A,0))</f>
        <v/>
      </c>
      <c r="K229" s="5">
        <f>I229*J229</f>
        <v/>
      </c>
      <c r="L229" s="4">
        <f>IF(U229&lt;&gt;"",U229,IF(K229&gt;=Umbrales!$B$2,"Legendaria",IF(K229&gt;=Umbrales!$B$3,"Épica",IF(K229&gt;=Umbrales!$B$4,"Rara",IF(K229&gt;=Umbrales!$B$5,"Poco común","Común")))))</f>
        <v/>
      </c>
      <c r="M229" s="5" t="n">
        <v>124903.99744</v>
      </c>
      <c r="N229" s="5" t="n">
        <v>11198.999552</v>
      </c>
      <c r="O229" s="5">
        <f>IF(M229="","",M229*J229)</f>
        <v/>
      </c>
      <c r="P229" s="5">
        <f>IF(N229="","",N229*J229)</f>
        <v/>
      </c>
      <c r="Q229" s="7" t="n">
        <v>0.06320000000000001</v>
      </c>
      <c r="R229" s="8" t="n">
        <v>6.7252393</v>
      </c>
      <c r="S229" s="4" t="inlineStr">
        <is>
          <t>NASDAQ100</t>
        </is>
      </c>
      <c r="T229" s="9" t="inlineStr">
        <is>
          <t>SI</t>
        </is>
      </c>
      <c r="U229" s="9" t="inlineStr"/>
      <c r="V229" s="10">
        <f>Umbrales!$B$9*(K229/1000)^Umbrales!$B$10</f>
        <v/>
      </c>
    </row>
    <row r="230">
      <c r="A230" s="4" t="inlineStr">
        <is>
          <t>IFX.DE</t>
        </is>
      </c>
      <c r="B230" s="4" t="inlineStr">
        <is>
          <t>Infineon Technologies AG</t>
        </is>
      </c>
      <c r="C230" s="4" t="inlineStr">
        <is>
          <t>Germany</t>
        </is>
      </c>
      <c r="D230" s="4" t="inlineStr">
        <is>
          <t>DE</t>
        </is>
      </c>
      <c r="E230" s="4" t="inlineStr">
        <is>
          <t>Tecnología</t>
        </is>
      </c>
      <c r="F230" s="4" t="inlineStr">
        <is>
          <t>Semiconductors</t>
        </is>
      </c>
      <c r="G230" s="4" t="inlineStr">
        <is>
          <t>GER</t>
        </is>
      </c>
      <c r="H230" s="4" t="inlineStr">
        <is>
          <t>EUR</t>
        </is>
      </c>
      <c r="I230" s="5" t="n">
        <v>66014.580736</v>
      </c>
      <c r="J230" s="6">
        <f>INDEX(FX!$B:$B,MATCH(H230,FX!$A:$A,0))</f>
        <v/>
      </c>
      <c r="K230" s="5">
        <f>I230*J230</f>
        <v/>
      </c>
      <c r="L230" s="4">
        <f>IF(U230&lt;&gt;"",U230,IF(K230&gt;=Umbrales!$B$2,"Legendaria",IF(K230&gt;=Umbrales!$B$3,"Épica",IF(K230&gt;=Umbrales!$B$4,"Rara",IF(K230&gt;=Umbrales!$B$5,"Poco común","Común")))))</f>
        <v/>
      </c>
      <c r="M230" s="5" t="n">
        <v>15591.000064</v>
      </c>
      <c r="N230" s="5" t="n">
        <v>1204</v>
      </c>
      <c r="O230" s="5">
        <f>IF(M230="","",M230*J230)</f>
        <v/>
      </c>
      <c r="P230" s="5">
        <f>IF(N230="","",N230*J230)</f>
        <v/>
      </c>
      <c r="Q230" s="7" t="n">
        <v>0.005699999999999999</v>
      </c>
      <c r="R230" s="8" t="n">
        <v>59.7647</v>
      </c>
      <c r="S230" s="4" t="inlineStr">
        <is>
          <t>DAX40, EUROSTOXX50</t>
        </is>
      </c>
      <c r="T230" s="9" t="inlineStr">
        <is>
          <t>SI</t>
        </is>
      </c>
      <c r="U230" s="9" t="inlineStr"/>
      <c r="V230" s="10">
        <f>Umbrales!$B$9*(K230/1000)^Umbrales!$B$10</f>
        <v/>
      </c>
    </row>
    <row r="231">
      <c r="A231" s="4" t="inlineStr">
        <is>
          <t>CL</t>
        </is>
      </c>
      <c r="B231" s="4" t="inlineStr">
        <is>
          <t>Colgate-Palmolive Company</t>
        </is>
      </c>
      <c r="C231" s="4" t="inlineStr">
        <is>
          <t>United States</t>
        </is>
      </c>
      <c r="D231" s="4" t="inlineStr">
        <is>
          <t>US</t>
        </is>
      </c>
      <c r="E231" s="4" t="inlineStr">
        <is>
          <t>Consumo básico</t>
        </is>
      </c>
      <c r="F231" s="4" t="inlineStr">
        <is>
          <t>Household &amp; Personal Products</t>
        </is>
      </c>
      <c r="G231" s="4" t="inlineStr">
        <is>
          <t>NYQ</t>
        </is>
      </c>
      <c r="H231" s="4" t="inlineStr">
        <is>
          <t>USD</t>
        </is>
      </c>
      <c r="I231" s="5" t="n">
        <v>73961.693184</v>
      </c>
      <c r="J231" s="6">
        <f>INDEX(FX!$B:$B,MATCH(H231,FX!$A:$A,0))</f>
        <v/>
      </c>
      <c r="K231" s="5">
        <f>I231*J231</f>
        <v/>
      </c>
      <c r="L231" s="4">
        <f>IF(U231&lt;&gt;"",U231,IF(K231&gt;=Umbrales!$B$2,"Legendaria",IF(K231&gt;=Umbrales!$B$3,"Épica",IF(K231&gt;=Umbrales!$B$4,"Rara",IF(K231&gt;=Umbrales!$B$5,"Poco común","Común")))))</f>
        <v/>
      </c>
      <c r="M231" s="5" t="n">
        <v>21046.99904</v>
      </c>
      <c r="N231" s="5" t="n">
        <v>2038</v>
      </c>
      <c r="O231" s="5">
        <f>IF(M231="","",M231*J231)</f>
        <v/>
      </c>
      <c r="P231" s="5">
        <f>IF(N231="","",N231*J231)</f>
        <v/>
      </c>
      <c r="Q231" s="7" t="n">
        <v>0.0236</v>
      </c>
      <c r="R231" s="8" t="n">
        <v>35.412216</v>
      </c>
      <c r="S231" s="4" t="inlineStr"/>
      <c r="T231" s="9" t="inlineStr">
        <is>
          <t>SI</t>
        </is>
      </c>
      <c r="U231" s="9" t="inlineStr"/>
      <c r="V231" s="10">
        <f>Umbrales!$B$9*(K231/1000)^Umbrales!$B$10</f>
        <v/>
      </c>
    </row>
    <row r="232">
      <c r="A232" s="4" t="inlineStr">
        <is>
          <t>HLT</t>
        </is>
      </c>
      <c r="B232" s="4" t="inlineStr">
        <is>
          <t>Hilton Worldwide Holdings Inc.</t>
        </is>
      </c>
      <c r="C232" s="4" t="inlineStr">
        <is>
          <t>United States</t>
        </is>
      </c>
      <c r="D232" s="4" t="inlineStr">
        <is>
          <t>US</t>
        </is>
      </c>
      <c r="E232" s="4" t="inlineStr">
        <is>
          <t>Consumo cíclico</t>
        </is>
      </c>
      <c r="F232" s="4" t="inlineStr">
        <is>
          <t>Lodging</t>
        </is>
      </c>
      <c r="G232" s="4" t="inlineStr">
        <is>
          <t>NYQ</t>
        </is>
      </c>
      <c r="H232" s="4" t="inlineStr">
        <is>
          <t>USD</t>
        </is>
      </c>
      <c r="I232" s="5" t="n">
        <v>73821.290496</v>
      </c>
      <c r="J232" s="6">
        <f>INDEX(FX!$B:$B,MATCH(H232,FX!$A:$A,0))</f>
        <v/>
      </c>
      <c r="K232" s="5">
        <f>I232*J232</f>
        <v/>
      </c>
      <c r="L232" s="4">
        <f>IF(U232&lt;&gt;"",U232,IF(K232&gt;=Umbrales!$B$2,"Legendaria",IF(K232&gt;=Umbrales!$B$3,"Épica",IF(K232&gt;=Umbrales!$B$4,"Rara",IF(K232&gt;=Umbrales!$B$5,"Poco común","Común")))))</f>
        <v/>
      </c>
      <c r="M232" s="5" t="n">
        <v>5104</v>
      </c>
      <c r="N232" s="5" t="n">
        <v>1584</v>
      </c>
      <c r="O232" s="5">
        <f>IF(M232="","",M232*J232)</f>
        <v/>
      </c>
      <c r="P232" s="5">
        <f>IF(N232="","",N232*J232)</f>
        <v/>
      </c>
      <c r="Q232" s="7" t="n">
        <v>0.0018</v>
      </c>
      <c r="R232" s="8" t="n">
        <v>48.09384</v>
      </c>
      <c r="S232" s="4" t="inlineStr"/>
      <c r="T232" s="9" t="inlineStr">
        <is>
          <t>SI</t>
        </is>
      </c>
      <c r="U232" s="9" t="inlineStr"/>
      <c r="V232" s="10">
        <f>Umbrales!$B$9*(K232/1000)^Umbrales!$B$10</f>
        <v/>
      </c>
    </row>
    <row r="233">
      <c r="A233" s="4" t="inlineStr">
        <is>
          <t>ROST</t>
        </is>
      </c>
      <c r="B233" s="4" t="inlineStr">
        <is>
          <t>Ross Stores, Inc.</t>
        </is>
      </c>
      <c r="C233" s="4" t="inlineStr">
        <is>
          <t>United States</t>
        </is>
      </c>
      <c r="D233" s="4" t="inlineStr">
        <is>
          <t>US</t>
        </is>
      </c>
      <c r="E233" s="4" t="inlineStr">
        <is>
          <t>Consumo cíclico</t>
        </is>
      </c>
      <c r="F233" s="4" t="inlineStr">
        <is>
          <t>Apparel Retail</t>
        </is>
      </c>
      <c r="G233" s="4" t="inlineStr">
        <is>
          <t>NMS</t>
        </is>
      </c>
      <c r="H233" s="4" t="inlineStr">
        <is>
          <t>USD</t>
        </is>
      </c>
      <c r="I233" s="5" t="n">
        <v>73656.311808</v>
      </c>
      <c r="J233" s="6">
        <f>INDEX(FX!$B:$B,MATCH(H233,FX!$A:$A,0))</f>
        <v/>
      </c>
      <c r="K233" s="5">
        <f>I233*J233</f>
        <v/>
      </c>
      <c r="L233" s="4">
        <f>IF(U233&lt;&gt;"",U233,IF(K233&gt;=Umbrales!$B$2,"Legendaria",IF(K233&gt;=Umbrales!$B$3,"Épica",IF(K233&gt;=Umbrales!$B$4,"Rara",IF(K233&gt;=Umbrales!$B$5,"Poco común","Común")))))</f>
        <v/>
      </c>
      <c r="M233" s="5" t="n">
        <v>24511.797248</v>
      </c>
      <c r="N233" s="5" t="n">
        <v>2659.06304</v>
      </c>
      <c r="O233" s="5">
        <f>IF(M233="","",M233*J233)</f>
        <v/>
      </c>
      <c r="P233" s="5">
        <f>IF(N233="","",N233*J233)</f>
        <v/>
      </c>
      <c r="Q233" s="7" t="n">
        <v>0.007900000000000001</v>
      </c>
      <c r="R233" s="8" t="n">
        <v>27.286392</v>
      </c>
      <c r="S233" s="4" t="inlineStr">
        <is>
          <t>NASDAQ100</t>
        </is>
      </c>
      <c r="T233" s="9" t="inlineStr">
        <is>
          <t>SI</t>
        </is>
      </c>
      <c r="U233" s="9" t="inlineStr"/>
      <c r="V233" s="10">
        <f>Umbrales!$B$9*(K233/1000)^Umbrales!$B$10</f>
        <v/>
      </c>
    </row>
    <row r="234">
      <c r="A234" s="4" t="inlineStr">
        <is>
          <t>GM</t>
        </is>
      </c>
      <c r="B234" s="4" t="inlineStr">
        <is>
          <t>General Motors Company</t>
        </is>
      </c>
      <c r="C234" s="4" t="inlineStr">
        <is>
          <t>United States</t>
        </is>
      </c>
      <c r="D234" s="4" t="inlineStr">
        <is>
          <t>US</t>
        </is>
      </c>
      <c r="E234" s="4" t="inlineStr">
        <is>
          <t>Consumo cíclico</t>
        </is>
      </c>
      <c r="F234" s="4" t="inlineStr">
        <is>
          <t>Auto Manufacturers</t>
        </is>
      </c>
      <c r="G234" s="4" t="inlineStr">
        <is>
          <t>NYQ</t>
        </is>
      </c>
      <c r="H234" s="4" t="inlineStr">
        <is>
          <t>USD</t>
        </is>
      </c>
      <c r="I234" s="5" t="n">
        <v>72872.35379199999</v>
      </c>
      <c r="J234" s="6">
        <f>INDEX(FX!$B:$B,MATCH(H234,FX!$A:$A,0))</f>
        <v/>
      </c>
      <c r="K234" s="5">
        <f>I234*J234</f>
        <v/>
      </c>
      <c r="L234" s="4">
        <f>IF(U234&lt;&gt;"",U234,IF(K234&gt;=Umbrales!$B$2,"Legendaria",IF(K234&gt;=Umbrales!$B$3,"Épica",IF(K234&gt;=Umbrales!$B$4,"Rara",IF(K234&gt;=Umbrales!$B$5,"Poco común","Común")))))</f>
        <v/>
      </c>
      <c r="M234" s="5" t="n">
        <v>185527.99232</v>
      </c>
      <c r="N234" s="5" t="n">
        <v>1856.999936</v>
      </c>
      <c r="O234" s="5">
        <f>IF(M234="","",M234*J234)</f>
        <v/>
      </c>
      <c r="P234" s="5">
        <f>IF(N234="","",N234*J234)</f>
        <v/>
      </c>
      <c r="Q234" s="7" t="n">
        <v>0.0086</v>
      </c>
      <c r="R234" s="8" t="n">
        <v>37.75</v>
      </c>
      <c r="S234" s="4" t="inlineStr"/>
      <c r="T234" s="9" t="inlineStr">
        <is>
          <t>SI</t>
        </is>
      </c>
      <c r="U234" s="9" t="inlineStr"/>
      <c r="V234" s="10">
        <f>Umbrales!$B$9*(K234/1000)^Umbrales!$B$10</f>
        <v/>
      </c>
    </row>
    <row r="235">
      <c r="A235" s="4" t="inlineStr">
        <is>
          <t>NSC</t>
        </is>
      </c>
      <c r="B235" s="4" t="inlineStr">
        <is>
          <t>Norfolk Southern Corporation</t>
        </is>
      </c>
      <c r="C235" s="4" t="inlineStr">
        <is>
          <t>United States</t>
        </is>
      </c>
      <c r="D235" s="4" t="inlineStr">
        <is>
          <t>US</t>
        </is>
      </c>
      <c r="E235" s="4" t="inlineStr">
        <is>
          <t>Industria</t>
        </is>
      </c>
      <c r="F235" s="4" t="inlineStr">
        <is>
          <t>Railroads</t>
        </is>
      </c>
      <c r="G235" s="4" t="inlineStr">
        <is>
          <t>NYQ</t>
        </is>
      </c>
      <c r="H235" s="4" t="inlineStr">
        <is>
          <t>USD</t>
        </is>
      </c>
      <c r="I235" s="5" t="n">
        <v>72712.47052800001</v>
      </c>
      <c r="J235" s="6">
        <f>INDEX(FX!$B:$B,MATCH(H235,FX!$A:$A,0))</f>
        <v/>
      </c>
      <c r="K235" s="5">
        <f>I235*J235</f>
        <v/>
      </c>
      <c r="L235" s="4">
        <f>IF(U235&lt;&gt;"",U235,IF(K235&gt;=Umbrales!$B$2,"Legendaria",IF(K235&gt;=Umbrales!$B$3,"Épica",IF(K235&gt;=Umbrales!$B$4,"Rara",IF(K235&gt;=Umbrales!$B$5,"Poco común","Común")))))</f>
        <v/>
      </c>
      <c r="M235" s="5" t="n">
        <v>12540.000256</v>
      </c>
      <c r="N235" s="5" t="n">
        <v>2632.999936</v>
      </c>
      <c r="O235" s="5">
        <f>IF(M235="","",M235*J235)</f>
        <v/>
      </c>
      <c r="P235" s="5">
        <f>IF(N235="","",N235*J235)</f>
        <v/>
      </c>
      <c r="Q235" s="7" t="n">
        <v>0.0168</v>
      </c>
      <c r="R235" s="8" t="n">
        <v>27.622013</v>
      </c>
      <c r="S235" s="4" t="inlineStr"/>
      <c r="T235" s="9" t="inlineStr">
        <is>
          <t>SI</t>
        </is>
      </c>
      <c r="U235" s="9" t="inlineStr"/>
      <c r="V235" s="10">
        <f>Umbrales!$B$9*(K235/1000)^Umbrales!$B$10</f>
        <v/>
      </c>
    </row>
    <row r="236">
      <c r="A236" s="4" t="inlineStr">
        <is>
          <t>SLB</t>
        </is>
      </c>
      <c r="B236" s="4" t="inlineStr">
        <is>
          <t>SLB N.V.</t>
        </is>
      </c>
      <c r="C236" s="4" t="inlineStr">
        <is>
          <t>United States</t>
        </is>
      </c>
      <c r="D236" s="4" t="inlineStr">
        <is>
          <t>US</t>
        </is>
      </c>
      <c r="E236" s="4" t="inlineStr">
        <is>
          <t>Energía</t>
        </is>
      </c>
      <c r="F236" s="4" t="inlineStr">
        <is>
          <t>Oil &amp; Gas Equipment &amp; Services</t>
        </is>
      </c>
      <c r="G236" s="4" t="inlineStr">
        <is>
          <t>NYQ</t>
        </is>
      </c>
      <c r="H236" s="4" t="inlineStr">
        <is>
          <t>USD</t>
        </is>
      </c>
      <c r="I236" s="5" t="n">
        <v>71995.785216</v>
      </c>
      <c r="J236" s="6">
        <f>INDEX(FX!$B:$B,MATCH(H236,FX!$A:$A,0))</f>
        <v/>
      </c>
      <c r="K236" s="5">
        <f>I236*J236</f>
        <v/>
      </c>
      <c r="L236" s="4">
        <f>IF(U236&lt;&gt;"",U236,IF(K236&gt;=Umbrales!$B$2,"Legendaria",IF(K236&gt;=Umbrales!$B$3,"Épica",IF(K236&gt;=Umbrales!$B$4,"Rara",IF(K236&gt;=Umbrales!$B$5,"Poco común","Común")))))</f>
        <v/>
      </c>
      <c r="M236" s="5" t="n">
        <v>36366.000128</v>
      </c>
      <c r="N236" s="5" t="n">
        <v>3100.999936</v>
      </c>
      <c r="O236" s="5">
        <f>IF(M236="","",M236*J236)</f>
        <v/>
      </c>
      <c r="P236" s="5">
        <f>IF(N236="","",N236*J236)</f>
        <v/>
      </c>
      <c r="Q236" s="7" t="n">
        <v>0.0242</v>
      </c>
      <c r="R236" s="8" t="n">
        <v>23.434782</v>
      </c>
      <c r="S236" s="4" t="inlineStr"/>
      <c r="T236" s="9" t="inlineStr">
        <is>
          <t>SI</t>
        </is>
      </c>
      <c r="U236" s="9" t="inlineStr"/>
      <c r="V236" s="10">
        <f>Umbrales!$B$9*(K236/1000)^Umbrales!$B$10</f>
        <v/>
      </c>
    </row>
    <row r="237">
      <c r="A237" s="4" t="inlineStr">
        <is>
          <t>DHL.DE</t>
        </is>
      </c>
      <c r="B237" s="4" t="inlineStr">
        <is>
          <t>DHL AG</t>
        </is>
      </c>
      <c r="C237" s="4" t="inlineStr">
        <is>
          <t>Germany</t>
        </is>
      </c>
      <c r="D237" s="4" t="inlineStr">
        <is>
          <t>DE</t>
        </is>
      </c>
      <c r="E237" s="4" t="inlineStr">
        <is>
          <t>Industria</t>
        </is>
      </c>
      <c r="F237" s="4" t="inlineStr">
        <is>
          <t>Integrated Freight &amp; Logistics</t>
        </is>
      </c>
      <c r="G237" s="4" t="inlineStr">
        <is>
          <t>GER</t>
        </is>
      </c>
      <c r="H237" s="4" t="inlineStr">
        <is>
          <t>EUR</t>
        </is>
      </c>
      <c r="I237" s="5" t="n">
        <v>63998.328832</v>
      </c>
      <c r="J237" s="6">
        <f>INDEX(FX!$B:$B,MATCH(H237,FX!$A:$A,0))</f>
        <v/>
      </c>
      <c r="K237" s="5">
        <f>I237*J237</f>
        <v/>
      </c>
      <c r="L237" s="4">
        <f>IF(U237&lt;&gt;"",U237,IF(K237&gt;=Umbrales!$B$2,"Legendaria",IF(K237&gt;=Umbrales!$B$3,"Épica",IF(K237&gt;=Umbrales!$B$4,"Rara",IF(K237&gt;=Umbrales!$B$5,"Poco común","Común")))))</f>
        <v/>
      </c>
      <c r="M237" s="5" t="n">
        <v>85574.00064</v>
      </c>
      <c r="N237" s="5" t="n">
        <v>3716.999936</v>
      </c>
      <c r="O237" s="5">
        <f>IF(M237="","",M237*J237)</f>
        <v/>
      </c>
      <c r="P237" s="5">
        <f>IF(N237="","",N237*J237)</f>
        <v/>
      </c>
      <c r="Q237" s="7" t="n">
        <v>0.0342</v>
      </c>
      <c r="R237" s="8" t="n">
        <v>17.274925</v>
      </c>
      <c r="S237" s="4" t="inlineStr">
        <is>
          <t>DAX40, EUROSTOXX50</t>
        </is>
      </c>
      <c r="T237" s="9" t="inlineStr">
        <is>
          <t>SI</t>
        </is>
      </c>
      <c r="U237" s="9" t="inlineStr"/>
      <c r="V237" s="10">
        <f>Umbrales!$B$9*(K237/1000)^Umbrales!$B$10</f>
        <v/>
      </c>
    </row>
    <row r="238">
      <c r="A238" s="4" t="inlineStr">
        <is>
          <t>TGT</t>
        </is>
      </c>
      <c r="B238" s="4" t="inlineStr">
        <is>
          <t>Target Corporation</t>
        </is>
      </c>
      <c r="C238" s="4" t="inlineStr">
        <is>
          <t>United States</t>
        </is>
      </c>
      <c r="D238" s="4" t="inlineStr">
        <is>
          <t>US</t>
        </is>
      </c>
      <c r="E238" s="4" t="inlineStr">
        <is>
          <t>Consumo básico</t>
        </is>
      </c>
      <c r="F238" s="4" t="inlineStr">
        <is>
          <t>Discount Stores</t>
        </is>
      </c>
      <c r="G238" s="4" t="inlineStr">
        <is>
          <t>NYQ</t>
        </is>
      </c>
      <c r="H238" s="4" t="inlineStr">
        <is>
          <t>USD</t>
        </is>
      </c>
      <c r="I238" s="5" t="n">
        <v>70556.00844799999</v>
      </c>
      <c r="J238" s="6">
        <f>INDEX(FX!$B:$B,MATCH(H238,FX!$A:$A,0))</f>
        <v/>
      </c>
      <c r="K238" s="5">
        <f>I238*J238</f>
        <v/>
      </c>
      <c r="L238" s="4">
        <f>IF(U238&lt;&gt;"",U238,IF(K238&gt;=Umbrales!$B$2,"Legendaria",IF(K238&gt;=Umbrales!$B$3,"Épica",IF(K238&gt;=Umbrales!$B$4,"Rara",IF(K238&gt;=Umbrales!$B$5,"Poco común","Común")))))</f>
        <v/>
      </c>
      <c r="M238" s="5" t="n">
        <v>107704.999936</v>
      </c>
      <c r="N238" s="5" t="n">
        <v>4392</v>
      </c>
      <c r="O238" s="5">
        <f>IF(M238="","",M238*J238)</f>
        <v/>
      </c>
      <c r="P238" s="5">
        <f>IF(N238="","",N238*J238)</f>
        <v/>
      </c>
      <c r="Q238" s="7" t="n">
        <v>0.0305</v>
      </c>
      <c r="R238" s="8" t="n">
        <v>15.783536</v>
      </c>
      <c r="S238" s="4" t="inlineStr"/>
      <c r="T238" s="9" t="inlineStr">
        <is>
          <t>SI</t>
        </is>
      </c>
      <c r="U238" s="9" t="inlineStr"/>
      <c r="V238" s="10">
        <f>Umbrales!$B$9*(K238/1000)^Umbrales!$B$10</f>
        <v/>
      </c>
    </row>
    <row r="239">
      <c r="A239" s="4" t="inlineStr">
        <is>
          <t>NOC</t>
        </is>
      </c>
      <c r="B239" s="4" t="inlineStr">
        <is>
          <t>Northrop Grumman Corporation</t>
        </is>
      </c>
      <c r="C239" s="4" t="inlineStr">
        <is>
          <t>United States</t>
        </is>
      </c>
      <c r="D239" s="4" t="inlineStr">
        <is>
          <t>US</t>
        </is>
      </c>
      <c r="E239" s="4" t="inlineStr">
        <is>
          <t>Industria</t>
        </is>
      </c>
      <c r="F239" s="4" t="inlineStr">
        <is>
          <t>Aerospace &amp; Defense</t>
        </is>
      </c>
      <c r="G239" s="4" t="inlineStr">
        <is>
          <t>NYQ</t>
        </is>
      </c>
      <c r="H239" s="4" t="inlineStr">
        <is>
          <t>USD</t>
        </is>
      </c>
      <c r="I239" s="5" t="n">
        <v>70419.21843199999</v>
      </c>
      <c r="J239" s="6">
        <f>INDEX(FX!$B:$B,MATCH(H239,FX!$A:$A,0))</f>
        <v/>
      </c>
      <c r="K239" s="5">
        <f>I239*J239</f>
        <v/>
      </c>
      <c r="L239" s="4">
        <f>IF(U239&lt;&gt;"",U239,IF(K239&gt;=Umbrales!$B$2,"Legendaria",IF(K239&gt;=Umbrales!$B$3,"Épica",IF(K239&gt;=Umbrales!$B$4,"Rara",IF(K239&gt;=Umbrales!$B$5,"Poco común","Común")))))</f>
        <v/>
      </c>
      <c r="M239" s="5" t="n">
        <v>42892.00128</v>
      </c>
      <c r="N239" s="5" t="n">
        <v>4496</v>
      </c>
      <c r="O239" s="5">
        <f>IF(M239="","",M239*J239)</f>
        <v/>
      </c>
      <c r="P239" s="5">
        <f>IF(N239="","",N239*J239)</f>
        <v/>
      </c>
      <c r="Q239" s="7" t="n">
        <v>0.0205</v>
      </c>
      <c r="R239" s="8" t="n">
        <v>15.756199</v>
      </c>
      <c r="S239" s="4" t="inlineStr"/>
      <c r="T239" s="9" t="inlineStr">
        <is>
          <t>SI</t>
        </is>
      </c>
      <c r="U239" s="9" t="inlineStr"/>
      <c r="V239" s="10">
        <f>Umbrales!$B$9*(K239/1000)^Umbrales!$B$10</f>
        <v/>
      </c>
    </row>
    <row r="240">
      <c r="A240" s="4" t="inlineStr">
        <is>
          <t>ORLY</t>
        </is>
      </c>
      <c r="B240" s="4" t="inlineStr">
        <is>
          <t>O'Reilly Automotive, Inc.</t>
        </is>
      </c>
      <c r="C240" s="4" t="inlineStr">
        <is>
          <t>United States</t>
        </is>
      </c>
      <c r="D240" s="4" t="inlineStr">
        <is>
          <t>US</t>
        </is>
      </c>
      <c r="E240" s="4" t="inlineStr">
        <is>
          <t>Consumo cíclico</t>
        </is>
      </c>
      <c r="F240" s="4" t="inlineStr">
        <is>
          <t>Auto Parts</t>
        </is>
      </c>
      <c r="G240" s="4" t="inlineStr">
        <is>
          <t>NMS</t>
        </is>
      </c>
      <c r="H240" s="4" t="inlineStr">
        <is>
          <t>USD</t>
        </is>
      </c>
      <c r="I240" s="5" t="n">
        <v>70128.812032</v>
      </c>
      <c r="J240" s="6">
        <f>INDEX(FX!$B:$B,MATCH(H240,FX!$A:$A,0))</f>
        <v/>
      </c>
      <c r="K240" s="5">
        <f>I240*J240</f>
        <v/>
      </c>
      <c r="L240" s="4">
        <f>IF(U240&lt;&gt;"",U240,IF(K240&gt;=Umbrales!$B$2,"Legendaria",IF(K240&gt;=Umbrales!$B$3,"Épica",IF(K240&gt;=Umbrales!$B$4,"Rara",IF(K240&gt;=Umbrales!$B$5,"Poco común","Común")))))</f>
        <v/>
      </c>
      <c r="M240" s="5" t="n">
        <v>18572.562432</v>
      </c>
      <c r="N240" s="5" t="n">
        <v>2650.373888</v>
      </c>
      <c r="O240" s="5">
        <f>IF(M240="","",M240*J240)</f>
        <v/>
      </c>
      <c r="P240" s="5">
        <f>IF(N240="","",N240*J240)</f>
        <v/>
      </c>
      <c r="Q240" s="7" t="n">
        <v>0</v>
      </c>
      <c r="R240" s="8" t="n">
        <v>27.347004</v>
      </c>
      <c r="S240" s="4" t="inlineStr">
        <is>
          <t>NASDAQ100</t>
        </is>
      </c>
      <c r="T240" s="9" t="inlineStr">
        <is>
          <t>SI</t>
        </is>
      </c>
      <c r="U240" s="9" t="inlineStr"/>
      <c r="V240" s="10">
        <f>Umbrales!$B$9*(K240/1000)^Umbrales!$B$10</f>
        <v/>
      </c>
    </row>
    <row r="241">
      <c r="A241" s="4" t="inlineStr">
        <is>
          <t>MRK.DE</t>
        </is>
      </c>
      <c r="B241" s="4" t="inlineStr">
        <is>
          <t>Merck KGaA</t>
        </is>
      </c>
      <c r="C241" s="4" t="inlineStr">
        <is>
          <t>Germany</t>
        </is>
      </c>
      <c r="D241" s="4" t="inlineStr">
        <is>
          <t>DE</t>
        </is>
      </c>
      <c r="E241" s="4" t="inlineStr">
        <is>
          <t>Salud</t>
        </is>
      </c>
      <c r="F241" s="4" t="inlineStr">
        <is>
          <t>Drug Manufacturers - Specialty &amp; Generic</t>
        </is>
      </c>
      <c r="G241" s="4" t="inlineStr">
        <is>
          <t>GER</t>
        </is>
      </c>
      <c r="H241" s="4" t="inlineStr">
        <is>
          <t>EUR</t>
        </is>
      </c>
      <c r="I241" s="5" t="n">
        <v>61890.633728</v>
      </c>
      <c r="J241" s="6">
        <f>INDEX(FX!$B:$B,MATCH(H241,FX!$A:$A,0))</f>
        <v/>
      </c>
      <c r="K241" s="5">
        <f>I241*J241</f>
        <v/>
      </c>
      <c r="L241" s="4">
        <f>IF(U241&lt;&gt;"",U241,IF(K241&gt;=Umbrales!$B$2,"Legendaria",IF(K241&gt;=Umbrales!$B$3,"Épica",IF(K241&gt;=Umbrales!$B$4,"Rara",IF(K241&gt;=Umbrales!$B$5,"Poco común","Común")))))</f>
        <v/>
      </c>
      <c r="M241" s="5" t="n">
        <v>21134.999552</v>
      </c>
      <c r="N241" s="5" t="n">
        <v>2369.999872</v>
      </c>
      <c r="O241" s="5">
        <f>IF(M241="","",M241*J241)</f>
        <v/>
      </c>
      <c r="P241" s="5">
        <f>IF(N241="","",N241*J241)</f>
        <v/>
      </c>
      <c r="Q241" s="7" t="n">
        <v>0.0157</v>
      </c>
      <c r="R241" s="8" t="n">
        <v>26.60748</v>
      </c>
      <c r="S241" s="4" t="inlineStr">
        <is>
          <t>DAX40</t>
        </is>
      </c>
      <c r="T241" s="9" t="inlineStr">
        <is>
          <t>SI</t>
        </is>
      </c>
      <c r="U241" s="9" t="inlineStr"/>
      <c r="V241" s="10">
        <f>Umbrales!$B$9*(K241/1000)^Umbrales!$B$10</f>
        <v/>
      </c>
    </row>
    <row r="242">
      <c r="A242" s="4" t="inlineStr">
        <is>
          <t>FDX</t>
        </is>
      </c>
      <c r="B242" s="4" t="inlineStr">
        <is>
          <t>FedEx Corporation</t>
        </is>
      </c>
      <c r="C242" s="4" t="inlineStr">
        <is>
          <t>United States</t>
        </is>
      </c>
      <c r="D242" s="4" t="inlineStr">
        <is>
          <t>US</t>
        </is>
      </c>
      <c r="E242" s="4" t="inlineStr">
        <is>
          <t>Industria</t>
        </is>
      </c>
      <c r="F242" s="4" t="inlineStr">
        <is>
          <t>Integrated Freight &amp; Logistics</t>
        </is>
      </c>
      <c r="G242" s="4" t="inlineStr">
        <is>
          <t>NYQ</t>
        </is>
      </c>
      <c r="H242" s="4" t="inlineStr">
        <is>
          <t>USD</t>
        </is>
      </c>
      <c r="I242" s="5" t="n">
        <v>68937.35936</v>
      </c>
      <c r="J242" s="6">
        <f>INDEX(FX!$B:$B,MATCH(H242,FX!$A:$A,0))</f>
        <v/>
      </c>
      <c r="K242" s="5">
        <f>I242*J242</f>
        <v/>
      </c>
      <c r="L242" s="4">
        <f>IF(U242&lt;&gt;"",U242,IF(K242&gt;=Umbrales!$B$2,"Legendaria",IF(K242&gt;=Umbrales!$B$3,"Épica",IF(K242&gt;=Umbrales!$B$4,"Rara",IF(K242&gt;=Umbrales!$B$5,"Poco común","Común")))))</f>
        <v/>
      </c>
      <c r="M242" s="5" t="n">
        <v>94720</v>
      </c>
      <c r="N242" s="5" t="n">
        <v>4425.999872</v>
      </c>
      <c r="O242" s="5">
        <f>IF(M242="","",M242*J242)</f>
        <v/>
      </c>
      <c r="P242" s="5">
        <f>IF(N242="","",N242*J242)</f>
        <v/>
      </c>
      <c r="Q242" s="7" t="n">
        <v>0.0168</v>
      </c>
      <c r="R242" s="8" t="n">
        <v>15.668639</v>
      </c>
      <c r="S242" s="4" t="inlineStr"/>
      <c r="T242" s="9" t="inlineStr">
        <is>
          <t>SI</t>
        </is>
      </c>
      <c r="U242" s="9" t="inlineStr"/>
      <c r="V242" s="10">
        <f>Umbrales!$B$9*(K242/1000)^Umbrales!$B$10</f>
        <v/>
      </c>
    </row>
    <row r="243">
      <c r="A243" s="4" t="inlineStr">
        <is>
          <t>RSG</t>
        </is>
      </c>
      <c r="B243" s="4" t="inlineStr">
        <is>
          <t>Republic Services, Inc.</t>
        </is>
      </c>
      <c r="C243" s="4" t="inlineStr">
        <is>
          <t>United States</t>
        </is>
      </c>
      <c r="D243" s="4" t="inlineStr">
        <is>
          <t>US</t>
        </is>
      </c>
      <c r="E243" s="4" t="inlineStr">
        <is>
          <t>Industria</t>
        </is>
      </c>
      <c r="F243" s="4" t="inlineStr">
        <is>
          <t>Waste Management</t>
        </is>
      </c>
      <c r="G243" s="4" t="inlineStr">
        <is>
          <t>NYQ</t>
        </is>
      </c>
      <c r="H243" s="4" t="inlineStr">
        <is>
          <t>USD</t>
        </is>
      </c>
      <c r="I243" s="5" t="n">
        <v>68726.448128</v>
      </c>
      <c r="J243" s="6">
        <f>INDEX(FX!$B:$B,MATCH(H243,FX!$A:$A,0))</f>
        <v/>
      </c>
      <c r="K243" s="5">
        <f>I243*J243</f>
        <v/>
      </c>
      <c r="L243" s="4">
        <f>IF(U243&lt;&gt;"",U243,IF(K243&gt;=Umbrales!$B$2,"Legendaria",IF(K243&gt;=Umbrales!$B$3,"Épica",IF(K243&gt;=Umbrales!$B$4,"Rara",IF(K243&gt;=Umbrales!$B$5,"Poco común","Común")))))</f>
        <v/>
      </c>
      <c r="M243" s="5" t="n">
        <v>16890.999808</v>
      </c>
      <c r="N243" s="5" t="n">
        <v>2185.999872</v>
      </c>
      <c r="O243" s="5">
        <f>IF(M243="","",M243*J243)</f>
        <v/>
      </c>
      <c r="P243" s="5">
        <f>IF(N243="","",N243*J243)</f>
        <v/>
      </c>
      <c r="Q243" s="7" t="n">
        <v>0.0122</v>
      </c>
      <c r="R243" s="8" t="n">
        <v>31.83546</v>
      </c>
      <c r="S243" s="4" t="inlineStr"/>
      <c r="T243" s="9" t="inlineStr">
        <is>
          <t>SI</t>
        </is>
      </c>
      <c r="U243" s="9" t="inlineStr"/>
      <c r="V243" s="10">
        <f>Umbrales!$B$9*(K243/1000)^Umbrales!$B$10</f>
        <v/>
      </c>
    </row>
    <row r="244">
      <c r="A244" s="4" t="inlineStr">
        <is>
          <t>AEP</t>
        </is>
      </c>
      <c r="B244" s="4" t="inlineStr">
        <is>
          <t>American Electric Power Company, Inc.</t>
        </is>
      </c>
      <c r="C244" s="4" t="inlineStr">
        <is>
          <t>United States</t>
        </is>
      </c>
      <c r="D244" s="4" t="inlineStr">
        <is>
          <t>US</t>
        </is>
      </c>
      <c r="E244" s="4" t="inlineStr">
        <is>
          <t>Servicios públicos</t>
        </is>
      </c>
      <c r="F244" s="4" t="inlineStr">
        <is>
          <t>Utilities - Regulated Electric</t>
        </is>
      </c>
      <c r="G244" s="4" t="inlineStr">
        <is>
          <t>NMS</t>
        </is>
      </c>
      <c r="H244" s="4" t="inlineStr">
        <is>
          <t>USD</t>
        </is>
      </c>
      <c r="I244" s="5" t="n">
        <v>68664.840192</v>
      </c>
      <c r="J244" s="6">
        <f>INDEX(FX!$B:$B,MATCH(H244,FX!$A:$A,0))</f>
        <v/>
      </c>
      <c r="K244" s="5">
        <f>I244*J244</f>
        <v/>
      </c>
      <c r="L244" s="4">
        <f>IF(U244&lt;&gt;"",U244,IF(K244&gt;=Umbrales!$B$2,"Legendaria",IF(K244&gt;=Umbrales!$B$3,"Épica",IF(K244&gt;=Umbrales!$B$4,"Rara",IF(K244&gt;=Umbrales!$B$5,"Poco común","Común")))))</f>
        <v/>
      </c>
      <c r="M244" s="5" t="n">
        <v>22791.000064</v>
      </c>
      <c r="N244" s="5" t="n">
        <v>3140.999936</v>
      </c>
      <c r="O244" s="5">
        <f>IF(M244="","",M244*J244)</f>
        <v/>
      </c>
      <c r="P244" s="5">
        <f>IF(N244="","",N244*J244)</f>
        <v/>
      </c>
      <c r="Q244" s="7" t="n">
        <v>0.0302</v>
      </c>
      <c r="R244" s="8" t="n">
        <v>21.85962</v>
      </c>
      <c r="S244" s="4" t="inlineStr">
        <is>
          <t>NASDAQ100</t>
        </is>
      </c>
      <c r="T244" s="9" t="inlineStr">
        <is>
          <t>SI</t>
        </is>
      </c>
      <c r="U244" s="9" t="inlineStr"/>
      <c r="V244" s="10">
        <f>Umbrales!$B$9*(K244/1000)^Umbrales!$B$10</f>
        <v/>
      </c>
    </row>
    <row r="245">
      <c r="A245" s="4" t="inlineStr">
        <is>
          <t>RACE.MI</t>
        </is>
      </c>
      <c r="B245" s="4" t="inlineStr">
        <is>
          <t>Ferrari N.V.</t>
        </is>
      </c>
      <c r="C245" s="4" t="inlineStr">
        <is>
          <t>Italy</t>
        </is>
      </c>
      <c r="D245" s="4" t="inlineStr">
        <is>
          <t>IT</t>
        </is>
      </c>
      <c r="E245" s="4" t="inlineStr">
        <is>
          <t>Consumo cíclico</t>
        </is>
      </c>
      <c r="F245" s="4" t="inlineStr">
        <is>
          <t>Auto Manufacturers</t>
        </is>
      </c>
      <c r="G245" s="4" t="inlineStr">
        <is>
          <t>MIL</t>
        </is>
      </c>
      <c r="H245" s="4" t="inlineStr">
        <is>
          <t>EUR</t>
        </is>
      </c>
      <c r="I245" s="5" t="n">
        <v>61144.428544</v>
      </c>
      <c r="J245" s="6">
        <f>INDEX(FX!$B:$B,MATCH(H245,FX!$A:$A,0))</f>
        <v/>
      </c>
      <c r="K245" s="5">
        <f>I245*J245</f>
        <v/>
      </c>
      <c r="L245" s="4">
        <f>IF(U245&lt;&gt;"",U245,IF(K245&gt;=Umbrales!$B$2,"Legendaria",IF(K245&gt;=Umbrales!$B$3,"Épica",IF(K245&gt;=Umbrales!$B$4,"Rara",IF(K245&gt;=Umbrales!$B$5,"Poco común","Común")))))</f>
        <v/>
      </c>
      <c r="M245" s="5" t="n">
        <v>7353.30816</v>
      </c>
      <c r="N245" s="5" t="n">
        <v>1636.115968</v>
      </c>
      <c r="O245" s="5">
        <f>IF(M245="","",M245*J245)</f>
        <v/>
      </c>
      <c r="P245" s="5">
        <f>IF(N245="","",N245*J245)</f>
        <v/>
      </c>
      <c r="Q245" s="7" t="n">
        <v>0.0103</v>
      </c>
      <c r="R245" s="8" t="n">
        <v>37.76815</v>
      </c>
      <c r="S245" s="4" t="inlineStr">
        <is>
          <t>EUROSTOXX50</t>
        </is>
      </c>
      <c r="T245" s="9" t="inlineStr">
        <is>
          <t>SI</t>
        </is>
      </c>
      <c r="U245" s="9" t="inlineStr"/>
      <c r="V245" s="10">
        <f>Umbrales!$B$9*(K245/1000)^Umbrales!$B$10</f>
        <v/>
      </c>
    </row>
    <row r="246">
      <c r="A246" s="4" t="inlineStr">
        <is>
          <t>DG.PA</t>
        </is>
      </c>
      <c r="B246" s="4" t="inlineStr">
        <is>
          <t>Vinci SA</t>
        </is>
      </c>
      <c r="C246" s="4" t="inlineStr">
        <is>
          <t>France</t>
        </is>
      </c>
      <c r="D246" s="4" t="inlineStr">
        <is>
          <t>FR</t>
        </is>
      </c>
      <c r="E246" s="4" t="inlineStr">
        <is>
          <t>Industria</t>
        </is>
      </c>
      <c r="F246" s="4" t="inlineStr">
        <is>
          <t>Engineering &amp; Construction</t>
        </is>
      </c>
      <c r="G246" s="4" t="inlineStr">
        <is>
          <t>PAR</t>
        </is>
      </c>
      <c r="H246" s="4" t="inlineStr">
        <is>
          <t>EUR</t>
        </is>
      </c>
      <c r="I246" s="5" t="n">
        <v>59677.597696</v>
      </c>
      <c r="J246" s="6">
        <f>INDEX(FX!$B:$B,MATCH(H246,FX!$A:$A,0))</f>
        <v/>
      </c>
      <c r="K246" s="5">
        <f>I246*J246</f>
        <v/>
      </c>
      <c r="L246" s="4">
        <f>IF(U246&lt;&gt;"",U246,IF(K246&gt;=Umbrales!$B$2,"Legendaria",IF(K246&gt;=Umbrales!$B$3,"Épica",IF(K246&gt;=Umbrales!$B$4,"Rara",IF(K246&gt;=Umbrales!$B$5,"Poco común","Común")))))</f>
        <v/>
      </c>
      <c r="M246" s="5" t="n">
        <v>75748.99916799999</v>
      </c>
      <c r="N246" s="5" t="n">
        <v>5085.000192</v>
      </c>
      <c r="O246" s="5">
        <f>IF(M246="","",M246*J246)</f>
        <v/>
      </c>
      <c r="P246" s="5">
        <f>IF(N246="","",N246*J246)</f>
        <v/>
      </c>
      <c r="Q246" s="7" t="n">
        <v>0.0474</v>
      </c>
      <c r="R246" s="8" t="n">
        <v>12.008879</v>
      </c>
      <c r="S246" s="4" t="inlineStr">
        <is>
          <t>EUROSTOXX50</t>
        </is>
      </c>
      <c r="T246" s="9" t="inlineStr">
        <is>
          <t>SI</t>
        </is>
      </c>
      <c r="U246" s="9" t="inlineStr"/>
      <c r="V246" s="10">
        <f>Umbrales!$B$9*(K246/1000)^Umbrales!$B$10</f>
        <v/>
      </c>
    </row>
    <row r="247">
      <c r="A247" s="4" t="inlineStr">
        <is>
          <t>APO</t>
        </is>
      </c>
      <c r="B247" s="4" t="inlineStr">
        <is>
          <t>Apollo Global Management, Inc.</t>
        </is>
      </c>
      <c r="C247" s="4" t="inlineStr">
        <is>
          <t>United States</t>
        </is>
      </c>
      <c r="D247" s="4" t="inlineStr">
        <is>
          <t>US</t>
        </is>
      </c>
      <c r="E247" s="4" t="inlineStr">
        <is>
          <t>Finanzas</t>
        </is>
      </c>
      <c r="F247" s="4" t="inlineStr">
        <is>
          <t>Asset Management</t>
        </is>
      </c>
      <c r="G247" s="4" t="inlineStr">
        <is>
          <t>NYQ</t>
        </is>
      </c>
      <c r="H247" s="4" t="inlineStr">
        <is>
          <t>USD</t>
        </is>
      </c>
      <c r="I247" s="5" t="n">
        <v>66961.690624</v>
      </c>
      <c r="J247" s="6">
        <f>INDEX(FX!$B:$B,MATCH(H247,FX!$A:$A,0))</f>
        <v/>
      </c>
      <c r="K247" s="5">
        <f>I247*J247</f>
        <v/>
      </c>
      <c r="L247" s="4">
        <f>IF(U247&lt;&gt;"",U247,IF(K247&gt;=Umbrales!$B$2,"Legendaria",IF(K247&gt;=Umbrales!$B$3,"Épica",IF(K247&gt;=Umbrales!$B$4,"Rara",IF(K247&gt;=Umbrales!$B$5,"Poco común","Común")))))</f>
        <v/>
      </c>
      <c r="M247" s="5" t="n">
        <v>35598.000128</v>
      </c>
      <c r="N247" s="5" t="n">
        <v>1888</v>
      </c>
      <c r="O247" s="5">
        <f>IF(M247="","",M247*J247)</f>
        <v/>
      </c>
      <c r="P247" s="5">
        <f>IF(N247="","",N247*J247)</f>
        <v/>
      </c>
      <c r="Q247" s="7" t="n">
        <v>0.0193</v>
      </c>
      <c r="R247" s="8" t="n">
        <v>40.64158</v>
      </c>
      <c r="S247" s="4" t="inlineStr"/>
      <c r="T247" s="9" t="inlineStr">
        <is>
          <t>SI</t>
        </is>
      </c>
      <c r="U247" s="9" t="inlineStr"/>
      <c r="V247" s="10">
        <f>Umbrales!$B$9*(K247/1000)^Umbrales!$B$10</f>
        <v/>
      </c>
    </row>
    <row r="248">
      <c r="A248" s="4" t="inlineStr">
        <is>
          <t>HON</t>
        </is>
      </c>
      <c r="B248" s="4" t="inlineStr">
        <is>
          <t>Honeywell International Inc.</t>
        </is>
      </c>
      <c r="C248" s="4" t="inlineStr">
        <is>
          <t>United States</t>
        </is>
      </c>
      <c r="D248" s="4" t="inlineStr">
        <is>
          <t>US</t>
        </is>
      </c>
      <c r="E248" s="4" t="inlineStr">
        <is>
          <t>Industria</t>
        </is>
      </c>
      <c r="F248" s="4" t="inlineStr">
        <is>
          <t>Conglomerates</t>
        </is>
      </c>
      <c r="G248" s="4" t="inlineStr">
        <is>
          <t>NMS</t>
        </is>
      </c>
      <c r="H248" s="4" t="inlineStr">
        <is>
          <t>USD</t>
        </is>
      </c>
      <c r="I248" s="5" t="n">
        <v>65799.913472</v>
      </c>
      <c r="J248" s="6">
        <f>INDEX(FX!$B:$B,MATCH(H248,FX!$A:$A,0))</f>
        <v/>
      </c>
      <c r="K248" s="5">
        <f>I248*J248</f>
        <v/>
      </c>
      <c r="L248" s="4">
        <f>IF(U248&lt;&gt;"",U248,IF(K248&gt;=Umbrales!$B$2,"Legendaria",IF(K248&gt;=Umbrales!$B$3,"Épica",IF(K248&gt;=Umbrales!$B$4,"Rara",IF(K248&gt;=Umbrales!$B$5,"Poco común","Común")))))</f>
        <v/>
      </c>
      <c r="M248" s="5" t="n">
        <v>38057.00096</v>
      </c>
      <c r="N248" s="5" t="n">
        <v>8265.999872</v>
      </c>
      <c r="O248" s="5">
        <f>IF(M248="","",M248*J248)</f>
        <v/>
      </c>
      <c r="P248" s="5">
        <f>IF(N248="","",N248*J248)</f>
        <v/>
      </c>
      <c r="Q248" s="7" t="n">
        <v>0.0135</v>
      </c>
      <c r="R248" s="8" t="n">
        <v>7.652415</v>
      </c>
      <c r="S248" s="4" t="inlineStr">
        <is>
          <t>DOW30, NASDAQ100</t>
        </is>
      </c>
      <c r="T248" s="9" t="inlineStr">
        <is>
          <t>SI</t>
        </is>
      </c>
      <c r="U248" s="9" t="inlineStr"/>
      <c r="V248" s="10">
        <f>Umbrales!$B$9*(K248/1000)^Umbrales!$B$10</f>
        <v/>
      </c>
    </row>
    <row r="249">
      <c r="A249" s="4" t="inlineStr">
        <is>
          <t>REL.L</t>
        </is>
      </c>
      <c r="B249" s="4" t="inlineStr">
        <is>
          <t>RELX PLC</t>
        </is>
      </c>
      <c r="C249" s="4" t="inlineStr">
        <is>
          <t>United Kingdom</t>
        </is>
      </c>
      <c r="D249" s="4" t="inlineStr">
        <is>
          <t>GB</t>
        </is>
      </c>
      <c r="E249" s="4" t="inlineStr">
        <is>
          <t>Industria</t>
        </is>
      </c>
      <c r="F249" s="4" t="inlineStr">
        <is>
          <t>Specialty Business Services</t>
        </is>
      </c>
      <c r="G249" s="4" t="inlineStr">
        <is>
          <t>LSE</t>
        </is>
      </c>
      <c r="H249" s="4" t="inlineStr">
        <is>
          <t>GBP</t>
        </is>
      </c>
      <c r="I249" s="5" t="n">
        <v>49415.274496</v>
      </c>
      <c r="J249" s="6">
        <f>INDEX(FX!$B:$B,MATCH(H249,FX!$A:$A,0))</f>
        <v/>
      </c>
      <c r="K249" s="5">
        <f>I249*J249</f>
        <v/>
      </c>
      <c r="L249" s="4">
        <f>IF(U249&lt;&gt;"",U249,IF(K249&gt;=Umbrales!$B$2,"Legendaria",IF(K249&gt;=Umbrales!$B$3,"Épica",IF(K249&gt;=Umbrales!$B$4,"Rara",IF(K249&gt;=Umbrales!$B$5,"Poco común","Común")))))</f>
        <v/>
      </c>
      <c r="M249" s="5" t="n">
        <v>9720.000512000001</v>
      </c>
      <c r="N249" s="5" t="n">
        <v>2262.000128</v>
      </c>
      <c r="O249" s="5">
        <f>IF(M249="","",M249*J249)</f>
        <v/>
      </c>
      <c r="P249" s="5">
        <f>IF(N249="","",N249*J249)</f>
        <v/>
      </c>
      <c r="Q249" s="7" t="n">
        <v>0.0249</v>
      </c>
      <c r="R249" s="8" t="n">
        <v>22.76</v>
      </c>
      <c r="S249" s="4" t="inlineStr">
        <is>
          <t>UK_TOP</t>
        </is>
      </c>
      <c r="T249" s="9" t="inlineStr">
        <is>
          <t>SI</t>
        </is>
      </c>
      <c r="U249" s="9" t="inlineStr"/>
      <c r="V249" s="10">
        <f>Umbrales!$B$9*(K249/1000)^Umbrales!$B$10</f>
        <v/>
      </c>
    </row>
    <row r="250">
      <c r="A250" s="4" t="inlineStr">
        <is>
          <t>VOLV-B.ST</t>
        </is>
      </c>
      <c r="B250" s="4" t="inlineStr">
        <is>
          <t>AB Volvo (publ)</t>
        </is>
      </c>
      <c r="C250" s="4" t="inlineStr">
        <is>
          <t>Sweden</t>
        </is>
      </c>
      <c r="D250" s="4" t="inlineStr">
        <is>
          <t>SE</t>
        </is>
      </c>
      <c r="E250" s="4" t="inlineStr">
        <is>
          <t>Industria</t>
        </is>
      </c>
      <c r="F250" s="4" t="inlineStr">
        <is>
          <t>Farm &amp; Heavy Construction Machinery</t>
        </is>
      </c>
      <c r="G250" s="4" t="inlineStr">
        <is>
          <t>STO</t>
        </is>
      </c>
      <c r="H250" s="4" t="inlineStr">
        <is>
          <t>SEK</t>
        </is>
      </c>
      <c r="I250" s="5" t="n">
        <v>642164.1297920001</v>
      </c>
      <c r="J250" s="6">
        <f>INDEX(FX!$B:$B,MATCH(H250,FX!$A:$A,0))</f>
        <v/>
      </c>
      <c r="K250" s="5">
        <f>I250*J250</f>
        <v/>
      </c>
      <c r="L250" s="4">
        <f>IF(U250&lt;&gt;"",U250,IF(K250&gt;=Umbrales!$B$2,"Legendaria",IF(K250&gt;=Umbrales!$B$3,"Épica",IF(K250&gt;=Umbrales!$B$4,"Rara",IF(K250&gt;=Umbrales!$B$5,"Poco común","Común")))))</f>
        <v/>
      </c>
      <c r="M250" s="5" t="n">
        <v>471534.010368</v>
      </c>
      <c r="N250" s="5" t="n">
        <v>35840</v>
      </c>
      <c r="O250" s="5">
        <f>IF(M250="","",M250*J250)</f>
        <v/>
      </c>
      <c r="P250" s="5">
        <f>IF(N250="","",N250*J250)</f>
        <v/>
      </c>
      <c r="Q250" s="7" t="n">
        <v>0.0269</v>
      </c>
      <c r="R250" s="8" t="n">
        <v>17.91265</v>
      </c>
      <c r="S250" s="4" t="inlineStr"/>
      <c r="T250" s="9" t="inlineStr">
        <is>
          <t>SI</t>
        </is>
      </c>
      <c r="U250" s="9" t="inlineStr"/>
      <c r="V250" s="10">
        <f>Umbrales!$B$9*(K250/1000)^Umbrales!$B$10</f>
        <v/>
      </c>
    </row>
    <row r="251">
      <c r="A251" s="4" t="inlineStr">
        <is>
          <t>BSX</t>
        </is>
      </c>
      <c r="B251" s="4" t="inlineStr">
        <is>
          <t>Boston Scientific Corporation</t>
        </is>
      </c>
      <c r="C251" s="4" t="inlineStr">
        <is>
          <t>United States</t>
        </is>
      </c>
      <c r="D251" s="4" t="inlineStr">
        <is>
          <t>US</t>
        </is>
      </c>
      <c r="E251" s="4" t="inlineStr">
        <is>
          <t>Salud</t>
        </is>
      </c>
      <c r="F251" s="4" t="inlineStr">
        <is>
          <t>Medical Devices</t>
        </is>
      </c>
      <c r="G251" s="4" t="inlineStr">
        <is>
          <t>NYQ</t>
        </is>
      </c>
      <c r="H251" s="4" t="inlineStr">
        <is>
          <t>USD</t>
        </is>
      </c>
      <c r="I251" s="5" t="n">
        <v>62316.87168</v>
      </c>
      <c r="J251" s="6">
        <f>INDEX(FX!$B:$B,MATCH(H251,FX!$A:$A,0))</f>
        <v/>
      </c>
      <c r="K251" s="5">
        <f>I251*J251</f>
        <v/>
      </c>
      <c r="L251" s="4">
        <f>IF(U251&lt;&gt;"",U251,IF(K251&gt;=Umbrales!$B$2,"Legendaria",IF(K251&gt;=Umbrales!$B$3,"Épica",IF(K251&gt;=Umbrales!$B$4,"Rara",IF(K251&gt;=Umbrales!$B$5,"Poco común","Común")))))</f>
        <v/>
      </c>
      <c r="M251" s="5" t="n">
        <v>20995.999744</v>
      </c>
      <c r="N251" s="5" t="n">
        <v>3673.999872</v>
      </c>
      <c r="O251" s="5">
        <f>IF(M251="","",M251*J251)</f>
        <v/>
      </c>
      <c r="P251" s="5">
        <f>IF(N251="","",N251*J251)</f>
        <v/>
      </c>
      <c r="Q251" s="7" t="n">
        <v>0</v>
      </c>
      <c r="R251" s="8" t="n">
        <v>17.55102</v>
      </c>
      <c r="S251" s="4" t="inlineStr"/>
      <c r="T251" s="9" t="inlineStr">
        <is>
          <t>SI</t>
        </is>
      </c>
      <c r="U251" s="9" t="inlineStr"/>
      <c r="V251" s="10">
        <f>Umbrales!$B$9*(K251/1000)^Umbrales!$B$10</f>
        <v/>
      </c>
    </row>
    <row r="252">
      <c r="A252" s="4" t="inlineStr">
        <is>
          <t>DB1.DE</t>
        </is>
      </c>
      <c r="B252" s="4" t="inlineStr">
        <is>
          <t>Deutsche Börse AG</t>
        </is>
      </c>
      <c r="C252" s="4" t="inlineStr">
        <is>
          <t>Germany</t>
        </is>
      </c>
      <c r="D252" s="4" t="inlineStr">
        <is>
          <t>DE</t>
        </is>
      </c>
      <c r="E252" s="4" t="inlineStr">
        <is>
          <t>Finanzas</t>
        </is>
      </c>
      <c r="F252" s="4" t="inlineStr">
        <is>
          <t>Financial Data &amp; Stock Exchanges</t>
        </is>
      </c>
      <c r="G252" s="4" t="inlineStr">
        <is>
          <t>GER</t>
        </is>
      </c>
      <c r="H252" s="4" t="inlineStr">
        <is>
          <t>EUR</t>
        </is>
      </c>
      <c r="I252" s="5" t="n">
        <v>55510.56896</v>
      </c>
      <c r="J252" s="6">
        <f>INDEX(FX!$B:$B,MATCH(H252,FX!$A:$A,0))</f>
        <v/>
      </c>
      <c r="K252" s="5">
        <f>I252*J252</f>
        <v/>
      </c>
      <c r="L252" s="4">
        <f>IF(U252&lt;&gt;"",U252,IF(K252&gt;=Umbrales!$B$2,"Legendaria",IF(K252&gt;=Umbrales!$B$3,"Épica",IF(K252&gt;=Umbrales!$B$4,"Rara",IF(K252&gt;=Umbrales!$B$5,"Poco común","Común")))))</f>
        <v/>
      </c>
      <c r="M252" s="5" t="n">
        <v>7749.000192</v>
      </c>
      <c r="N252" s="5" t="n">
        <v>2115.000064</v>
      </c>
      <c r="O252" s="5">
        <f>IF(M252="","",M252*J252)</f>
        <v/>
      </c>
      <c r="P252" s="5">
        <f>IF(N252="","",N252*J252)</f>
        <v/>
      </c>
      <c r="Q252" s="7" t="n">
        <v>0.0144</v>
      </c>
      <c r="R252" s="8" t="n">
        <v>25.939342</v>
      </c>
      <c r="S252" s="4" t="inlineStr">
        <is>
          <t>DAX40, EUROSTOXX50</t>
        </is>
      </c>
      <c r="T252" s="9" t="inlineStr">
        <is>
          <t>SI</t>
        </is>
      </c>
      <c r="U252" s="9" t="inlineStr"/>
      <c r="V252" s="10">
        <f>Umbrales!$B$9*(K252/1000)^Umbrales!$B$10</f>
        <v/>
      </c>
    </row>
    <row r="253">
      <c r="A253" s="4" t="inlineStr">
        <is>
          <t>DBK.DE</t>
        </is>
      </c>
      <c r="B253" s="4" t="inlineStr">
        <is>
          <t>Deutsche Bank Aktiengesellschaft</t>
        </is>
      </c>
      <c r="C253" s="4" t="inlineStr">
        <is>
          <t>Germany</t>
        </is>
      </c>
      <c r="D253" s="4" t="inlineStr">
        <is>
          <t>DE</t>
        </is>
      </c>
      <c r="E253" s="4" t="inlineStr">
        <is>
          <t>Finanzas</t>
        </is>
      </c>
      <c r="F253" s="4" t="inlineStr">
        <is>
          <t>Banks - Regional</t>
        </is>
      </c>
      <c r="G253" s="4" t="inlineStr">
        <is>
          <t>GER</t>
        </is>
      </c>
      <c r="H253" s="4" t="inlineStr">
        <is>
          <t>EUR</t>
        </is>
      </c>
      <c r="I253" s="5" t="n">
        <v>55251.996672</v>
      </c>
      <c r="J253" s="6">
        <f>INDEX(FX!$B:$B,MATCH(H253,FX!$A:$A,0))</f>
        <v/>
      </c>
      <c r="K253" s="5">
        <f>I253*J253</f>
        <v/>
      </c>
      <c r="L253" s="4">
        <f>IF(U253&lt;&gt;"",U253,IF(K253&gt;=Umbrales!$B$2,"Legendaria",IF(K253&gt;=Umbrales!$B$3,"Épica",IF(K253&gt;=Umbrales!$B$4,"Rara",IF(K253&gt;=Umbrales!$B$5,"Poco común","Común")))))</f>
        <v/>
      </c>
      <c r="M253" s="5" t="n">
        <v>30464.999424</v>
      </c>
      <c r="N253" s="5" t="n">
        <v>6090.999808</v>
      </c>
      <c r="O253" s="5">
        <f>IF(M253="","",M253*J253)</f>
        <v/>
      </c>
      <c r="P253" s="5">
        <f>IF(N253="","",N253*J253)</f>
        <v/>
      </c>
      <c r="Q253" s="7" t="n">
        <v>0.0335</v>
      </c>
      <c r="R253" s="8" t="n">
        <v>8.937690999999999</v>
      </c>
      <c r="S253" s="4" t="inlineStr">
        <is>
          <t>DAX40</t>
        </is>
      </c>
      <c r="T253" s="9" t="inlineStr">
        <is>
          <t>SI</t>
        </is>
      </c>
      <c r="U253" s="9" t="inlineStr"/>
      <c r="V253" s="10">
        <f>Umbrales!$B$9*(K253/1000)^Umbrales!$B$10</f>
        <v/>
      </c>
    </row>
    <row r="254">
      <c r="A254" s="4" t="inlineStr">
        <is>
          <t>OXY</t>
        </is>
      </c>
      <c r="B254" s="4" t="inlineStr">
        <is>
          <t>Occidental Petroleum Corporation</t>
        </is>
      </c>
      <c r="C254" s="4" t="inlineStr">
        <is>
          <t>United States</t>
        </is>
      </c>
      <c r="D254" s="4" t="inlineStr">
        <is>
          <t>US</t>
        </is>
      </c>
      <c r="E254" s="4" t="inlineStr">
        <is>
          <t>Energía</t>
        </is>
      </c>
      <c r="F254" s="4" t="inlineStr">
        <is>
          <t>Oil &amp; Gas E&amp;P</t>
        </is>
      </c>
      <c r="G254" s="4" t="inlineStr">
        <is>
          <t>NYQ</t>
        </is>
      </c>
      <c r="H254" s="4" t="inlineStr">
        <is>
          <t>USD</t>
        </is>
      </c>
      <c r="I254" s="5" t="n">
        <v>61387.730944</v>
      </c>
      <c r="J254" s="6">
        <f>INDEX(FX!$B:$B,MATCH(H254,FX!$A:$A,0))</f>
        <v/>
      </c>
      <c r="K254" s="5">
        <f>I254*J254</f>
        <v/>
      </c>
      <c r="L254" s="4">
        <f>IF(U254&lt;&gt;"",U254,IF(K254&gt;=Umbrales!$B$2,"Legendaria",IF(K254&gt;=Umbrales!$B$3,"Épica",IF(K254&gt;=Umbrales!$B$4,"Rara",IF(K254&gt;=Umbrales!$B$5,"Poco común","Común")))))</f>
        <v/>
      </c>
      <c r="M254" s="5" t="n">
        <v>23925.999616</v>
      </c>
      <c r="N254" s="5" t="n">
        <v>3399.000064</v>
      </c>
      <c r="O254" s="5">
        <f>IF(M254="","",M254*J254)</f>
        <v/>
      </c>
      <c r="P254" s="5">
        <f>IF(N254="","",N254*J254)</f>
        <v/>
      </c>
      <c r="Q254" s="7" t="n">
        <v>0.0182</v>
      </c>
      <c r="R254" s="8" t="n">
        <v>17.495726</v>
      </c>
      <c r="S254" s="4" t="inlineStr"/>
      <c r="T254" s="9" t="inlineStr">
        <is>
          <t>SI</t>
        </is>
      </c>
      <c r="U254" s="9" t="inlineStr"/>
      <c r="V254" s="10">
        <f>Umbrales!$B$9*(K254/1000)^Umbrales!$B$10</f>
        <v/>
      </c>
    </row>
    <row r="255">
      <c r="A255" s="4" t="inlineStr">
        <is>
          <t>NDA-FI.HE</t>
        </is>
      </c>
      <c r="B255" s="4" t="inlineStr">
        <is>
          <t>Nordea Bank Abp</t>
        </is>
      </c>
      <c r="C255" s="4" t="inlineStr">
        <is>
          <t>Finland</t>
        </is>
      </c>
      <c r="D255" s="4" t="inlineStr">
        <is>
          <t>FI</t>
        </is>
      </c>
      <c r="E255" s="4" t="inlineStr">
        <is>
          <t>Finanzas</t>
        </is>
      </c>
      <c r="F255" s="4" t="inlineStr">
        <is>
          <t>Banks - Regional</t>
        </is>
      </c>
      <c r="G255" s="4" t="inlineStr">
        <is>
          <t>HEL</t>
        </is>
      </c>
      <c r="H255" s="4" t="inlineStr">
        <is>
          <t>EUR</t>
        </is>
      </c>
      <c r="I255" s="5" t="n">
        <v>54147.33824</v>
      </c>
      <c r="J255" s="6">
        <f>INDEX(FX!$B:$B,MATCH(H255,FX!$A:$A,0))</f>
        <v/>
      </c>
      <c r="K255" s="5">
        <f>I255*J255</f>
        <v/>
      </c>
      <c r="L255" s="4">
        <f>IF(U255&lt;&gt;"",U255,IF(K255&gt;=Umbrales!$B$2,"Legendaria",IF(K255&gt;=Umbrales!$B$3,"Épica",IF(K255&gt;=Umbrales!$B$4,"Rara",IF(K255&gt;=Umbrales!$B$5,"Poco común","Común")))))</f>
        <v/>
      </c>
      <c r="M255" s="5" t="n">
        <v>11623.999488</v>
      </c>
      <c r="N255" s="5" t="n">
        <v>4717.000192</v>
      </c>
      <c r="O255" s="5">
        <f>IF(M255="","",M255*J255)</f>
        <v/>
      </c>
      <c r="P255" s="5">
        <f>IF(N255="","",N255*J255)</f>
        <v/>
      </c>
      <c r="Q255" s="7" t="n">
        <v>0.0766</v>
      </c>
      <c r="R255" s="8" t="n">
        <v>11.478417</v>
      </c>
      <c r="S255" s="4" t="inlineStr">
        <is>
          <t>EUROSTOXX50</t>
        </is>
      </c>
      <c r="T255" s="9" t="inlineStr">
        <is>
          <t>SI</t>
        </is>
      </c>
      <c r="U255" s="9" t="inlineStr"/>
      <c r="V255" s="10">
        <f>Umbrales!$B$9*(K255/1000)^Umbrales!$B$10</f>
        <v/>
      </c>
    </row>
    <row r="256">
      <c r="A256" s="4" t="inlineStr">
        <is>
          <t>AJG</t>
        </is>
      </c>
      <c r="B256" s="4" t="inlineStr">
        <is>
          <t>Arthur J. Gallagher &amp; Co.</t>
        </is>
      </c>
      <c r="C256" s="4" t="inlineStr">
        <is>
          <t>United States</t>
        </is>
      </c>
      <c r="D256" s="4" t="inlineStr">
        <is>
          <t>US</t>
        </is>
      </c>
      <c r="E256" s="4" t="inlineStr">
        <is>
          <t>Finanzas</t>
        </is>
      </c>
      <c r="F256" s="4" t="inlineStr">
        <is>
          <t>Insurance Brokers</t>
        </is>
      </c>
      <c r="G256" s="4" t="inlineStr">
        <is>
          <t>NYQ</t>
        </is>
      </c>
      <c r="H256" s="4" t="inlineStr">
        <is>
          <t>USD</t>
        </is>
      </c>
      <c r="I256" s="5" t="n">
        <v>60763.066368</v>
      </c>
      <c r="J256" s="6">
        <f>INDEX(FX!$B:$B,MATCH(H256,FX!$A:$A,0))</f>
        <v/>
      </c>
      <c r="K256" s="5">
        <f>I256*J256</f>
        <v/>
      </c>
      <c r="L256" s="4">
        <f>IF(U256&lt;&gt;"",U256,IF(K256&gt;=Umbrales!$B$2,"Legendaria",IF(K256&gt;=Umbrales!$B$3,"Épica",IF(K256&gt;=Umbrales!$B$4,"Rara",IF(K256&gt;=Umbrales!$B$5,"Poco común","Común")))))</f>
        <v/>
      </c>
      <c r="M256" s="5" t="n">
        <v>15109.000192</v>
      </c>
      <c r="N256" s="5" t="n">
        <v>1568</v>
      </c>
      <c r="O256" s="5">
        <f>IF(M256="","",M256*J256)</f>
        <v/>
      </c>
      <c r="P256" s="5">
        <f>IF(N256="","",N256*J256)</f>
        <v/>
      </c>
      <c r="Q256" s="7" t="n">
        <v>0.012</v>
      </c>
      <c r="R256" s="8" t="n">
        <v>39.310112</v>
      </c>
      <c r="S256" s="4" t="inlineStr"/>
      <c r="T256" s="9" t="inlineStr">
        <is>
          <t>SI</t>
        </is>
      </c>
      <c r="U256" s="9" t="inlineStr"/>
      <c r="V256" s="10">
        <f>Umbrales!$B$9*(K256/1000)^Umbrales!$B$10</f>
        <v/>
      </c>
    </row>
    <row r="257">
      <c r="A257" s="4" t="inlineStr">
        <is>
          <t>MSTR</t>
        </is>
      </c>
      <c r="B257" s="4" t="inlineStr">
        <is>
          <t>Strategy Inc</t>
        </is>
      </c>
      <c r="C257" s="4" t="inlineStr">
        <is>
          <t>United States</t>
        </is>
      </c>
      <c r="D257" s="4" t="inlineStr">
        <is>
          <t>US</t>
        </is>
      </c>
      <c r="E257" s="4" t="inlineStr">
        <is>
          <t>Tecnología</t>
        </is>
      </c>
      <c r="F257" s="4" t="inlineStr">
        <is>
          <t>Software - Application</t>
        </is>
      </c>
      <c r="G257" s="4" t="inlineStr">
        <is>
          <t>NMS</t>
        </is>
      </c>
      <c r="H257" s="4" t="inlineStr">
        <is>
          <t>USD</t>
        </is>
      </c>
      <c r="I257" s="5" t="n">
        <v>60654.559232</v>
      </c>
      <c r="J257" s="6">
        <f>INDEX(FX!$B:$B,MATCH(H257,FX!$A:$A,0))</f>
        <v/>
      </c>
      <c r="K257" s="5">
        <f>I257*J257</f>
        <v/>
      </c>
      <c r="L257" s="4">
        <f>IF(U257&lt;&gt;"",U257,IF(K257&gt;=Umbrales!$B$2,"Legendaria",IF(K257&gt;=Umbrales!$B$3,"Épica",IF(K257&gt;=Umbrales!$B$4,"Rara",IF(K257&gt;=Umbrales!$B$5,"Poco común","Común")))))</f>
        <v/>
      </c>
      <c r="M257" s="5" t="n">
        <v>498.347008</v>
      </c>
      <c r="N257" s="5" t="n">
        <v>-31367.133184</v>
      </c>
      <c r="O257" s="5">
        <f>IF(M257="","",M257*J257)</f>
        <v/>
      </c>
      <c r="P257" s="5">
        <f>IF(N257="","",N257*J257)</f>
        <v/>
      </c>
      <c r="Q257" s="7" t="n">
        <v>0</v>
      </c>
      <c r="R257" s="8" t="n"/>
      <c r="S257" s="4" t="inlineStr">
        <is>
          <t>NASDAQ100</t>
        </is>
      </c>
      <c r="T257" s="9" t="inlineStr">
        <is>
          <t>SI</t>
        </is>
      </c>
      <c r="U257" s="9" t="inlineStr"/>
      <c r="V257" s="10">
        <f>Umbrales!$B$9*(K257/1000)^Umbrales!$B$10</f>
        <v/>
      </c>
    </row>
    <row r="258">
      <c r="A258" s="4" t="inlineStr">
        <is>
          <t>7974.T</t>
        </is>
      </c>
      <c r="B258" s="4" t="inlineStr">
        <is>
          <t>Nintendo Co., Ltd.</t>
        </is>
      </c>
      <c r="C258" s="4" t="inlineStr">
        <is>
          <t>Japan</t>
        </is>
      </c>
      <c r="D258" s="4" t="inlineStr">
        <is>
          <t>JP</t>
        </is>
      </c>
      <c r="E258" s="4" t="inlineStr">
        <is>
          <t>Comunicación</t>
        </is>
      </c>
      <c r="F258" s="4" t="inlineStr">
        <is>
          <t>Electronic Gaming &amp; Multimedia</t>
        </is>
      </c>
      <c r="G258" s="4" t="inlineStr">
        <is>
          <t>JPX</t>
        </is>
      </c>
      <c r="H258" s="4" t="inlineStr">
        <is>
          <t>JPY</t>
        </is>
      </c>
      <c r="I258" s="5" t="n">
        <v>9485841.072128</v>
      </c>
      <c r="J258" s="6">
        <f>INDEX(FX!$B:$B,MATCH(H258,FX!$A:$A,0))</f>
        <v/>
      </c>
      <c r="K258" s="5">
        <f>I258*J258</f>
        <v/>
      </c>
      <c r="L258" s="4">
        <f>IF(U258&lt;&gt;"",U258,IF(K258&gt;=Umbrales!$B$2,"Legendaria",IF(K258&gt;=Umbrales!$B$3,"Épica",IF(K258&gt;=Umbrales!$B$4,"Rara",IF(K258&gt;=Umbrales!$B$5,"Poco común","Común")))))</f>
        <v/>
      </c>
      <c r="M258" s="5" t="n">
        <v>2258501.107712</v>
      </c>
      <c r="N258" s="5" t="n">
        <v>475447.001088</v>
      </c>
      <c r="O258" s="5">
        <f>IF(M258="","",M258*J258)</f>
        <v/>
      </c>
      <c r="P258" s="5">
        <f>IF(N258="","",N258*J258)</f>
        <v/>
      </c>
      <c r="Q258" s="7" t="n">
        <v>0.0265</v>
      </c>
      <c r="R258" s="8" t="n">
        <v>20.0874</v>
      </c>
      <c r="S258" s="4" t="inlineStr">
        <is>
          <t>ASIA_TOP</t>
        </is>
      </c>
      <c r="T258" s="9" t="inlineStr">
        <is>
          <t>SI</t>
        </is>
      </c>
      <c r="U258" s="9" t="inlineStr"/>
      <c r="V258" s="10">
        <f>Umbrales!$B$9*(K258/1000)^Umbrales!$B$10</f>
        <v/>
      </c>
    </row>
    <row r="259">
      <c r="A259" s="4" t="inlineStr">
        <is>
          <t>FAST</t>
        </is>
      </c>
      <c r="B259" s="4" t="inlineStr">
        <is>
          <t>Fastenal Company</t>
        </is>
      </c>
      <c r="C259" s="4" t="inlineStr">
        <is>
          <t>United States</t>
        </is>
      </c>
      <c r="D259" s="4" t="inlineStr">
        <is>
          <t>US</t>
        </is>
      </c>
      <c r="E259" s="4" t="inlineStr">
        <is>
          <t>Industria</t>
        </is>
      </c>
      <c r="F259" s="4" t="inlineStr">
        <is>
          <t>Industrial Distribution</t>
        </is>
      </c>
      <c r="G259" s="4" t="inlineStr">
        <is>
          <t>NMS</t>
        </is>
      </c>
      <c r="H259" s="4" t="inlineStr">
        <is>
          <t>USD</t>
        </is>
      </c>
      <c r="I259" s="5" t="n">
        <v>59669.876736</v>
      </c>
      <c r="J259" s="6">
        <f>INDEX(FX!$B:$B,MATCH(H259,FX!$A:$A,0))</f>
        <v/>
      </c>
      <c r="K259" s="5">
        <f>I259*J259</f>
        <v/>
      </c>
      <c r="L259" s="4">
        <f>IF(U259&lt;&gt;"",U259,IF(K259&gt;=Umbrales!$B$2,"Legendaria",IF(K259&gt;=Umbrales!$B$3,"Épica",IF(K259&gt;=Umbrales!$B$4,"Rara",IF(K259&gt;=Umbrales!$B$5,"Poco común","Común")))))</f>
        <v/>
      </c>
      <c r="M259" s="5" t="n">
        <v>8749.400063999999</v>
      </c>
      <c r="N259" s="5" t="n">
        <v>1352.099968</v>
      </c>
      <c r="O259" s="5">
        <f>IF(M259="","",M259*J259)</f>
        <v/>
      </c>
      <c r="P259" s="5">
        <f>IF(N259="","",N259*J259)</f>
        <v/>
      </c>
      <c r="Q259" s="7" t="n">
        <v>0.0187</v>
      </c>
      <c r="R259" s="8" t="n">
        <v>44.0678</v>
      </c>
      <c r="S259" s="4" t="inlineStr">
        <is>
          <t>NASDAQ100</t>
        </is>
      </c>
      <c r="T259" s="9" t="inlineStr">
        <is>
          <t>SI</t>
        </is>
      </c>
      <c r="U259" s="9" t="inlineStr"/>
      <c r="V259" s="10">
        <f>Umbrales!$B$9*(K259/1000)^Umbrales!$B$10</f>
        <v/>
      </c>
    </row>
    <row r="260">
      <c r="A260" s="4" t="inlineStr">
        <is>
          <t>3690.HK</t>
        </is>
      </c>
      <c r="B260" s="4" t="inlineStr">
        <is>
          <t>Meituan</t>
        </is>
      </c>
      <c r="C260" s="4" t="inlineStr">
        <is>
          <t>China</t>
        </is>
      </c>
      <c r="D260" s="4" t="inlineStr">
        <is>
          <t>CN</t>
        </is>
      </c>
      <c r="E260" s="4" t="inlineStr">
        <is>
          <t>Consumo cíclico</t>
        </is>
      </c>
      <c r="F260" s="4" t="inlineStr">
        <is>
          <t>Internet Retail</t>
        </is>
      </c>
      <c r="G260" s="4" t="inlineStr">
        <is>
          <t>HKG</t>
        </is>
      </c>
      <c r="H260" s="4" t="inlineStr">
        <is>
          <t>HKD</t>
        </is>
      </c>
      <c r="I260" s="5" t="n">
        <v>465665.39264</v>
      </c>
      <c r="J260" s="6">
        <f>INDEX(FX!$B:$B,MATCH(H260,FX!$A:$A,0))</f>
        <v/>
      </c>
      <c r="K260" s="5">
        <f>I260*J260</f>
        <v/>
      </c>
      <c r="L260" s="4">
        <f>IF(U260&lt;&gt;"",U260,IF(K260&gt;=Umbrales!$B$2,"Legendaria",IF(K260&gt;=Umbrales!$B$3,"Épica",IF(K260&gt;=Umbrales!$B$4,"Rara",IF(K260&gt;=Umbrales!$B$5,"Poco común","Común")))))</f>
        <v/>
      </c>
      <c r="M260" s="5" t="n">
        <v>382840.34048</v>
      </c>
      <c r="N260" s="5" t="n">
        <v>-38449.147904</v>
      </c>
      <c r="O260" s="5">
        <f>IF(M260="","",M260*J260)</f>
        <v/>
      </c>
      <c r="P260" s="5">
        <f>IF(N260="","",N260*J260)</f>
        <v/>
      </c>
      <c r="Q260" s="7" t="n">
        <v>0</v>
      </c>
      <c r="R260" s="8" t="n"/>
      <c r="S260" s="4" t="inlineStr">
        <is>
          <t>ASIA_TOP</t>
        </is>
      </c>
      <c r="T260" s="9" t="inlineStr">
        <is>
          <t>SI</t>
        </is>
      </c>
      <c r="U260" s="9" t="inlineStr"/>
      <c r="V260" s="10">
        <f>Umbrales!$B$9*(K260/1000)^Umbrales!$B$10</f>
        <v/>
      </c>
    </row>
    <row r="261">
      <c r="A261" s="4" t="inlineStr">
        <is>
          <t>AON</t>
        </is>
      </c>
      <c r="B261" s="4" t="inlineStr">
        <is>
          <t>Aon plc</t>
        </is>
      </c>
      <c r="C261" s="4" t="inlineStr">
        <is>
          <t>Ireland</t>
        </is>
      </c>
      <c r="D261" s="4" t="inlineStr">
        <is>
          <t>IE</t>
        </is>
      </c>
      <c r="E261" s="4" t="inlineStr">
        <is>
          <t>Finanzas</t>
        </is>
      </c>
      <c r="F261" s="4" t="inlineStr">
        <is>
          <t>Insurance Brokers</t>
        </is>
      </c>
      <c r="G261" s="4" t="inlineStr">
        <is>
          <t>NYQ</t>
        </is>
      </c>
      <c r="H261" s="4" t="inlineStr">
        <is>
          <t>USD</t>
        </is>
      </c>
      <c r="I261" s="5" t="n">
        <v>58408.742912</v>
      </c>
      <c r="J261" s="6">
        <f>INDEX(FX!$B:$B,MATCH(H261,FX!$A:$A,0))</f>
        <v/>
      </c>
      <c r="K261" s="5">
        <f>I261*J261</f>
        <v/>
      </c>
      <c r="L261" s="4">
        <f>IF(U261&lt;&gt;"",U261,IF(K261&gt;=Umbrales!$B$2,"Legendaria",IF(K261&gt;=Umbrales!$B$3,"Épica",IF(K261&gt;=Umbrales!$B$4,"Rara",IF(K261&gt;=Umbrales!$B$5,"Poco común","Común")))))</f>
        <v/>
      </c>
      <c r="M261" s="5" t="n">
        <v>17577.00096</v>
      </c>
      <c r="N261" s="5" t="n">
        <v>3913.999872</v>
      </c>
      <c r="O261" s="5">
        <f>IF(M261="","",M261*J261)</f>
        <v/>
      </c>
      <c r="P261" s="5">
        <f>IF(N261="","",N261*J261)</f>
        <v/>
      </c>
      <c r="Q261" s="7" t="n">
        <v>0.0119</v>
      </c>
      <c r="R261" s="8" t="n">
        <v>15.179163</v>
      </c>
      <c r="S261" s="4" t="inlineStr"/>
      <c r="T261" s="9" t="inlineStr">
        <is>
          <t>SI</t>
        </is>
      </c>
      <c r="U261" s="9" t="inlineStr"/>
      <c r="V261" s="10">
        <f>Umbrales!$B$9*(K261/1000)^Umbrales!$B$10</f>
        <v/>
      </c>
    </row>
    <row r="262">
      <c r="A262" s="4" t="inlineStr">
        <is>
          <t>PCAR</t>
        </is>
      </c>
      <c r="B262" s="4" t="inlineStr">
        <is>
          <t>PACCAR Inc</t>
        </is>
      </c>
      <c r="C262" s="4" t="inlineStr">
        <is>
          <t>United States</t>
        </is>
      </c>
      <c r="D262" s="4" t="inlineStr">
        <is>
          <t>US</t>
        </is>
      </c>
      <c r="E262" s="4" t="inlineStr">
        <is>
          <t>Industria</t>
        </is>
      </c>
      <c r="F262" s="4" t="inlineStr">
        <is>
          <t>Farm &amp; Heavy Construction Machinery</t>
        </is>
      </c>
      <c r="G262" s="4" t="inlineStr">
        <is>
          <t>NMS</t>
        </is>
      </c>
      <c r="H262" s="4" t="inlineStr">
        <is>
          <t>USD</t>
        </is>
      </c>
      <c r="I262" s="5" t="n">
        <v>57142.177792</v>
      </c>
      <c r="J262" s="6">
        <f>INDEX(FX!$B:$B,MATCH(H262,FX!$A:$A,0))</f>
        <v/>
      </c>
      <c r="K262" s="5">
        <f>I262*J262</f>
        <v/>
      </c>
      <c r="L262" s="4">
        <f>IF(U262&lt;&gt;"",U262,IF(K262&gt;=Umbrales!$B$2,"Legendaria",IF(K262&gt;=Umbrales!$B$3,"Épica",IF(K262&gt;=Umbrales!$B$4,"Rara",IF(K262&gt;=Umbrales!$B$5,"Poco común","Común")))))</f>
        <v/>
      </c>
      <c r="M262" s="5" t="n">
        <v>27815.800832</v>
      </c>
      <c r="N262" s="5" t="n">
        <v>2504.199936</v>
      </c>
      <c r="O262" s="5">
        <f>IF(M262="","",M262*J262)</f>
        <v/>
      </c>
      <c r="P262" s="5">
        <f>IF(N262="","",N262*J262)</f>
        <v/>
      </c>
      <c r="Q262" s="7" t="n">
        <v>0.013</v>
      </c>
      <c r="R262" s="8" t="n">
        <v>22.711296</v>
      </c>
      <c r="S262" s="4" t="inlineStr">
        <is>
          <t>NASDAQ100</t>
        </is>
      </c>
      <c r="T262" s="9" t="inlineStr">
        <is>
          <t>SI</t>
        </is>
      </c>
      <c r="U262" s="9" t="inlineStr"/>
      <c r="V262" s="10">
        <f>Umbrales!$B$9*(K262/1000)^Umbrales!$B$10</f>
        <v/>
      </c>
    </row>
    <row r="263">
      <c r="A263" s="4" t="inlineStr">
        <is>
          <t>AAL.L</t>
        </is>
      </c>
      <c r="B263" s="4" t="inlineStr">
        <is>
          <t>Anglo American plc</t>
        </is>
      </c>
      <c r="C263" s="4" t="inlineStr">
        <is>
          <t>United Kingdom</t>
        </is>
      </c>
      <c r="D263" s="4" t="inlineStr">
        <is>
          <t>GB</t>
        </is>
      </c>
      <c r="E263" s="4" t="inlineStr">
        <is>
          <t>Materiales</t>
        </is>
      </c>
      <c r="F263" s="4" t="inlineStr">
        <is>
          <t>Other Industrial Metals &amp; Mining</t>
        </is>
      </c>
      <c r="G263" s="4" t="inlineStr">
        <is>
          <t>LSE</t>
        </is>
      </c>
      <c r="H263" s="4" t="inlineStr">
        <is>
          <t>GBP</t>
        </is>
      </c>
      <c r="I263" s="5" t="n">
        <v>42013.044736</v>
      </c>
      <c r="J263" s="6">
        <f>INDEX(FX!$B:$B,MATCH(H263,FX!$A:$A,0))</f>
        <v/>
      </c>
      <c r="K263" s="5">
        <f>I263*J263</f>
        <v/>
      </c>
      <c r="L263" s="4">
        <f>IF(U263&lt;&gt;"",U263,IF(K263&gt;=Umbrales!$B$2,"Legendaria",IF(K263&gt;=Umbrales!$B$3,"Épica",IF(K263&gt;=Umbrales!$B$4,"Rara",IF(K263&gt;=Umbrales!$B$5,"Poco común","Común")))))</f>
        <v/>
      </c>
      <c r="M263" s="5" t="n">
        <v>19517.999104</v>
      </c>
      <c r="N263" s="5" t="n">
        <v>-1368.999936</v>
      </c>
      <c r="O263" s="5">
        <f>IF(M263="","",M263*J263)</f>
        <v/>
      </c>
      <c r="P263" s="5">
        <f>IF(N263="","",N263*J263)</f>
        <v/>
      </c>
      <c r="Q263" s="7" t="n">
        <v>0.006999999999999999</v>
      </c>
      <c r="R263" s="8" t="n"/>
      <c r="S263" s="4" t="inlineStr">
        <is>
          <t>UK_TOP</t>
        </is>
      </c>
      <c r="T263" s="9" t="inlineStr">
        <is>
          <t>SI</t>
        </is>
      </c>
      <c r="U263" s="9" t="inlineStr"/>
      <c r="V263" s="10">
        <f>Umbrales!$B$9*(K263/1000)^Umbrales!$B$10</f>
        <v/>
      </c>
    </row>
    <row r="264">
      <c r="A264" s="4" t="inlineStr">
        <is>
          <t>NXPI</t>
        </is>
      </c>
      <c r="B264" s="4" t="inlineStr">
        <is>
          <t>NXP Semiconductors N.V.</t>
        </is>
      </c>
      <c r="C264" s="4" t="inlineStr">
        <is>
          <t>Netherlands</t>
        </is>
      </c>
      <c r="D264" s="4" t="inlineStr">
        <is>
          <t>NL</t>
        </is>
      </c>
      <c r="E264" s="4" t="inlineStr">
        <is>
          <t>Tecnología</t>
        </is>
      </c>
      <c r="F264" s="4" t="inlineStr">
        <is>
          <t>Semiconductors</t>
        </is>
      </c>
      <c r="G264" s="4" t="inlineStr">
        <is>
          <t>NMS</t>
        </is>
      </c>
      <c r="H264" s="4" t="inlineStr">
        <is>
          <t>USD</t>
        </is>
      </c>
      <c r="I264" s="5" t="n">
        <v>55685.414912</v>
      </c>
      <c r="J264" s="6">
        <f>INDEX(FX!$B:$B,MATCH(H264,FX!$A:$A,0))</f>
        <v/>
      </c>
      <c r="K264" s="5">
        <f>I264*J264</f>
        <v/>
      </c>
      <c r="L264" s="4">
        <f>IF(U264&lt;&gt;"",U264,IF(K264&gt;=Umbrales!$B$2,"Legendaria",IF(K264&gt;=Umbrales!$B$3,"Épica",IF(K264&gt;=Umbrales!$B$4,"Rara",IF(K264&gt;=Umbrales!$B$5,"Poco común","Común")))))</f>
        <v/>
      </c>
      <c r="M264" s="5" t="n">
        <v>13185.000448</v>
      </c>
      <c r="N264" s="5" t="n">
        <v>2975.000064</v>
      </c>
      <c r="O264" s="5">
        <f>IF(M264="","",M264*J264)</f>
        <v/>
      </c>
      <c r="P264" s="5">
        <f>IF(N264="","",N264*J264)</f>
        <v/>
      </c>
      <c r="Q264" s="7" t="n">
        <v>0.0179</v>
      </c>
      <c r="R264" s="8" t="n">
        <v>19.32021</v>
      </c>
      <c r="S264" s="4" t="inlineStr">
        <is>
          <t>NASDAQ100</t>
        </is>
      </c>
      <c r="T264" s="9" t="inlineStr">
        <is>
          <t>SI</t>
        </is>
      </c>
      <c r="U264" s="9" t="inlineStr"/>
      <c r="V264" s="10">
        <f>Umbrales!$B$9*(K264/1000)^Umbrales!$B$10</f>
        <v/>
      </c>
    </row>
    <row r="265">
      <c r="A265" s="4" t="inlineStr">
        <is>
          <t>FANG</t>
        </is>
      </c>
      <c r="B265" s="4" t="inlineStr">
        <is>
          <t>Diamondback Energy, Inc.</t>
        </is>
      </c>
      <c r="C265" s="4" t="inlineStr">
        <is>
          <t>United States</t>
        </is>
      </c>
      <c r="D265" s="4" t="inlineStr">
        <is>
          <t>US</t>
        </is>
      </c>
      <c r="E265" s="4" t="inlineStr">
        <is>
          <t>Energía</t>
        </is>
      </c>
      <c r="F265" s="4" t="inlineStr">
        <is>
          <t>Oil &amp; Gas E&amp;P</t>
        </is>
      </c>
      <c r="G265" s="4" t="inlineStr">
        <is>
          <t>NMS</t>
        </is>
      </c>
      <c r="H265" s="4" t="inlineStr">
        <is>
          <t>USD</t>
        </is>
      </c>
      <c r="I265" s="5" t="n">
        <v>55562.190848</v>
      </c>
      <c r="J265" s="6">
        <f>INDEX(FX!$B:$B,MATCH(H265,FX!$A:$A,0))</f>
        <v/>
      </c>
      <c r="K265" s="5">
        <f>I265*J265</f>
        <v/>
      </c>
      <c r="L265" s="4">
        <f>IF(U265&lt;&gt;"",U265,IF(K265&gt;=Umbrales!$B$2,"Legendaria",IF(K265&gt;=Umbrales!$B$3,"Épica",IF(K265&gt;=Umbrales!$B$4,"Rara",IF(K265&gt;=Umbrales!$B$5,"Poco común","Común")))))</f>
        <v/>
      </c>
      <c r="M265" s="5" t="n">
        <v>16248.000512</v>
      </c>
      <c r="N265" s="5" t="n">
        <v>1458</v>
      </c>
      <c r="O265" s="5">
        <f>IF(M265="","",M265*J265)</f>
        <v/>
      </c>
      <c r="P265" s="5">
        <f>IF(N265="","",N265*J265)</f>
        <v/>
      </c>
      <c r="Q265" s="7" t="n">
        <v>0.0222</v>
      </c>
      <c r="R265" s="8" t="n">
        <v>37.620953</v>
      </c>
      <c r="S265" s="4" t="inlineStr">
        <is>
          <t>NASDAQ100</t>
        </is>
      </c>
      <c r="T265" s="9" t="inlineStr">
        <is>
          <t>SI</t>
        </is>
      </c>
      <c r="U265" s="9" t="inlineStr"/>
      <c r="V265" s="10">
        <f>Umbrales!$B$9*(K265/1000)^Umbrales!$B$10</f>
        <v/>
      </c>
    </row>
    <row r="266">
      <c r="A266" s="4" t="inlineStr">
        <is>
          <t>BKR</t>
        </is>
      </c>
      <c r="B266" s="4" t="inlineStr">
        <is>
          <t>Baker Hughes Company</t>
        </is>
      </c>
      <c r="C266" s="4" t="inlineStr">
        <is>
          <t>United States</t>
        </is>
      </c>
      <c r="D266" s="4" t="inlineStr">
        <is>
          <t>US</t>
        </is>
      </c>
      <c r="E266" s="4" t="inlineStr">
        <is>
          <t>Energía</t>
        </is>
      </c>
      <c r="F266" s="4" t="inlineStr">
        <is>
          <t>Oil &amp; Gas Equipment &amp; Services</t>
        </is>
      </c>
      <c r="G266" s="4" t="inlineStr">
        <is>
          <t>NMS</t>
        </is>
      </c>
      <c r="H266" s="4" t="inlineStr">
        <is>
          <t>USD</t>
        </is>
      </c>
      <c r="I266" s="5" t="n">
        <v>54964.359168</v>
      </c>
      <c r="J266" s="6">
        <f>INDEX(FX!$B:$B,MATCH(H266,FX!$A:$A,0))</f>
        <v/>
      </c>
      <c r="K266" s="5">
        <f>I266*J266</f>
        <v/>
      </c>
      <c r="L266" s="4">
        <f>IF(U266&lt;&gt;"",U266,IF(K266&gt;=Umbrales!$B$2,"Legendaria",IF(K266&gt;=Umbrales!$B$3,"Épica",IF(K266&gt;=Umbrales!$B$4,"Rara",IF(K266&gt;=Umbrales!$B$5,"Poco común","Común")))))</f>
        <v/>
      </c>
      <c r="M266" s="5" t="n">
        <v>27725.000704</v>
      </c>
      <c r="N266" s="5" t="n">
        <v>3096</v>
      </c>
      <c r="O266" s="5">
        <f>IF(M266="","",M266*J266)</f>
        <v/>
      </c>
      <c r="P266" s="5">
        <f>IF(N266="","",N266*J266)</f>
        <v/>
      </c>
      <c r="Q266" s="7" t="n">
        <v>0.0163</v>
      </c>
      <c r="R266" s="8" t="n">
        <v>17.80386</v>
      </c>
      <c r="S266" s="4" t="inlineStr">
        <is>
          <t>NASDAQ100</t>
        </is>
      </c>
      <c r="T266" s="9" t="inlineStr">
        <is>
          <t>SI</t>
        </is>
      </c>
      <c r="U266" s="9" t="inlineStr"/>
      <c r="V266" s="10">
        <f>Umbrales!$B$9*(K266/1000)^Umbrales!$B$10</f>
        <v/>
      </c>
    </row>
    <row r="267">
      <c r="A267" s="4" t="inlineStr">
        <is>
          <t>LSEG.L</t>
        </is>
      </c>
      <c r="B267" s="4" t="inlineStr">
        <is>
          <t>London Stock Exchange Group plc</t>
        </is>
      </c>
      <c r="C267" s="4" t="inlineStr">
        <is>
          <t>United Kingdom</t>
        </is>
      </c>
      <c r="D267" s="4" t="inlineStr">
        <is>
          <t>GB</t>
        </is>
      </c>
      <c r="E267" s="4" t="inlineStr">
        <is>
          <t>Finanzas</t>
        </is>
      </c>
      <c r="F267" s="4" t="inlineStr">
        <is>
          <t>Financial Data &amp; Stock Exchanges</t>
        </is>
      </c>
      <c r="G267" s="4" t="inlineStr">
        <is>
          <t>LSE</t>
        </is>
      </c>
      <c r="H267" s="4" t="inlineStr">
        <is>
          <t>GBP</t>
        </is>
      </c>
      <c r="I267" s="5" t="n">
        <v>41327.529984</v>
      </c>
      <c r="J267" s="6">
        <f>INDEX(FX!$B:$B,MATCH(H267,FX!$A:$A,0))</f>
        <v/>
      </c>
      <c r="K267" s="5">
        <f>I267*J267</f>
        <v/>
      </c>
      <c r="L267" s="4">
        <f>IF(U267&lt;&gt;"",U267,IF(K267&gt;=Umbrales!$B$2,"Legendaria",IF(K267&gt;=Umbrales!$B$3,"Épica",IF(K267&gt;=Umbrales!$B$4,"Rara",IF(K267&gt;=Umbrales!$B$5,"Poco común","Común")))))</f>
        <v/>
      </c>
      <c r="M267" s="5" t="n">
        <v>9658.999808</v>
      </c>
      <c r="N267" s="5" t="n">
        <v>1414</v>
      </c>
      <c r="O267" s="5">
        <f>IF(M267="","",M267*J267)</f>
        <v/>
      </c>
      <c r="P267" s="5">
        <f>IF(N267="","",N267*J267)</f>
        <v/>
      </c>
      <c r="Q267" s="7" t="n">
        <v>0.0189</v>
      </c>
      <c r="R267" s="8" t="n">
        <v>30.956835</v>
      </c>
      <c r="S267" s="4" t="inlineStr">
        <is>
          <t>UK_TOP</t>
        </is>
      </c>
      <c r="T267" s="9" t="inlineStr">
        <is>
          <t>SI</t>
        </is>
      </c>
      <c r="U267" s="9" t="inlineStr"/>
      <c r="V267" s="10">
        <f>Umbrales!$B$9*(K267/1000)^Umbrales!$B$10</f>
        <v/>
      </c>
    </row>
    <row r="268">
      <c r="A268" s="4" t="inlineStr">
        <is>
          <t>CPG.L</t>
        </is>
      </c>
      <c r="B268" s="4" t="inlineStr">
        <is>
          <t>Compass Group PLC</t>
        </is>
      </c>
      <c r="C268" s="4" t="inlineStr">
        <is>
          <t>United Kingdom</t>
        </is>
      </c>
      <c r="D268" s="4" t="inlineStr">
        <is>
          <t>GB</t>
        </is>
      </c>
      <c r="E268" s="4" t="inlineStr">
        <is>
          <t>Consumo cíclico</t>
        </is>
      </c>
      <c r="F268" s="4" t="inlineStr">
        <is>
          <t>Restaurants</t>
        </is>
      </c>
      <c r="G268" s="4" t="inlineStr">
        <is>
          <t>LSE</t>
        </is>
      </c>
      <c r="H268" s="4" t="inlineStr">
        <is>
          <t>USD</t>
        </is>
      </c>
      <c r="I268" s="5" t="n">
        <v>54240.227328</v>
      </c>
      <c r="J268" s="6">
        <f>INDEX(FX!$B:$B,MATCH(H268,FX!$A:$A,0))</f>
        <v/>
      </c>
      <c r="K268" s="5">
        <f>I268*J268</f>
        <v/>
      </c>
      <c r="L268" s="4">
        <f>IF(U268&lt;&gt;"",U268,IF(K268&gt;=Umbrales!$B$2,"Legendaria",IF(K268&gt;=Umbrales!$B$3,"Épica",IF(K268&gt;=Umbrales!$B$4,"Rara",IF(K268&gt;=Umbrales!$B$5,"Poco común","Común")))))</f>
        <v/>
      </c>
      <c r="M268" s="5" t="n">
        <v>48484.999168</v>
      </c>
      <c r="N268" s="5" t="n">
        <v>2018</v>
      </c>
      <c r="O268" s="5">
        <f>IF(M268="","",M268*J268)</f>
        <v/>
      </c>
      <c r="P268" s="5">
        <f>IF(N268="","",N268*J268)</f>
        <v/>
      </c>
      <c r="Q268" s="7" t="n">
        <v>0.0221</v>
      </c>
      <c r="R268" s="8" t="n">
        <v>26.80672</v>
      </c>
      <c r="S268" s="4" t="inlineStr">
        <is>
          <t>UK_TOP</t>
        </is>
      </c>
      <c r="T268" s="9" t="inlineStr">
        <is>
          <t>SI</t>
        </is>
      </c>
      <c r="U268" s="9" t="inlineStr"/>
      <c r="V268" s="10">
        <f>Umbrales!$B$9*(K268/1000)^Umbrales!$B$10</f>
        <v/>
      </c>
    </row>
    <row r="269">
      <c r="A269" s="4" t="inlineStr">
        <is>
          <t>PSA</t>
        </is>
      </c>
      <c r="B269" s="4" t="inlineStr">
        <is>
          <t>Public Storage</t>
        </is>
      </c>
      <c r="C269" s="4" t="inlineStr">
        <is>
          <t>United States</t>
        </is>
      </c>
      <c r="D269" s="4" t="inlineStr">
        <is>
          <t>US</t>
        </is>
      </c>
      <c r="E269" s="4" t="inlineStr">
        <is>
          <t>Inmobiliario</t>
        </is>
      </c>
      <c r="F269" s="4" t="inlineStr">
        <is>
          <t>REIT - Industrial</t>
        </is>
      </c>
      <c r="G269" s="4" t="inlineStr">
        <is>
          <t>NYQ</t>
        </is>
      </c>
      <c r="H269" s="4" t="inlineStr">
        <is>
          <t>USD</t>
        </is>
      </c>
      <c r="I269" s="5" t="n">
        <v>53955.469312</v>
      </c>
      <c r="J269" s="6">
        <f>INDEX(FX!$B:$B,MATCH(H269,FX!$A:$A,0))</f>
        <v/>
      </c>
      <c r="K269" s="5">
        <f>I269*J269</f>
        <v/>
      </c>
      <c r="L269" s="4">
        <f>IF(U269&lt;&gt;"",U269,IF(K269&gt;=Umbrales!$B$2,"Legendaria",IF(K269&gt;=Umbrales!$B$3,"Épica",IF(K269&gt;=Umbrales!$B$4,"Rara",IF(K269&gt;=Umbrales!$B$5,"Poco común","Común")))))</f>
        <v/>
      </c>
      <c r="M269" s="5" t="n">
        <v>4910.444032</v>
      </c>
      <c r="N269" s="5" t="n">
        <v>1845.43296</v>
      </c>
      <c r="O269" s="5">
        <f>IF(M269="","",M269*J269)</f>
        <v/>
      </c>
      <c r="P269" s="5">
        <f>IF(N269="","",N269*J269)</f>
        <v/>
      </c>
      <c r="Q269" s="7" t="n">
        <v>0.0416</v>
      </c>
      <c r="R269" s="8" t="n">
        <v>27.553438</v>
      </c>
      <c r="S269" s="4" t="inlineStr"/>
      <c r="T269" s="9" t="inlineStr">
        <is>
          <t>SI</t>
        </is>
      </c>
      <c r="U269" s="9" t="inlineStr"/>
      <c r="V269" s="10">
        <f>Umbrales!$B$9*(K269/1000)^Umbrales!$B$10</f>
        <v/>
      </c>
    </row>
    <row r="270">
      <c r="A270" s="4" t="inlineStr">
        <is>
          <t>EA</t>
        </is>
      </c>
      <c r="B270" s="4" t="inlineStr">
        <is>
          <t>Electronic Arts Inc</t>
        </is>
      </c>
      <c r="C270" s="4" t="inlineStr">
        <is>
          <t>United States</t>
        </is>
      </c>
      <c r="D270" s="4" t="inlineStr">
        <is>
          <t>US</t>
        </is>
      </c>
      <c r="E270" s="4" t="inlineStr">
        <is>
          <t>Comunicación</t>
        </is>
      </c>
      <c r="F270" s="4" t="inlineStr">
        <is>
          <t>Electronic Gaming &amp; Multimedia</t>
        </is>
      </c>
      <c r="G270" s="4" t="inlineStr">
        <is>
          <t>NMS</t>
        </is>
      </c>
      <c r="H270" s="4" t="inlineStr">
        <is>
          <t>USD</t>
        </is>
      </c>
      <c r="I270" s="5" t="n">
        <v>52925.640704</v>
      </c>
      <c r="J270" s="6">
        <f>INDEX(FX!$B:$B,MATCH(H270,FX!$A:$A,0))</f>
        <v/>
      </c>
      <c r="K270" s="5">
        <f>I270*J270</f>
        <v/>
      </c>
      <c r="L270" s="4">
        <f>IF(U270&lt;&gt;"",U270,IF(K270&gt;=Umbrales!$B$2,"Legendaria",IF(K270&gt;=Umbrales!$B$3,"Épica",IF(K270&gt;=Umbrales!$B$4,"Rara",IF(K270&gt;=Umbrales!$B$5,"Poco común","Común")))))</f>
        <v/>
      </c>
      <c r="M270" s="5" t="n">
        <v>7846.000128</v>
      </c>
      <c r="N270" s="5" t="n">
        <v>1083.000064</v>
      </c>
      <c r="O270" s="5">
        <f>IF(M270="","",M270*J270)</f>
        <v/>
      </c>
      <c r="P270" s="5">
        <f>IF(N270="","",N270*J270)</f>
        <v/>
      </c>
      <c r="Q270" s="7" t="n">
        <v>3.6000002e-05</v>
      </c>
      <c r="R270" s="8" t="n">
        <v>59.743587</v>
      </c>
      <c r="S270" s="4" t="inlineStr">
        <is>
          <t>NASDAQ100</t>
        </is>
      </c>
      <c r="T270" s="9" t="inlineStr">
        <is>
          <t>SI</t>
        </is>
      </c>
      <c r="U270" s="9" t="inlineStr"/>
      <c r="V270" s="10">
        <f>Umbrales!$B$9*(K270/1000)^Umbrales!$B$10</f>
        <v/>
      </c>
    </row>
    <row r="271">
      <c r="A271" s="4" t="inlineStr">
        <is>
          <t>RHM.DE</t>
        </is>
      </c>
      <c r="B271" s="4" t="inlineStr">
        <is>
          <t>Rheinmetall AG</t>
        </is>
      </c>
      <c r="C271" s="4" t="inlineStr">
        <is>
          <t>Germany</t>
        </is>
      </c>
      <c r="D271" s="4" t="inlineStr">
        <is>
          <t>DE</t>
        </is>
      </c>
      <c r="E271" s="4" t="inlineStr">
        <is>
          <t>Industria</t>
        </is>
      </c>
      <c r="F271" s="4" t="inlineStr">
        <is>
          <t>Aerospace &amp; Defense</t>
        </is>
      </c>
      <c r="G271" s="4" t="inlineStr">
        <is>
          <t>GER</t>
        </is>
      </c>
      <c r="H271" s="4" t="inlineStr">
        <is>
          <t>EUR</t>
        </is>
      </c>
      <c r="I271" s="5" t="n">
        <v>47060.078592</v>
      </c>
      <c r="J271" s="6">
        <f>INDEX(FX!$B:$B,MATCH(H271,FX!$A:$A,0))</f>
        <v/>
      </c>
      <c r="K271" s="5">
        <f>I271*J271</f>
        <v/>
      </c>
      <c r="L271" s="4">
        <f>IF(U271&lt;&gt;"",U271,IF(K271&gt;=Umbrales!$B$2,"Legendaria",IF(K271&gt;=Umbrales!$B$3,"Épica",IF(K271&gt;=Umbrales!$B$4,"Rara",IF(K271&gt;=Umbrales!$B$5,"Poco común","Común")))))</f>
        <v/>
      </c>
      <c r="M271" s="5" t="n">
        <v>11413.000192</v>
      </c>
      <c r="N271" s="5" t="n">
        <v>1210</v>
      </c>
      <c r="O271" s="5">
        <f>IF(M271="","",M271*J271)</f>
        <v/>
      </c>
      <c r="P271" s="5">
        <f>IF(N271="","",N271*J271)</f>
        <v/>
      </c>
      <c r="Q271" s="7" t="n">
        <v>0.0124</v>
      </c>
      <c r="R271" s="8" t="n">
        <v>38.038475</v>
      </c>
      <c r="S271" s="4" t="inlineStr">
        <is>
          <t>DAX40</t>
        </is>
      </c>
      <c r="T271" s="9" t="inlineStr">
        <is>
          <t>SI</t>
        </is>
      </c>
      <c r="U271" s="9" t="inlineStr"/>
      <c r="V271" s="10">
        <f>Umbrales!$B$9*(K271/1000)^Umbrales!$B$10</f>
        <v/>
      </c>
    </row>
    <row r="272">
      <c r="A272" s="4" t="inlineStr">
        <is>
          <t>NKE</t>
        </is>
      </c>
      <c r="B272" s="4" t="inlineStr">
        <is>
          <t>NIKE, Inc.</t>
        </is>
      </c>
      <c r="C272" s="4" t="inlineStr">
        <is>
          <t>United States</t>
        </is>
      </c>
      <c r="D272" s="4" t="inlineStr">
        <is>
          <t>US</t>
        </is>
      </c>
      <c r="E272" s="4" t="inlineStr">
        <is>
          <t>Consumo cíclico</t>
        </is>
      </c>
      <c r="F272" s="4" t="inlineStr">
        <is>
          <t>Footwear &amp; Accessories</t>
        </is>
      </c>
      <c r="G272" s="4" t="inlineStr">
        <is>
          <t>NYQ</t>
        </is>
      </c>
      <c r="H272" s="4" t="inlineStr">
        <is>
          <t>USD</t>
        </is>
      </c>
      <c r="I272" s="5" t="n">
        <v>52431.40096</v>
      </c>
      <c r="J272" s="6">
        <f>INDEX(FX!$B:$B,MATCH(H272,FX!$A:$A,0))</f>
        <v/>
      </c>
      <c r="K272" s="5">
        <f>I272*J272</f>
        <v/>
      </c>
      <c r="L272" s="4">
        <f>IF(U272&lt;&gt;"",U272,IF(K272&gt;=Umbrales!$B$2,"Legendaria",IF(K272&gt;=Umbrales!$B$3,"Épica",IF(K272&gt;=Umbrales!$B$4,"Rara",IF(K272&gt;=Umbrales!$B$5,"Poco común","Común")))))</f>
        <v/>
      </c>
      <c r="M272" s="5" t="n">
        <v>45890.998272</v>
      </c>
      <c r="N272" s="5" t="n">
        <v>3092.999936</v>
      </c>
      <c r="O272" s="5">
        <f>IF(M272="","",M272*J272)</f>
        <v/>
      </c>
      <c r="P272" s="5">
        <f>IF(N272="","",N272*J272)</f>
        <v/>
      </c>
      <c r="Q272" s="7" t="n">
        <v>0.0464</v>
      </c>
      <c r="R272" s="8" t="n">
        <v>16.971153</v>
      </c>
      <c r="S272" s="4" t="inlineStr">
        <is>
          <t>DOW30</t>
        </is>
      </c>
      <c r="T272" s="9" t="inlineStr">
        <is>
          <t>SI</t>
        </is>
      </c>
      <c r="U272" s="9" t="inlineStr"/>
      <c r="V272" s="10">
        <f>Umbrales!$B$9*(K272/1000)^Umbrales!$B$10</f>
        <v/>
      </c>
    </row>
    <row r="273">
      <c r="A273" s="4" t="inlineStr">
        <is>
          <t>NOKIA.HE</t>
        </is>
      </c>
      <c r="B273" s="4" t="inlineStr">
        <is>
          <t>Nokia Oyj</t>
        </is>
      </c>
      <c r="C273" s="4" t="inlineStr">
        <is>
          <t>Finland</t>
        </is>
      </c>
      <c r="D273" s="4" t="inlineStr">
        <is>
          <t>FI</t>
        </is>
      </c>
      <c r="E273" s="4" t="inlineStr">
        <is>
          <t>Tecnología</t>
        </is>
      </c>
      <c r="F273" s="4" t="inlineStr">
        <is>
          <t>Communication Equipment</t>
        </is>
      </c>
      <c r="G273" s="4" t="inlineStr">
        <is>
          <t>HEL</t>
        </is>
      </c>
      <c r="H273" s="4" t="inlineStr">
        <is>
          <t>EUR</t>
        </is>
      </c>
      <c r="I273" s="5" t="n">
        <v>46715.088896</v>
      </c>
      <c r="J273" s="6">
        <f>INDEX(FX!$B:$B,MATCH(H273,FX!$A:$A,0))</f>
        <v/>
      </c>
      <c r="K273" s="5">
        <f>I273*J273</f>
        <v/>
      </c>
      <c r="L273" s="4">
        <f>IF(U273&lt;&gt;"",U273,IF(K273&gt;=Umbrales!$B$2,"Legendaria",IF(K273&gt;=Umbrales!$B$3,"Épica",IF(K273&gt;=Umbrales!$B$4,"Rara",IF(K273&gt;=Umbrales!$B$5,"Poco común","Común")))))</f>
        <v/>
      </c>
      <c r="M273" s="5" t="n">
        <v>20394.000384</v>
      </c>
      <c r="N273" s="5" t="n">
        <v>702</v>
      </c>
      <c r="O273" s="5">
        <f>IF(M273="","",M273*J273)</f>
        <v/>
      </c>
      <c r="P273" s="5">
        <f>IF(N273="","",N273*J273)</f>
        <v/>
      </c>
      <c r="Q273" s="7" t="n">
        <v>0.0161</v>
      </c>
      <c r="R273" s="8" t="n">
        <v>69.53333000000001</v>
      </c>
      <c r="S273" s="4" t="inlineStr">
        <is>
          <t>EUROSTOXX50</t>
        </is>
      </c>
      <c r="T273" s="9" t="inlineStr">
        <is>
          <t>SI</t>
        </is>
      </c>
      <c r="U273" s="9" t="inlineStr"/>
      <c r="V273" s="10">
        <f>Umbrales!$B$9*(K273/1000)^Umbrales!$B$10</f>
        <v/>
      </c>
    </row>
    <row r="274">
      <c r="A274" s="4" t="inlineStr">
        <is>
          <t>MAERSK-B.CO</t>
        </is>
      </c>
      <c r="B274" s="4" t="inlineStr">
        <is>
          <t>A.P. Møller - Mærsk A/S</t>
        </is>
      </c>
      <c r="C274" s="4" t="inlineStr">
        <is>
          <t>Denmark</t>
        </is>
      </c>
      <c r="D274" s="4" t="inlineStr">
        <is>
          <t>DK</t>
        </is>
      </c>
      <c r="E274" s="4" t="inlineStr">
        <is>
          <t>Industria</t>
        </is>
      </c>
      <c r="F274" s="4" t="inlineStr">
        <is>
          <t>Marine Shipping</t>
        </is>
      </c>
      <c r="G274" s="4" t="inlineStr">
        <is>
          <t>CPH</t>
        </is>
      </c>
      <c r="H274" s="4" t="inlineStr">
        <is>
          <t>DKK</t>
        </is>
      </c>
      <c r="I274" s="5" t="n">
        <v>348411.035648</v>
      </c>
      <c r="J274" s="6">
        <f>INDEX(FX!$B:$B,MATCH(H274,FX!$A:$A,0))</f>
        <v/>
      </c>
      <c r="K274" s="5">
        <f>I274*J274</f>
        <v/>
      </c>
      <c r="L274" s="4">
        <f>IF(U274&lt;&gt;"",U274,IF(K274&gt;=Umbrales!$B$2,"Legendaria",IF(K274&gt;=Umbrales!$B$3,"Épica",IF(K274&gt;=Umbrales!$B$4,"Rara",IF(K274&gt;=Umbrales!$B$5,"Poco común","Común")))))</f>
        <v/>
      </c>
      <c r="M274" s="5" t="n">
        <v>56263.999488</v>
      </c>
      <c r="N274" s="5" t="n">
        <v>2292.999936</v>
      </c>
      <c r="O274" s="5">
        <f>IF(M274="","",M274*J274)</f>
        <v/>
      </c>
      <c r="P274" s="5">
        <f>IF(N274="","",N274*J274)</f>
        <v/>
      </c>
      <c r="Q274" s="7" t="n">
        <v>0.0197</v>
      </c>
      <c r="R274" s="8" t="n">
        <v>23.985733</v>
      </c>
      <c r="S274" s="4" t="inlineStr"/>
      <c r="T274" s="9" t="inlineStr">
        <is>
          <t>SI</t>
        </is>
      </c>
      <c r="U274" s="9" t="inlineStr"/>
      <c r="V274" s="10">
        <f>Umbrales!$B$9*(K274/1000)^Umbrales!$B$10</f>
        <v/>
      </c>
    </row>
    <row r="275">
      <c r="A275" s="4" t="inlineStr">
        <is>
          <t>O</t>
        </is>
      </c>
      <c r="B275" s="4" t="inlineStr">
        <is>
          <t>Realty Income Corporation</t>
        </is>
      </c>
      <c r="C275" s="4" t="inlineStr">
        <is>
          <t>United States</t>
        </is>
      </c>
      <c r="D275" s="4" t="inlineStr">
        <is>
          <t>US</t>
        </is>
      </c>
      <c r="E275" s="4" t="inlineStr">
        <is>
          <t>Inmobiliario</t>
        </is>
      </c>
      <c r="F275" s="4" t="inlineStr">
        <is>
          <t>REIT - Retail</t>
        </is>
      </c>
      <c r="G275" s="4" t="inlineStr">
        <is>
          <t>NYQ</t>
        </is>
      </c>
      <c r="H275" s="4" t="inlineStr">
        <is>
          <t>USD</t>
        </is>
      </c>
      <c r="I275" s="5" t="n">
        <v>52202.848256</v>
      </c>
      <c r="J275" s="6">
        <f>INDEX(FX!$B:$B,MATCH(H275,FX!$A:$A,0))</f>
        <v/>
      </c>
      <c r="K275" s="5">
        <f>I275*J275</f>
        <v/>
      </c>
      <c r="L275" s="4">
        <f>IF(U275&lt;&gt;"",U275,IF(K275&gt;=Umbrales!$B$2,"Legendaria",IF(K275&gt;=Umbrales!$B$3,"Épica",IF(K275&gt;=Umbrales!$B$4,"Rara",IF(K275&gt;=Umbrales!$B$5,"Poco común","Común")))))</f>
        <v/>
      </c>
      <c r="M275" s="5" t="n">
        <v>6065.508864</v>
      </c>
      <c r="N275" s="5" t="n">
        <v>1267.57696</v>
      </c>
      <c r="O275" s="5">
        <f>IF(M275="","",M275*J275)</f>
        <v/>
      </c>
      <c r="P275" s="5">
        <f>IF(N275="","",N275*J275)</f>
        <v/>
      </c>
      <c r="Q275" s="7" t="n">
        <v>0.0592</v>
      </c>
      <c r="R275" s="8" t="n">
        <v>39.97826</v>
      </c>
      <c r="S275" s="4" t="inlineStr"/>
      <c r="T275" s="9" t="inlineStr">
        <is>
          <t>SI</t>
        </is>
      </c>
      <c r="U275" s="9" t="inlineStr"/>
      <c r="V275" s="10">
        <f>Umbrales!$B$9*(K275/1000)^Umbrales!$B$10</f>
        <v/>
      </c>
    </row>
    <row r="276">
      <c r="A276" s="4" t="inlineStr">
        <is>
          <t>BAS.DE</t>
        </is>
      </c>
      <c r="B276" s="4" t="inlineStr">
        <is>
          <t>BASF SE</t>
        </is>
      </c>
      <c r="C276" s="4" t="inlineStr">
        <is>
          <t>Germany</t>
        </is>
      </c>
      <c r="D276" s="4" t="inlineStr">
        <is>
          <t>DE</t>
        </is>
      </c>
      <c r="E276" s="4" t="inlineStr">
        <is>
          <t>Materiales</t>
        </is>
      </c>
      <c r="F276" s="4" t="inlineStr">
        <is>
          <t>Chemicals</t>
        </is>
      </c>
      <c r="G276" s="4" t="inlineStr">
        <is>
          <t>GER</t>
        </is>
      </c>
      <c r="H276" s="4" t="inlineStr">
        <is>
          <t>EUR</t>
        </is>
      </c>
      <c r="I276" s="5" t="n">
        <v>46338.646016</v>
      </c>
      <c r="J276" s="6">
        <f>INDEX(FX!$B:$B,MATCH(H276,FX!$A:$A,0))</f>
        <v/>
      </c>
      <c r="K276" s="5">
        <f>I276*J276</f>
        <v/>
      </c>
      <c r="L276" s="4">
        <f>IF(U276&lt;&gt;"",U276,IF(K276&gt;=Umbrales!$B$2,"Legendaria",IF(K276&gt;=Umbrales!$B$3,"Épica",IF(K276&gt;=Umbrales!$B$4,"Rara",IF(K276&gt;=Umbrales!$B$5,"Poco común","Común")))))</f>
        <v/>
      </c>
      <c r="M276" s="5" t="n">
        <v>61586.00192</v>
      </c>
      <c r="N276" s="5" t="n">
        <v>2091.000064</v>
      </c>
      <c r="O276" s="5">
        <f>IF(M276="","",M276*J276)</f>
        <v/>
      </c>
      <c r="P276" s="5">
        <f>IF(N276="","",N276*J276)</f>
        <v/>
      </c>
      <c r="Q276" s="7" t="n">
        <v>0.044</v>
      </c>
      <c r="R276" s="8" t="n">
        <v>21.742739</v>
      </c>
      <c r="S276" s="4" t="inlineStr">
        <is>
          <t>DAX40, EUROSTOXX50</t>
        </is>
      </c>
      <c r="T276" s="9" t="inlineStr">
        <is>
          <t>SI</t>
        </is>
      </c>
      <c r="U276" s="9" t="inlineStr"/>
      <c r="V276" s="10">
        <f>Umbrales!$B$9*(K276/1000)^Umbrales!$B$10</f>
        <v/>
      </c>
    </row>
    <row r="277">
      <c r="A277" s="4" t="inlineStr">
        <is>
          <t>TEAM</t>
        </is>
      </c>
      <c r="B277" s="4" t="inlineStr">
        <is>
          <t>Atlassian Corporation</t>
        </is>
      </c>
      <c r="C277" s="4" t="inlineStr">
        <is>
          <t>Australia</t>
        </is>
      </c>
      <c r="D277" s="4" t="inlineStr">
        <is>
          <t>AU</t>
        </is>
      </c>
      <c r="E277" s="4" t="inlineStr">
        <is>
          <t>Tecnología</t>
        </is>
      </c>
      <c r="F277" s="4" t="inlineStr">
        <is>
          <t>Software - Application</t>
        </is>
      </c>
      <c r="G277" s="4" t="inlineStr">
        <is>
          <t>NMS</t>
        </is>
      </c>
      <c r="H277" s="4" t="inlineStr">
        <is>
          <t>USD</t>
        </is>
      </c>
      <c r="I277" s="5" t="n">
        <v>51807.391744</v>
      </c>
      <c r="J277" s="6">
        <f>INDEX(FX!$B:$B,MATCH(H277,FX!$A:$A,0))</f>
        <v/>
      </c>
      <c r="K277" s="5">
        <f>I277*J277</f>
        <v/>
      </c>
      <c r="L277" s="4">
        <f>IF(U277&lt;&gt;"",U277,IF(K277&gt;=Umbrales!$B$2,"Legendaria",IF(K277&gt;=Umbrales!$B$3,"Épica",IF(K277&gt;=Umbrales!$B$4,"Rara",IF(K277&gt;=Umbrales!$B$5,"Poco común","Común")))))</f>
        <v/>
      </c>
      <c r="M277" s="5" t="n">
        <v>6572.307968</v>
      </c>
      <c r="N277" s="5" t="n">
        <v>-53.828</v>
      </c>
      <c r="O277" s="5">
        <f>IF(M277="","",M277*J277)</f>
        <v/>
      </c>
      <c r="P277" s="5">
        <f>IF(N277="","",N277*J277)</f>
        <v/>
      </c>
      <c r="Q277" s="7" t="n">
        <v>0</v>
      </c>
      <c r="R277" s="8" t="n"/>
      <c r="S277" s="4" t="inlineStr">
        <is>
          <t>NASDAQ100</t>
        </is>
      </c>
      <c r="T277" s="9" t="inlineStr">
        <is>
          <t>SI</t>
        </is>
      </c>
      <c r="U277" s="9" t="inlineStr"/>
      <c r="V277" s="10">
        <f>Umbrales!$B$9*(K277/1000)^Umbrales!$B$10</f>
        <v/>
      </c>
    </row>
    <row r="278">
      <c r="A278" s="4" t="inlineStr">
        <is>
          <t>DGE.L</t>
        </is>
      </c>
      <c r="B278" s="4" t="inlineStr">
        <is>
          <t>Diageo plc</t>
        </is>
      </c>
      <c r="C278" s="4" t="inlineStr">
        <is>
          <t>United Kingdom</t>
        </is>
      </c>
      <c r="D278" s="4" t="inlineStr">
        <is>
          <t>GB</t>
        </is>
      </c>
      <c r="E278" s="4" t="inlineStr">
        <is>
          <t>Consumo básico</t>
        </is>
      </c>
      <c r="F278" s="4" t="inlineStr">
        <is>
          <t>Beverages - Wineries &amp; Distilleries</t>
        </is>
      </c>
      <c r="G278" s="4" t="inlineStr">
        <is>
          <t>LSE</t>
        </is>
      </c>
      <c r="H278" s="4" t="inlineStr">
        <is>
          <t>GBP</t>
        </is>
      </c>
      <c r="I278" s="5" t="n">
        <v>38907.912192</v>
      </c>
      <c r="J278" s="6">
        <f>INDEX(FX!$B:$B,MATCH(H278,FX!$A:$A,0))</f>
        <v/>
      </c>
      <c r="K278" s="5">
        <f>I278*J278</f>
        <v/>
      </c>
      <c r="L278" s="4">
        <f>IF(U278&lt;&gt;"",U278,IF(K278&gt;=Umbrales!$B$2,"Legendaria",IF(K278&gt;=Umbrales!$B$3,"Épica",IF(K278&gt;=Umbrales!$B$4,"Rara",IF(K278&gt;=Umbrales!$B$5,"Poco común","Común")))))</f>
        <v/>
      </c>
      <c r="M278" s="5" t="n">
        <v>19643.000832</v>
      </c>
      <c r="N278" s="5" t="n">
        <v>1736.999936</v>
      </c>
      <c r="O278" s="5">
        <f>IF(M278="","",M278*J278)</f>
        <v/>
      </c>
      <c r="P278" s="5">
        <f>IF(N278="","",N278*J278)</f>
        <v/>
      </c>
      <c r="Q278" s="7" t="n">
        <v>0.0265</v>
      </c>
      <c r="R278" s="8" t="n">
        <v>30.155172</v>
      </c>
      <c r="S278" s="4" t="inlineStr">
        <is>
          <t>UK_TOP</t>
        </is>
      </c>
      <c r="T278" s="9" t="inlineStr">
        <is>
          <t>SI</t>
        </is>
      </c>
      <c r="U278" s="9" t="inlineStr"/>
      <c r="V278" s="10">
        <f>Umbrales!$B$9*(K278/1000)^Umbrales!$B$10</f>
        <v/>
      </c>
    </row>
    <row r="279">
      <c r="A279" s="4" t="inlineStr">
        <is>
          <t>EOAN.DE</t>
        </is>
      </c>
      <c r="B279" s="4" t="inlineStr">
        <is>
          <t>E.ON SE</t>
        </is>
      </c>
      <c r="C279" s="4" t="inlineStr">
        <is>
          <t>Germany</t>
        </is>
      </c>
      <c r="D279" s="4" t="inlineStr">
        <is>
          <t>DE</t>
        </is>
      </c>
      <c r="E279" s="4" t="inlineStr">
        <is>
          <t>Servicios públicos</t>
        </is>
      </c>
      <c r="F279" s="4" t="inlineStr">
        <is>
          <t>Utilities - Diversified</t>
        </is>
      </c>
      <c r="G279" s="4" t="inlineStr">
        <is>
          <t>GER</t>
        </is>
      </c>
      <c r="H279" s="4" t="inlineStr">
        <is>
          <t>EUR</t>
        </is>
      </c>
      <c r="I279" s="5" t="n">
        <v>45566.980096</v>
      </c>
      <c r="J279" s="6">
        <f>INDEX(FX!$B:$B,MATCH(H279,FX!$A:$A,0))</f>
        <v/>
      </c>
      <c r="K279" s="5">
        <f>I279*J279</f>
        <v/>
      </c>
      <c r="L279" s="4">
        <f>IF(U279&lt;&gt;"",U279,IF(K279&gt;=Umbrales!$B$2,"Legendaria",IF(K279&gt;=Umbrales!$B$3,"Épica",IF(K279&gt;=Umbrales!$B$4,"Rara",IF(K279&gt;=Umbrales!$B$5,"Poco común","Común")))))</f>
        <v/>
      </c>
      <c r="M279" s="5" t="n">
        <v>75225.99731200001</v>
      </c>
      <c r="N279" s="5" t="n">
        <v>3372.999936</v>
      </c>
      <c r="O279" s="5">
        <f>IF(M279="","",M279*J279)</f>
        <v/>
      </c>
      <c r="P279" s="5">
        <f>IF(N279="","",N279*J279)</f>
        <v/>
      </c>
      <c r="Q279" s="7" t="n">
        <v>0.0337</v>
      </c>
      <c r="R279" s="8" t="n">
        <v>13.511628</v>
      </c>
      <c r="S279" s="4" t="inlineStr">
        <is>
          <t>DAX40</t>
        </is>
      </c>
      <c r="T279" s="9" t="inlineStr">
        <is>
          <t>SI</t>
        </is>
      </c>
      <c r="U279" s="9" t="inlineStr"/>
      <c r="V279" s="10">
        <f>Umbrales!$B$9*(K279/1000)^Umbrales!$B$10</f>
        <v/>
      </c>
    </row>
    <row r="280">
      <c r="A280" s="4" t="inlineStr">
        <is>
          <t>RWE.DE</t>
        </is>
      </c>
      <c r="B280" s="4" t="inlineStr">
        <is>
          <t>RWE Aktiengesellschaft</t>
        </is>
      </c>
      <c r="C280" s="4" t="inlineStr">
        <is>
          <t>Germany</t>
        </is>
      </c>
      <c r="D280" s="4" t="inlineStr">
        <is>
          <t>DE</t>
        </is>
      </c>
      <c r="E280" s="4" t="inlineStr">
        <is>
          <t>Servicios públicos</t>
        </is>
      </c>
      <c r="F280" s="4" t="inlineStr">
        <is>
          <t>Utilities - Diversified</t>
        </is>
      </c>
      <c r="G280" s="4" t="inlineStr">
        <is>
          <t>GER</t>
        </is>
      </c>
      <c r="H280" s="4" t="inlineStr">
        <is>
          <t>EUR</t>
        </is>
      </c>
      <c r="I280" s="5" t="n">
        <v>45410.738176</v>
      </c>
      <c r="J280" s="6">
        <f>INDEX(FX!$B:$B,MATCH(H280,FX!$A:$A,0))</f>
        <v/>
      </c>
      <c r="K280" s="5">
        <f>I280*J280</f>
        <v/>
      </c>
      <c r="L280" s="4">
        <f>IF(U280&lt;&gt;"",U280,IF(K280&gt;=Umbrales!$B$2,"Legendaria",IF(K280&gt;=Umbrales!$B$3,"Épica",IF(K280&gt;=Umbrales!$B$4,"Rara",IF(K280&gt;=Umbrales!$B$5,"Poco común","Común")))))</f>
        <v/>
      </c>
      <c r="M280" s="5" t="n">
        <v>15966.999552</v>
      </c>
      <c r="N280" s="5" t="n">
        <v>3233.999872</v>
      </c>
      <c r="O280" s="5">
        <f>IF(M280="","",M280*J280)</f>
        <v/>
      </c>
      <c r="P280" s="5">
        <f>IF(N280="","",N280*J280)</f>
        <v/>
      </c>
      <c r="Q280" s="7" t="n">
        <v>0.0207</v>
      </c>
      <c r="R280" s="8" t="n">
        <v>12.629067</v>
      </c>
      <c r="S280" s="4" t="inlineStr">
        <is>
          <t>DAX40</t>
        </is>
      </c>
      <c r="T280" s="9" t="inlineStr">
        <is>
          <t>SI</t>
        </is>
      </c>
      <c r="U280" s="9" t="inlineStr"/>
      <c r="V280" s="10">
        <f>Umbrales!$B$9*(K280/1000)^Umbrales!$B$10</f>
        <v/>
      </c>
    </row>
    <row r="281">
      <c r="A281" s="4" t="inlineStr">
        <is>
          <t>SHL.DE</t>
        </is>
      </c>
      <c r="B281" s="4" t="inlineStr">
        <is>
          <t>Siemens Healthineers AG</t>
        </is>
      </c>
      <c r="C281" s="4" t="inlineStr">
        <is>
          <t>Germany</t>
        </is>
      </c>
      <c r="D281" s="4" t="inlineStr">
        <is>
          <t>DE</t>
        </is>
      </c>
      <c r="E281" s="4" t="inlineStr">
        <is>
          <t>Salud</t>
        </is>
      </c>
      <c r="F281" s="4" t="inlineStr">
        <is>
          <t>Medical Devices</t>
        </is>
      </c>
      <c r="G281" s="4" t="inlineStr">
        <is>
          <t>GER</t>
        </is>
      </c>
      <c r="H281" s="4" t="inlineStr">
        <is>
          <t>EUR</t>
        </is>
      </c>
      <c r="I281" s="5" t="n">
        <v>45047.758848</v>
      </c>
      <c r="J281" s="6">
        <f>INDEX(FX!$B:$B,MATCH(H281,FX!$A:$A,0))</f>
        <v/>
      </c>
      <c r="K281" s="5">
        <f>I281*J281</f>
        <v/>
      </c>
      <c r="L281" s="4">
        <f>IF(U281&lt;&gt;"",U281,IF(K281&gt;=Umbrales!$B$2,"Legendaria",IF(K281&gt;=Umbrales!$B$3,"Épica",IF(K281&gt;=Umbrales!$B$4,"Rara",IF(K281&gt;=Umbrales!$B$5,"Poco común","Común")))))</f>
        <v/>
      </c>
      <c r="M281" s="5" t="n">
        <v>23168</v>
      </c>
      <c r="N281" s="5" t="n">
        <v>2212.999936</v>
      </c>
      <c r="O281" s="5">
        <f>IF(M281="","",M281*J281)</f>
        <v/>
      </c>
      <c r="P281" s="5">
        <f>IF(N281="","",N281*J281)</f>
        <v/>
      </c>
      <c r="Q281" s="7" t="n">
        <v>0.0259</v>
      </c>
      <c r="R281" s="8" t="n">
        <v>19.730392</v>
      </c>
      <c r="S281" s="4" t="inlineStr">
        <is>
          <t>DAX40</t>
        </is>
      </c>
      <c r="T281" s="9" t="inlineStr">
        <is>
          <t>SI</t>
        </is>
      </c>
      <c r="U281" s="9" t="inlineStr"/>
      <c r="V281" s="10">
        <f>Umbrales!$B$9*(K281/1000)^Umbrales!$B$10</f>
        <v/>
      </c>
    </row>
    <row r="282">
      <c r="A282" s="4" t="inlineStr">
        <is>
          <t>BAYN.DE</t>
        </is>
      </c>
      <c r="B282" s="4" t="inlineStr">
        <is>
          <t>Bayer Aktiengesellschaft</t>
        </is>
      </c>
      <c r="C282" s="4" t="inlineStr">
        <is>
          <t>Germany</t>
        </is>
      </c>
      <c r="D282" s="4" t="inlineStr">
        <is>
          <t>DE</t>
        </is>
      </c>
      <c r="E282" s="4" t="inlineStr">
        <is>
          <t>Salud</t>
        </is>
      </c>
      <c r="F282" s="4" t="inlineStr">
        <is>
          <t>Drug Manufacturers - General</t>
        </is>
      </c>
      <c r="G282" s="4" t="inlineStr">
        <is>
          <t>GER</t>
        </is>
      </c>
      <c r="H282" s="4" t="inlineStr">
        <is>
          <t>EUR</t>
        </is>
      </c>
      <c r="I282" s="5" t="n">
        <v>44700.295168</v>
      </c>
      <c r="J282" s="6">
        <f>INDEX(FX!$B:$B,MATCH(H282,FX!$A:$A,0))</f>
        <v/>
      </c>
      <c r="K282" s="5">
        <f>I282*J282</f>
        <v/>
      </c>
      <c r="L282" s="4">
        <f>IF(U282&lt;&gt;"",U282,IF(K282&gt;=Umbrales!$B$2,"Legendaria",IF(K282&gt;=Umbrales!$B$3,"Épica",IF(K282&gt;=Umbrales!$B$4,"Rara",IF(K282&gt;=Umbrales!$B$5,"Poco común","Común")))))</f>
        <v/>
      </c>
      <c r="M282" s="5" t="n">
        <v>45375.000576</v>
      </c>
      <c r="N282" s="5" t="n">
        <v>-1738</v>
      </c>
      <c r="O282" s="5">
        <f>IF(M282="","",M282*J282)</f>
        <v/>
      </c>
      <c r="P282" s="5">
        <f>IF(N282="","",N282*J282)</f>
        <v/>
      </c>
      <c r="Q282" s="7" t="n">
        <v>0.0025</v>
      </c>
      <c r="R282" s="8" t="n"/>
      <c r="S282" s="4" t="inlineStr">
        <is>
          <t>DAX40, EUROSTOXX50</t>
        </is>
      </c>
      <c r="T282" s="9" t="inlineStr">
        <is>
          <t>SI</t>
        </is>
      </c>
      <c r="U282" s="9" t="inlineStr"/>
      <c r="V282" s="10">
        <f>Umbrales!$B$9*(K282/1000)^Umbrales!$B$10</f>
        <v/>
      </c>
    </row>
    <row r="283">
      <c r="A283" s="4" t="inlineStr">
        <is>
          <t>ELE.MC</t>
        </is>
      </c>
      <c r="B283" s="4" t="inlineStr">
        <is>
          <t>Endesa, S.A.</t>
        </is>
      </c>
      <c r="C283" s="4" t="inlineStr">
        <is>
          <t>Spain</t>
        </is>
      </c>
      <c r="D283" s="4" t="inlineStr">
        <is>
          <t>ES</t>
        </is>
      </c>
      <c r="E283" s="4" t="inlineStr">
        <is>
          <t>Servicios públicos</t>
        </is>
      </c>
      <c r="F283" s="4" t="inlineStr">
        <is>
          <t>Utilities - Regulated Electric</t>
        </is>
      </c>
      <c r="G283" s="4" t="inlineStr">
        <is>
          <t>MCE</t>
        </is>
      </c>
      <c r="H283" s="4" t="inlineStr">
        <is>
          <t>EUR</t>
        </is>
      </c>
      <c r="I283" s="5" t="n">
        <v>43737.264128</v>
      </c>
      <c r="J283" s="6">
        <f>INDEX(FX!$B:$B,MATCH(H283,FX!$A:$A,0))</f>
        <v/>
      </c>
      <c r="K283" s="5">
        <f>I283*J283</f>
        <v/>
      </c>
      <c r="L283" s="4">
        <f>IF(U283&lt;&gt;"",U283,IF(K283&gt;=Umbrales!$B$2,"Legendaria",IF(K283&gt;=Umbrales!$B$3,"Épica",IF(K283&gt;=Umbrales!$B$4,"Rara",IF(K283&gt;=Umbrales!$B$5,"Poco común","Común")))))</f>
        <v/>
      </c>
      <c r="M283" s="5" t="n">
        <v>21126.00064</v>
      </c>
      <c r="N283" s="5" t="n">
        <v>2627.000064</v>
      </c>
      <c r="O283" s="5">
        <f>IF(M283="","",M283*J283)</f>
        <v/>
      </c>
      <c r="P283" s="5">
        <f>IF(N283="","",N283*J283)</f>
        <v/>
      </c>
      <c r="Q283" s="7" t="n">
        <v>0.0367</v>
      </c>
      <c r="R283" s="8" t="n">
        <v>17.035572</v>
      </c>
      <c r="S283" s="4" t="inlineStr">
        <is>
          <t>IBEX35</t>
        </is>
      </c>
      <c r="T283" s="9" t="inlineStr">
        <is>
          <t>SI</t>
        </is>
      </c>
      <c r="U283" s="9" t="inlineStr"/>
      <c r="V283" s="10">
        <f>Umbrales!$B$9*(K283/1000)^Umbrales!$B$10</f>
        <v/>
      </c>
    </row>
    <row r="284">
      <c r="A284" s="4" t="inlineStr">
        <is>
          <t>PYPL</t>
        </is>
      </c>
      <c r="B284" s="4" t="inlineStr">
        <is>
          <t>PayPal Holdings, Inc.</t>
        </is>
      </c>
      <c r="C284" s="4" t="inlineStr">
        <is>
          <t>United States</t>
        </is>
      </c>
      <c r="D284" s="4" t="inlineStr">
        <is>
          <t>US</t>
        </is>
      </c>
      <c r="E284" s="4" t="inlineStr">
        <is>
          <t>Finanzas</t>
        </is>
      </c>
      <c r="F284" s="4" t="inlineStr">
        <is>
          <t>Credit Services</t>
        </is>
      </c>
      <c r="G284" s="4" t="inlineStr">
        <is>
          <t>NMS</t>
        </is>
      </c>
      <c r="H284" s="4" t="inlineStr">
        <is>
          <t>USD</t>
        </is>
      </c>
      <c r="I284" s="5" t="n">
        <v>48358.199296</v>
      </c>
      <c r="J284" s="6">
        <f>INDEX(FX!$B:$B,MATCH(H284,FX!$A:$A,0))</f>
        <v/>
      </c>
      <c r="K284" s="5">
        <f>I284*J284</f>
        <v/>
      </c>
      <c r="L284" s="4">
        <f>IF(U284&lt;&gt;"",U284,IF(K284&gt;=Umbrales!$B$2,"Legendaria",IF(K284&gt;=Umbrales!$B$3,"Épica",IF(K284&gt;=Umbrales!$B$4,"Rara",IF(K284&gt;=Umbrales!$B$5,"Poco común","Común")))))</f>
        <v/>
      </c>
      <c r="M284" s="5" t="n">
        <v>34127.998976</v>
      </c>
      <c r="N284" s="5" t="n">
        <v>4902.000128</v>
      </c>
      <c r="O284" s="5">
        <f>IF(M284="","",M284*J284)</f>
        <v/>
      </c>
      <c r="P284" s="5">
        <f>IF(N284="","",N284*J284)</f>
        <v/>
      </c>
      <c r="Q284" s="7" t="n">
        <v>0.01</v>
      </c>
      <c r="R284" s="8" t="n">
        <v>10.604915</v>
      </c>
      <c r="S284" s="4" t="inlineStr">
        <is>
          <t>NASDAQ100</t>
        </is>
      </c>
      <c r="T284" s="9" t="inlineStr">
        <is>
          <t>SI</t>
        </is>
      </c>
      <c r="U284" s="9" t="inlineStr"/>
      <c r="V284" s="10">
        <f>Umbrales!$B$9*(K284/1000)^Umbrales!$B$10</f>
        <v/>
      </c>
    </row>
    <row r="285">
      <c r="A285" s="4" t="inlineStr">
        <is>
          <t>ADSK</t>
        </is>
      </c>
      <c r="B285" s="4" t="inlineStr">
        <is>
          <t>Autodesk, Inc.</t>
        </is>
      </c>
      <c r="C285" s="4" t="inlineStr">
        <is>
          <t>United States</t>
        </is>
      </c>
      <c r="D285" s="4" t="inlineStr">
        <is>
          <t>US</t>
        </is>
      </c>
      <c r="E285" s="4" t="inlineStr">
        <is>
          <t>Tecnología</t>
        </is>
      </c>
      <c r="F285" s="4" t="inlineStr">
        <is>
          <t>Software - Application</t>
        </is>
      </c>
      <c r="G285" s="4" t="inlineStr">
        <is>
          <t>NMS</t>
        </is>
      </c>
      <c r="H285" s="4" t="inlineStr">
        <is>
          <t>USD</t>
        </is>
      </c>
      <c r="I285" s="5" t="n">
        <v>48308.260864</v>
      </c>
      <c r="J285" s="6">
        <f>INDEX(FX!$B:$B,MATCH(H285,FX!$A:$A,0))</f>
        <v/>
      </c>
      <c r="K285" s="5">
        <f>I285*J285</f>
        <v/>
      </c>
      <c r="L285" s="4">
        <f>IF(U285&lt;&gt;"",U285,IF(K285&gt;=Umbrales!$B$2,"Legendaria",IF(K285&gt;=Umbrales!$B$3,"Épica",IF(K285&gt;=Umbrales!$B$4,"Rara",IF(K285&gt;=Umbrales!$B$5,"Poco común","Común")))))</f>
        <v/>
      </c>
      <c r="M285" s="5" t="n">
        <v>7790.000128</v>
      </c>
      <c r="N285" s="5" t="n">
        <v>1642</v>
      </c>
      <c r="O285" s="5">
        <f>IF(M285="","",M285*J285)</f>
        <v/>
      </c>
      <c r="P285" s="5">
        <f>IF(N285="","",N285*J285)</f>
        <v/>
      </c>
      <c r="Q285" s="7" t="n">
        <v>0</v>
      </c>
      <c r="R285" s="8" t="n">
        <v>29.979248</v>
      </c>
      <c r="S285" s="4" t="inlineStr">
        <is>
          <t>NASDAQ100</t>
        </is>
      </c>
      <c r="T285" s="9" t="inlineStr">
        <is>
          <t>SI</t>
        </is>
      </c>
      <c r="U285" s="9" t="inlineStr"/>
      <c r="V285" s="10">
        <f>Umbrales!$B$9*(K285/1000)^Umbrales!$B$10</f>
        <v/>
      </c>
    </row>
    <row r="286">
      <c r="A286" s="4" t="inlineStr">
        <is>
          <t>F</t>
        </is>
      </c>
      <c r="B286" s="4" t="inlineStr">
        <is>
          <t>Ford Motor Company</t>
        </is>
      </c>
      <c r="C286" s="4" t="inlineStr">
        <is>
          <t>United States</t>
        </is>
      </c>
      <c r="D286" s="4" t="inlineStr">
        <is>
          <t>US</t>
        </is>
      </c>
      <c r="E286" s="4" t="inlineStr">
        <is>
          <t>Consumo cíclico</t>
        </is>
      </c>
      <c r="F286" s="4" t="inlineStr">
        <is>
          <t>Auto Manufacturers</t>
        </is>
      </c>
      <c r="G286" s="4" t="inlineStr">
        <is>
          <t>NYQ</t>
        </is>
      </c>
      <c r="H286" s="4" t="inlineStr">
        <is>
          <t>USD</t>
        </is>
      </c>
      <c r="I286" s="5" t="n">
        <v>48050.528256</v>
      </c>
      <c r="J286" s="6">
        <f>INDEX(FX!$B:$B,MATCH(H286,FX!$A:$A,0))</f>
        <v/>
      </c>
      <c r="K286" s="5">
        <f>I286*J286</f>
        <v/>
      </c>
      <c r="L286" s="4">
        <f>IF(U286&lt;&gt;"",U286,IF(K286&gt;=Umbrales!$B$2,"Legendaria",IF(K286&gt;=Umbrales!$B$3,"Épica",IF(K286&gt;=Umbrales!$B$4,"Rara",IF(K286&gt;=Umbrales!$B$5,"Poco común","Común")))))</f>
        <v/>
      </c>
      <c r="M286" s="5" t="n">
        <v>187972.993024</v>
      </c>
      <c r="N286" s="5" t="n">
        <v>-7395.999744</v>
      </c>
      <c r="O286" s="5">
        <f>IF(M286="","",M286*J286)</f>
        <v/>
      </c>
      <c r="P286" s="5">
        <f>IF(N286="","",N286*J286)</f>
        <v/>
      </c>
      <c r="Q286" s="7" t="n">
        <v>0.0496</v>
      </c>
      <c r="R286" s="8" t="n"/>
      <c r="S286" s="4" t="inlineStr"/>
      <c r="T286" s="9" t="inlineStr">
        <is>
          <t>SI</t>
        </is>
      </c>
      <c r="U286" s="9" t="inlineStr"/>
      <c r="V286" s="10">
        <f>Umbrales!$B$9*(K286/1000)^Umbrales!$B$10</f>
        <v/>
      </c>
    </row>
    <row r="287">
      <c r="A287" s="4" t="inlineStr">
        <is>
          <t>INFY.NS</t>
        </is>
      </c>
      <c r="B287" s="4" t="inlineStr">
        <is>
          <t>Infosys Limited</t>
        </is>
      </c>
      <c r="C287" s="4" t="inlineStr">
        <is>
          <t>India</t>
        </is>
      </c>
      <c r="D287" s="4" t="inlineStr">
        <is>
          <t>IN</t>
        </is>
      </c>
      <c r="E287" s="4" t="inlineStr">
        <is>
          <t>Tecnología</t>
        </is>
      </c>
      <c r="F287" s="4" t="inlineStr">
        <is>
          <t>Information Technology Services</t>
        </is>
      </c>
      <c r="G287" s="4" t="inlineStr">
        <is>
          <t>NSI</t>
        </is>
      </c>
      <c r="H287" s="4" t="inlineStr">
        <is>
          <t>INR</t>
        </is>
      </c>
      <c r="I287" s="5" t="n">
        <v>4505804.47232</v>
      </c>
      <c r="J287" s="6">
        <f>INDEX(FX!$B:$B,MATCH(H287,FX!$A:$A,0))</f>
        <v/>
      </c>
      <c r="K287" s="5">
        <f>I287*J287</f>
        <v/>
      </c>
      <c r="L287" s="4">
        <f>IF(U287&lt;&gt;"",U287,IF(K287&gt;=Umbrales!$B$2,"Legendaria",IF(K287&gt;=Umbrales!$B$3,"Épica",IF(K287&gt;=Umbrales!$B$4,"Rara",IF(K287&gt;=Umbrales!$B$5,"Poco común","Común")))))</f>
        <v/>
      </c>
      <c r="M287" s="5" t="n">
        <v>20298.999808</v>
      </c>
      <c r="N287" s="5" t="n">
        <v>3323.000064</v>
      </c>
      <c r="O287" s="5">
        <f>IF(M287="","",M287*J287)</f>
        <v/>
      </c>
      <c r="P287" s="5">
        <f>IF(N287="","",N287*J287)</f>
        <v/>
      </c>
      <c r="Q287" s="7" t="n">
        <v>0.046</v>
      </c>
      <c r="R287" s="8" t="n">
        <v>15.155993</v>
      </c>
      <c r="S287" s="4" t="inlineStr">
        <is>
          <t>ASIA_TOP</t>
        </is>
      </c>
      <c r="T287" s="9" t="inlineStr">
        <is>
          <t>SI</t>
        </is>
      </c>
      <c r="U287" s="9" t="inlineStr"/>
      <c r="V287" s="10">
        <f>Umbrales!$B$9*(K287/1000)^Umbrales!$B$10</f>
        <v/>
      </c>
    </row>
    <row r="288">
      <c r="A288" s="4" t="inlineStr">
        <is>
          <t>MTS.MC</t>
        </is>
      </c>
      <c r="B288" s="4" t="inlineStr">
        <is>
          <t>ArcelorMittal S.A.</t>
        </is>
      </c>
      <c r="C288" s="4" t="inlineStr">
        <is>
          <t>Luxembourg</t>
        </is>
      </c>
      <c r="D288" s="4" t="inlineStr">
        <is>
          <t>LU</t>
        </is>
      </c>
      <c r="E288" s="4" t="inlineStr">
        <is>
          <t>Materiales</t>
        </is>
      </c>
      <c r="F288" s="4" t="inlineStr">
        <is>
          <t>Steel</t>
        </is>
      </c>
      <c r="G288" s="4" t="inlineStr">
        <is>
          <t>MCE</t>
        </is>
      </c>
      <c r="H288" s="4" t="inlineStr">
        <is>
          <t>EUR</t>
        </is>
      </c>
      <c r="I288" s="5" t="n">
        <v>42003.08736</v>
      </c>
      <c r="J288" s="6">
        <f>INDEX(FX!$B:$B,MATCH(H288,FX!$A:$A,0))</f>
        <v/>
      </c>
      <c r="K288" s="5">
        <f>I288*J288</f>
        <v/>
      </c>
      <c r="L288" s="4">
        <f>IF(U288&lt;&gt;"",U288,IF(K288&gt;=Umbrales!$B$2,"Legendaria",IF(K288&gt;=Umbrales!$B$3,"Épica",IF(K288&gt;=Umbrales!$B$4,"Rara",IF(K288&gt;=Umbrales!$B$5,"Poco común","Común")))))</f>
        <v/>
      </c>
      <c r="M288" s="5" t="n">
        <v>62846.001152</v>
      </c>
      <c r="N288" s="5" t="n">
        <v>1812</v>
      </c>
      <c r="O288" s="5">
        <f>IF(M288="","",M288*J288)</f>
        <v/>
      </c>
      <c r="P288" s="5">
        <f>IF(N288="","",N288*J288)</f>
        <v/>
      </c>
      <c r="Q288" s="7" t="n">
        <v>0.009599999999999999</v>
      </c>
      <c r="R288" s="8" t="n">
        <v>27.382353</v>
      </c>
      <c r="S288" s="4" t="inlineStr">
        <is>
          <t>IBEX35</t>
        </is>
      </c>
      <c r="T288" s="9" t="inlineStr">
        <is>
          <t>SI</t>
        </is>
      </c>
      <c r="U288" s="9" t="inlineStr"/>
      <c r="V288" s="10">
        <f>Umbrales!$B$9*(K288/1000)^Umbrales!$B$10</f>
        <v/>
      </c>
    </row>
    <row r="289">
      <c r="A289" s="4" t="inlineStr">
        <is>
          <t>CCEP</t>
        </is>
      </c>
      <c r="B289" s="4" t="inlineStr">
        <is>
          <t>Coca-Cola Europacific Partners PLC</t>
        </is>
      </c>
      <c r="C289" s="4" t="inlineStr">
        <is>
          <t>United Kingdom</t>
        </is>
      </c>
      <c r="D289" s="4" t="inlineStr">
        <is>
          <t>GB</t>
        </is>
      </c>
      <c r="E289" s="4" t="inlineStr">
        <is>
          <t>Consumo básico</t>
        </is>
      </c>
      <c r="F289" s="4" t="inlineStr">
        <is>
          <t>Beverages - Non-Alcoholic</t>
        </is>
      </c>
      <c r="G289" s="4" t="inlineStr">
        <is>
          <t>NMS</t>
        </is>
      </c>
      <c r="H289" s="4" t="inlineStr">
        <is>
          <t>USD</t>
        </is>
      </c>
      <c r="I289" s="5" t="n">
        <v>47118.077952</v>
      </c>
      <c r="J289" s="6">
        <f>INDEX(FX!$B:$B,MATCH(H289,FX!$A:$A,0))</f>
        <v/>
      </c>
      <c r="K289" s="5">
        <f>I289*J289</f>
        <v/>
      </c>
      <c r="L289" s="4">
        <f>IF(U289&lt;&gt;"",U289,IF(K289&gt;=Umbrales!$B$2,"Legendaria",IF(K289&gt;=Umbrales!$B$3,"Épica",IF(K289&gt;=Umbrales!$B$4,"Rara",IF(K289&gt;=Umbrales!$B$5,"Poco común","Común")))))</f>
        <v/>
      </c>
      <c r="M289" s="5" t="n">
        <v>21351.000064</v>
      </c>
      <c r="N289" s="5" t="n">
        <v>1996</v>
      </c>
      <c r="O289" s="5">
        <f>IF(M289="","",M289*J289)</f>
        <v/>
      </c>
      <c r="P289" s="5">
        <f>IF(N289="","",N289*J289)</f>
        <v/>
      </c>
      <c r="Q289" s="7" t="n">
        <v>0.0228</v>
      </c>
      <c r="R289" s="8" t="n">
        <v>20.698843</v>
      </c>
      <c r="S289" s="4" t="inlineStr">
        <is>
          <t>NASDAQ100</t>
        </is>
      </c>
      <c r="T289" s="9" t="inlineStr">
        <is>
          <t>SI</t>
        </is>
      </c>
      <c r="U289" s="9" t="inlineStr"/>
      <c r="V289" s="10">
        <f>Umbrales!$B$9*(K289/1000)^Umbrales!$B$10</f>
        <v/>
      </c>
    </row>
    <row r="290">
      <c r="A290" s="4" t="inlineStr">
        <is>
          <t>XEL</t>
        </is>
      </c>
      <c r="B290" s="4" t="inlineStr">
        <is>
          <t>Xcel Energy Inc.</t>
        </is>
      </c>
      <c r="C290" s="4" t="inlineStr">
        <is>
          <t>United States</t>
        </is>
      </c>
      <c r="D290" s="4" t="inlineStr">
        <is>
          <t>US</t>
        </is>
      </c>
      <c r="E290" s="4" t="inlineStr">
        <is>
          <t>Servicios públicos</t>
        </is>
      </c>
      <c r="F290" s="4" t="inlineStr">
        <is>
          <t>Utilities - Regulated Electric</t>
        </is>
      </c>
      <c r="G290" s="4" t="inlineStr">
        <is>
          <t>NMS</t>
        </is>
      </c>
      <c r="H290" s="4" t="inlineStr">
        <is>
          <t>USD</t>
        </is>
      </c>
      <c r="I290" s="5" t="n">
        <v>47072.44032</v>
      </c>
      <c r="J290" s="6">
        <f>INDEX(FX!$B:$B,MATCH(H290,FX!$A:$A,0))</f>
        <v/>
      </c>
      <c r="K290" s="5">
        <f>I290*J290</f>
        <v/>
      </c>
      <c r="L290" s="4">
        <f>IF(U290&lt;&gt;"",U290,IF(K290&gt;=Umbrales!$B$2,"Legendaria",IF(K290&gt;=Umbrales!$B$3,"Épica",IF(K290&gt;=Umbrales!$B$4,"Rara",IF(K290&gt;=Umbrales!$B$5,"Poco común","Común")))))</f>
        <v/>
      </c>
      <c r="M290" s="5" t="n">
        <v>14616.000512</v>
      </c>
      <c r="N290" s="5" t="n">
        <v>2232.999936</v>
      </c>
      <c r="O290" s="5">
        <f>IF(M290="","",M290*J290)</f>
        <v/>
      </c>
      <c r="P290" s="5">
        <f>IF(N290="","",N290*J290)</f>
        <v/>
      </c>
      <c r="Q290" s="7" t="n">
        <v>0.0318</v>
      </c>
      <c r="R290" s="8" t="n">
        <v>20.422764</v>
      </c>
      <c r="S290" s="4" t="inlineStr">
        <is>
          <t>NASDAQ100</t>
        </is>
      </c>
      <c r="T290" s="9" t="inlineStr">
        <is>
          <t>SI</t>
        </is>
      </c>
      <c r="U290" s="9" t="inlineStr"/>
      <c r="V290" s="10">
        <f>Umbrales!$B$9*(K290/1000)^Umbrales!$B$10</f>
        <v/>
      </c>
    </row>
    <row r="291">
      <c r="A291" s="4" t="inlineStr">
        <is>
          <t>CBK.DE</t>
        </is>
      </c>
      <c r="B291" s="4" t="inlineStr">
        <is>
          <t>Commerzbank AG</t>
        </is>
      </c>
      <c r="C291" s="4" t="inlineStr">
        <is>
          <t>Germany</t>
        </is>
      </c>
      <c r="D291" s="4" t="inlineStr">
        <is>
          <t>DE</t>
        </is>
      </c>
      <c r="E291" s="4" t="inlineStr">
        <is>
          <t>Finanzas</t>
        </is>
      </c>
      <c r="F291" s="4" t="inlineStr">
        <is>
          <t>Banks - Regional</t>
        </is>
      </c>
      <c r="G291" s="4" t="inlineStr">
        <is>
          <t>GER</t>
        </is>
      </c>
      <c r="H291" s="4" t="inlineStr">
        <is>
          <t>EUR</t>
        </is>
      </c>
      <c r="I291" s="5" t="n">
        <v>40974.913536</v>
      </c>
      <c r="J291" s="6">
        <f>INDEX(FX!$B:$B,MATCH(H291,FX!$A:$A,0))</f>
        <v/>
      </c>
      <c r="K291" s="5">
        <f>I291*J291</f>
        <v/>
      </c>
      <c r="L291" s="4">
        <f>IF(U291&lt;&gt;"",U291,IF(K291&gt;=Umbrales!$B$2,"Legendaria",IF(K291&gt;=Umbrales!$B$3,"Épica",IF(K291&gt;=Umbrales!$B$4,"Rara",IF(K291&gt;=Umbrales!$B$5,"Poco común","Común")))))</f>
        <v/>
      </c>
      <c r="M291" s="5" t="n">
        <v>11882.999808</v>
      </c>
      <c r="N291" s="5" t="n">
        <v>2868</v>
      </c>
      <c r="O291" s="5">
        <f>IF(M291="","",M291*J291)</f>
        <v/>
      </c>
      <c r="P291" s="5">
        <f>IF(N291="","",N291*J291)</f>
        <v/>
      </c>
      <c r="Q291" s="7" t="n">
        <v>0.0285</v>
      </c>
      <c r="R291" s="8" t="n">
        <v>14.524905</v>
      </c>
      <c r="S291" s="4" t="inlineStr">
        <is>
          <t>DAX40</t>
        </is>
      </c>
      <c r="T291" s="9" t="inlineStr">
        <is>
          <t>SI</t>
        </is>
      </c>
      <c r="U291" s="9" t="inlineStr"/>
      <c r="V291" s="10">
        <f>Umbrales!$B$9*(K291/1000)^Umbrales!$B$10</f>
        <v/>
      </c>
    </row>
    <row r="292">
      <c r="A292" s="4" t="inlineStr">
        <is>
          <t>TRI</t>
        </is>
      </c>
      <c r="B292" s="4" t="inlineStr">
        <is>
          <t>Thomson Reuters Corporation</t>
        </is>
      </c>
      <c r="C292" s="4" t="inlineStr">
        <is>
          <t>Canada</t>
        </is>
      </c>
      <c r="D292" s="4" t="inlineStr">
        <is>
          <t>CA</t>
        </is>
      </c>
      <c r="E292" s="4" t="inlineStr">
        <is>
          <t>Industria</t>
        </is>
      </c>
      <c r="F292" s="4" t="inlineStr">
        <is>
          <t>Specialty Business Services</t>
        </is>
      </c>
      <c r="G292" s="4" t="inlineStr">
        <is>
          <t>NMS</t>
        </is>
      </c>
      <c r="H292" s="4" t="inlineStr">
        <is>
          <t>USD</t>
        </is>
      </c>
      <c r="I292" s="5" t="n">
        <v>45664.698368</v>
      </c>
      <c r="J292" s="6">
        <f>INDEX(FX!$B:$B,MATCH(H292,FX!$A:$A,0))</f>
        <v/>
      </c>
      <c r="K292" s="5">
        <f>I292*J292</f>
        <v/>
      </c>
      <c r="L292" s="4">
        <f>IF(U292&lt;&gt;"",U292,IF(K292&gt;=Umbrales!$B$2,"Legendaria",IF(K292&gt;=Umbrales!$B$3,"Épica",IF(K292&gt;=Umbrales!$B$4,"Rara",IF(K292&gt;=Umbrales!$B$5,"Poco común","Común")))))</f>
        <v/>
      </c>
      <c r="M292" s="5" t="n">
        <v>7832</v>
      </c>
      <c r="N292" s="5" t="n">
        <v>1678</v>
      </c>
      <c r="O292" s="5">
        <f>IF(M292="","",M292*J292)</f>
        <v/>
      </c>
      <c r="P292" s="5">
        <f>IF(N292="","",N292*J292)</f>
        <v/>
      </c>
      <c r="Q292" s="7" t="n">
        <v>0.0249</v>
      </c>
      <c r="R292" s="8" t="n">
        <v>27.591623</v>
      </c>
      <c r="S292" s="4" t="inlineStr">
        <is>
          <t>NASDAQ100</t>
        </is>
      </c>
      <c r="T292" s="9" t="inlineStr">
        <is>
          <t>SI</t>
        </is>
      </c>
      <c r="U292" s="9" t="inlineStr"/>
      <c r="V292" s="10">
        <f>Umbrales!$B$9*(K292/1000)^Umbrales!$B$10</f>
        <v/>
      </c>
    </row>
    <row r="293">
      <c r="A293" s="4" t="inlineStr">
        <is>
          <t>WDAY</t>
        </is>
      </c>
      <c r="B293" s="4" t="inlineStr">
        <is>
          <t>Workday, Inc.</t>
        </is>
      </c>
      <c r="C293" s="4" t="inlineStr">
        <is>
          <t>United States</t>
        </is>
      </c>
      <c r="D293" s="4" t="inlineStr">
        <is>
          <t>US</t>
        </is>
      </c>
      <c r="E293" s="4" t="inlineStr">
        <is>
          <t>Tecnología</t>
        </is>
      </c>
      <c r="F293" s="4" t="inlineStr">
        <is>
          <t>Software - Application</t>
        </is>
      </c>
      <c r="G293" s="4" t="inlineStr">
        <is>
          <t>NMS</t>
        </is>
      </c>
      <c r="H293" s="4" t="inlineStr">
        <is>
          <t>USD</t>
        </is>
      </c>
      <c r="I293" s="5" t="n">
        <v>45493.571584</v>
      </c>
      <c r="J293" s="6">
        <f>INDEX(FX!$B:$B,MATCH(H293,FX!$A:$A,0))</f>
        <v/>
      </c>
      <c r="K293" s="5">
        <f>I293*J293</f>
        <v/>
      </c>
      <c r="L293" s="4">
        <f>IF(U293&lt;&gt;"",U293,IF(K293&gt;=Umbrales!$B$2,"Legendaria",IF(K293&gt;=Umbrales!$B$3,"Épica",IF(K293&gt;=Umbrales!$B$4,"Rara",IF(K293&gt;=Umbrales!$B$5,"Poco común","Común")))))</f>
        <v/>
      </c>
      <c r="M293" s="5" t="n">
        <v>10154.999808</v>
      </c>
      <c r="N293" s="5" t="n">
        <v>1251.000064</v>
      </c>
      <c r="O293" s="5">
        <f>IF(M293="","",M293*J293)</f>
        <v/>
      </c>
      <c r="P293" s="5">
        <f>IF(N293="","",N293*J293)</f>
        <v/>
      </c>
      <c r="Q293" s="7" t="n">
        <v>0</v>
      </c>
      <c r="R293" s="8" t="n">
        <v>38.44603</v>
      </c>
      <c r="S293" s="4" t="inlineStr">
        <is>
          <t>NASDAQ100</t>
        </is>
      </c>
      <c r="T293" s="9" t="inlineStr">
        <is>
          <t>SI</t>
        </is>
      </c>
      <c r="U293" s="9" t="inlineStr"/>
      <c r="V293" s="10">
        <f>Umbrales!$B$9*(K293/1000)^Umbrales!$B$10</f>
        <v/>
      </c>
    </row>
    <row r="294">
      <c r="A294" s="4" t="inlineStr">
        <is>
          <t>KDP</t>
        </is>
      </c>
      <c r="B294" s="4" t="inlineStr">
        <is>
          <t>Keurig Dr Pepper Inc.</t>
        </is>
      </c>
      <c r="C294" s="4" t="inlineStr">
        <is>
          <t>United States</t>
        </is>
      </c>
      <c r="D294" s="4" t="inlineStr">
        <is>
          <t>US</t>
        </is>
      </c>
      <c r="E294" s="4" t="inlineStr">
        <is>
          <t>Consumo básico</t>
        </is>
      </c>
      <c r="F294" s="4" t="inlineStr">
        <is>
          <t>Beverages - Non-Alcoholic</t>
        </is>
      </c>
      <c r="G294" s="4" t="inlineStr">
        <is>
          <t>NMS</t>
        </is>
      </c>
      <c r="H294" s="4" t="inlineStr">
        <is>
          <t>USD</t>
        </is>
      </c>
      <c r="I294" s="5" t="n">
        <v>45070.557184</v>
      </c>
      <c r="J294" s="6">
        <f>INDEX(FX!$B:$B,MATCH(H294,FX!$A:$A,0))</f>
        <v/>
      </c>
      <c r="K294" s="5">
        <f>I294*J294</f>
        <v/>
      </c>
      <c r="L294" s="4">
        <f>IF(U294&lt;&gt;"",U294,IF(K294&gt;=Umbrales!$B$2,"Legendaria",IF(K294&gt;=Umbrales!$B$3,"Épica",IF(K294&gt;=Umbrales!$B$4,"Rara",IF(K294&gt;=Umbrales!$B$5,"Poco común","Común")))))</f>
        <v/>
      </c>
      <c r="M294" s="5" t="n">
        <v>20089.99936</v>
      </c>
      <c r="N294" s="5" t="n">
        <v>1344.999936</v>
      </c>
      <c r="O294" s="5">
        <f>IF(M294="","",M294*J294)</f>
        <v/>
      </c>
      <c r="P294" s="5">
        <f>IF(N294="","",N294*J294)</f>
        <v/>
      </c>
      <c r="Q294" s="7" t="n">
        <v>0.0282</v>
      </c>
      <c r="R294" s="8" t="n">
        <v>33.12</v>
      </c>
      <c r="S294" s="4" t="inlineStr">
        <is>
          <t>NASDAQ100</t>
        </is>
      </c>
      <c r="T294" s="9" t="inlineStr">
        <is>
          <t>SI</t>
        </is>
      </c>
      <c r="U294" s="9" t="inlineStr"/>
      <c r="V294" s="10">
        <f>Umbrales!$B$9*(K294/1000)^Umbrales!$B$10</f>
        <v/>
      </c>
    </row>
    <row r="295">
      <c r="A295" s="4" t="inlineStr">
        <is>
          <t>CARR</t>
        </is>
      </c>
      <c r="B295" s="4" t="inlineStr">
        <is>
          <t>Carrier Global Corporation</t>
        </is>
      </c>
      <c r="C295" s="4" t="inlineStr">
        <is>
          <t>United States</t>
        </is>
      </c>
      <c r="D295" s="4" t="inlineStr">
        <is>
          <t>US</t>
        </is>
      </c>
      <c r="E295" s="4" t="inlineStr">
        <is>
          <t>Industria</t>
        </is>
      </c>
      <c r="F295" s="4" t="inlineStr">
        <is>
          <t>Building Products &amp; Equipment</t>
        </is>
      </c>
      <c r="G295" s="4" t="inlineStr">
        <is>
          <t>NYQ</t>
        </is>
      </c>
      <c r="H295" s="4" t="inlineStr">
        <is>
          <t>USD</t>
        </is>
      </c>
      <c r="I295" s="5" t="n">
        <v>45050.683392</v>
      </c>
      <c r="J295" s="6">
        <f>INDEX(FX!$B:$B,MATCH(H295,FX!$A:$A,0))</f>
        <v/>
      </c>
      <c r="K295" s="5">
        <f>I295*J295</f>
        <v/>
      </c>
      <c r="L295" s="4">
        <f>IF(U295&lt;&gt;"",U295,IF(K295&gt;=Umbrales!$B$2,"Legendaria",IF(K295&gt;=Umbrales!$B$3,"Épica",IF(K295&gt;=Umbrales!$B$4,"Rara",IF(K295&gt;=Umbrales!$B$5,"Poco común","Común")))))</f>
        <v/>
      </c>
      <c r="M295" s="5" t="n">
        <v>22108.000256</v>
      </c>
      <c r="N295" s="5" t="n">
        <v>1174</v>
      </c>
      <c r="O295" s="5">
        <f>IF(M295="","",M295*J295)</f>
        <v/>
      </c>
      <c r="P295" s="5">
        <f>IF(N295="","",N295*J295)</f>
        <v/>
      </c>
      <c r="Q295" s="7" t="n">
        <v>0.0174</v>
      </c>
      <c r="R295" s="8" t="n">
        <v>39.882355</v>
      </c>
      <c r="S295" s="4" t="inlineStr"/>
      <c r="T295" s="9" t="inlineStr">
        <is>
          <t>SI</t>
        </is>
      </c>
      <c r="U295" s="9" t="inlineStr"/>
      <c r="V295" s="10">
        <f>Umbrales!$B$9*(K295/1000)^Umbrales!$B$10</f>
        <v/>
      </c>
    </row>
    <row r="296">
      <c r="A296" s="4" t="inlineStr">
        <is>
          <t>BN.PA</t>
        </is>
      </c>
      <c r="B296" s="4" t="inlineStr">
        <is>
          <t>Danone S.A.</t>
        </is>
      </c>
      <c r="C296" s="4" t="inlineStr">
        <is>
          <t>France</t>
        </is>
      </c>
      <c r="D296" s="4" t="inlineStr">
        <is>
          <t>FR</t>
        </is>
      </c>
      <c r="E296" s="4" t="inlineStr">
        <is>
          <t>Consumo básico</t>
        </is>
      </c>
      <c r="F296" s="4" t="inlineStr">
        <is>
          <t>Packaged Foods</t>
        </is>
      </c>
      <c r="G296" s="4" t="inlineStr">
        <is>
          <t>PAR</t>
        </is>
      </c>
      <c r="H296" s="4" t="inlineStr">
        <is>
          <t>EUR</t>
        </is>
      </c>
      <c r="I296" s="5" t="n">
        <v>39573.225472</v>
      </c>
      <c r="J296" s="6">
        <f>INDEX(FX!$B:$B,MATCH(H296,FX!$A:$A,0))</f>
        <v/>
      </c>
      <c r="K296" s="5">
        <f>I296*J296</f>
        <v/>
      </c>
      <c r="L296" s="4">
        <f>IF(U296&lt;&gt;"",U296,IF(K296&gt;=Umbrales!$B$2,"Legendaria",IF(K296&gt;=Umbrales!$B$3,"Épica",IF(K296&gt;=Umbrales!$B$4,"Rara",IF(K296&gt;=Umbrales!$B$5,"Poco común","Común")))))</f>
        <v/>
      </c>
      <c r="M296" s="5" t="n">
        <v>27481.99936</v>
      </c>
      <c r="N296" s="5" t="n">
        <v>1944.999936</v>
      </c>
      <c r="O296" s="5">
        <f>IF(M296="","",M296*J296)</f>
        <v/>
      </c>
      <c r="P296" s="5">
        <f>IF(N296="","",N296*J296)</f>
        <v/>
      </c>
      <c r="Q296" s="7" t="n">
        <v>0.0383</v>
      </c>
      <c r="R296" s="8" t="n">
        <v>20.34437</v>
      </c>
      <c r="S296" s="4" t="inlineStr">
        <is>
          <t>EUROSTOXX50</t>
        </is>
      </c>
      <c r="T296" s="9" t="inlineStr">
        <is>
          <t>SI</t>
        </is>
      </c>
      <c r="U296" s="9" t="inlineStr"/>
      <c r="V296" s="10">
        <f>Umbrales!$B$9*(K296/1000)^Umbrales!$B$10</f>
        <v/>
      </c>
    </row>
    <row r="297">
      <c r="A297" s="4" t="inlineStr">
        <is>
          <t>EXC</t>
        </is>
      </c>
      <c r="B297" s="4" t="inlineStr">
        <is>
          <t>Exelon Corporation</t>
        </is>
      </c>
      <c r="C297" s="4" t="inlineStr">
        <is>
          <t>United States</t>
        </is>
      </c>
      <c r="D297" s="4" t="inlineStr">
        <is>
          <t>US</t>
        </is>
      </c>
      <c r="E297" s="4" t="inlineStr">
        <is>
          <t>Servicios públicos</t>
        </is>
      </c>
      <c r="F297" s="4" t="inlineStr">
        <is>
          <t>Utilities - Regulated Electric</t>
        </is>
      </c>
      <c r="G297" s="4" t="inlineStr">
        <is>
          <t>NMS</t>
        </is>
      </c>
      <c r="H297" s="4" t="inlineStr">
        <is>
          <t>USD</t>
        </is>
      </c>
      <c r="I297" s="5" t="n">
        <v>43888.816128</v>
      </c>
      <c r="J297" s="6">
        <f>INDEX(FX!$B:$B,MATCH(H297,FX!$A:$A,0))</f>
        <v/>
      </c>
      <c r="K297" s="5">
        <f>I297*J297</f>
        <v/>
      </c>
      <c r="L297" s="4">
        <f>IF(U297&lt;&gt;"",U297,IF(K297&gt;=Umbrales!$B$2,"Legendaria",IF(K297&gt;=Umbrales!$B$3,"Épica",IF(K297&gt;=Umbrales!$B$4,"Rara",IF(K297&gt;=Umbrales!$B$5,"Poco común","Común")))))</f>
        <v/>
      </c>
      <c r="M297" s="5" t="n">
        <v>25326.000128</v>
      </c>
      <c r="N297" s="5" t="n">
        <v>2783.000064</v>
      </c>
      <c r="O297" s="5">
        <f>IF(M297="","",M297*J297)</f>
        <v/>
      </c>
      <c r="P297" s="5">
        <f>IF(N297="","",N297*J297)</f>
        <v/>
      </c>
      <c r="Q297" s="7" t="n">
        <v>0.0397</v>
      </c>
      <c r="R297" s="8" t="n">
        <v>15.547444</v>
      </c>
      <c r="S297" s="4" t="inlineStr">
        <is>
          <t>NASDAQ100</t>
        </is>
      </c>
      <c r="T297" s="9" t="inlineStr">
        <is>
          <t>SI</t>
        </is>
      </c>
      <c r="U297" s="9" t="inlineStr"/>
      <c r="V297" s="10">
        <f>Umbrales!$B$9*(K297/1000)^Umbrales!$B$10</f>
        <v/>
      </c>
    </row>
    <row r="298">
      <c r="A298" s="4" t="inlineStr">
        <is>
          <t>TSCO.L</t>
        </is>
      </c>
      <c r="B298" s="4" t="inlineStr">
        <is>
          <t>Tesco PLC</t>
        </is>
      </c>
      <c r="C298" s="4" t="inlineStr">
        <is>
          <t>United Kingdom</t>
        </is>
      </c>
      <c r="D298" s="4" t="inlineStr">
        <is>
          <t>GB</t>
        </is>
      </c>
      <c r="E298" s="4" t="inlineStr">
        <is>
          <t>Consumo básico</t>
        </is>
      </c>
      <c r="F298" s="4" t="inlineStr">
        <is>
          <t>Grocery Stores</t>
        </is>
      </c>
      <c r="G298" s="4" t="inlineStr">
        <is>
          <t>LSE</t>
        </is>
      </c>
      <c r="H298" s="4" t="inlineStr">
        <is>
          <t>GBP</t>
        </is>
      </c>
      <c r="I298" s="5" t="n">
        <v>32897.630208</v>
      </c>
      <c r="J298" s="6">
        <f>INDEX(FX!$B:$B,MATCH(H298,FX!$A:$A,0))</f>
        <v/>
      </c>
      <c r="K298" s="5">
        <f>I298*J298</f>
        <v/>
      </c>
      <c r="L298" s="4">
        <f>IF(U298&lt;&gt;"",U298,IF(K298&gt;=Umbrales!$B$2,"Legendaria",IF(K298&gt;=Umbrales!$B$3,"Épica",IF(K298&gt;=Umbrales!$B$4,"Rara",IF(K298&gt;=Umbrales!$B$5,"Poco común","Común")))))</f>
        <v/>
      </c>
      <c r="M298" s="5" t="n">
        <v>75028.996096</v>
      </c>
      <c r="N298" s="5" t="n">
        <v>1896.999936</v>
      </c>
      <c r="O298" s="5">
        <f>IF(M298="","",M298*J298)</f>
        <v/>
      </c>
      <c r="P298" s="5">
        <f>IF(N298="","",N298*J298)</f>
        <v/>
      </c>
      <c r="Q298" s="7" t="n">
        <v>0.028</v>
      </c>
      <c r="R298" s="8" t="n">
        <v>17.605331</v>
      </c>
      <c r="S298" s="4" t="inlineStr">
        <is>
          <t>UK_TOP</t>
        </is>
      </c>
      <c r="T298" s="9" t="inlineStr">
        <is>
          <t>SI</t>
        </is>
      </c>
      <c r="U298" s="9" t="inlineStr"/>
      <c r="V298" s="10">
        <f>Umbrales!$B$9*(K298/1000)^Umbrales!$B$10</f>
        <v/>
      </c>
    </row>
    <row r="299">
      <c r="A299" s="4" t="inlineStr">
        <is>
          <t>AENA.MC</t>
        </is>
      </c>
      <c r="B299" s="4" t="inlineStr">
        <is>
          <t>Aena S.M.E., S.A.</t>
        </is>
      </c>
      <c r="C299" s="4" t="inlineStr">
        <is>
          <t>Spain</t>
        </is>
      </c>
      <c r="D299" s="4" t="inlineStr">
        <is>
          <t>ES</t>
        </is>
      </c>
      <c r="E299" s="4" t="inlineStr">
        <is>
          <t>Industria</t>
        </is>
      </c>
      <c r="F299" s="4" t="inlineStr">
        <is>
          <t>Airports &amp; Air Services</t>
        </is>
      </c>
      <c r="G299" s="4" t="inlineStr">
        <is>
          <t>MCE</t>
        </is>
      </c>
      <c r="H299" s="4" t="inlineStr">
        <is>
          <t>EUR</t>
        </is>
      </c>
      <c r="I299" s="5" t="n">
        <v>38310.002688</v>
      </c>
      <c r="J299" s="6">
        <f>INDEX(FX!$B:$B,MATCH(H299,FX!$A:$A,0))</f>
        <v/>
      </c>
      <c r="K299" s="5">
        <f>I299*J299</f>
        <v/>
      </c>
      <c r="L299" s="4">
        <f>IF(U299&lt;&gt;"",U299,IF(K299&gt;=Umbrales!$B$2,"Legendaria",IF(K299&gt;=Umbrales!$B$3,"Épica",IF(K299&gt;=Umbrales!$B$4,"Rara",IF(K299&gt;=Umbrales!$B$5,"Poco común","Común")))))</f>
        <v/>
      </c>
      <c r="M299" s="5" t="n">
        <v>6612.68224</v>
      </c>
      <c r="N299" s="5" t="n">
        <v>2244.87808</v>
      </c>
      <c r="O299" s="5">
        <f>IF(M299="","",M299*J299)</f>
        <v/>
      </c>
      <c r="P299" s="5">
        <f>IF(N299="","",N299*J299)</f>
        <v/>
      </c>
      <c r="Q299" s="7" t="n">
        <v>0.0432</v>
      </c>
      <c r="R299" s="8" t="n">
        <v>4.2006583</v>
      </c>
      <c r="S299" s="4" t="inlineStr">
        <is>
          <t>IBEX35</t>
        </is>
      </c>
      <c r="T299" s="9" t="inlineStr">
        <is>
          <t>SI</t>
        </is>
      </c>
      <c r="U299" s="9" t="inlineStr"/>
      <c r="V299" s="10">
        <f>Umbrales!$B$9*(K299/1000)^Umbrales!$B$10</f>
        <v/>
      </c>
    </row>
    <row r="300">
      <c r="A300" s="4" t="inlineStr">
        <is>
          <t>MBG.DE</t>
        </is>
      </c>
      <c r="B300" s="4" t="inlineStr">
        <is>
          <t>Mercedes-Benz Group AG</t>
        </is>
      </c>
      <c r="C300" s="4" t="inlineStr">
        <is>
          <t>Germany</t>
        </is>
      </c>
      <c r="D300" s="4" t="inlineStr">
        <is>
          <t>DE</t>
        </is>
      </c>
      <c r="E300" s="4" t="inlineStr">
        <is>
          <t>Consumo cíclico</t>
        </is>
      </c>
      <c r="F300" s="4" t="inlineStr">
        <is>
          <t>Auto Manufacturers</t>
        </is>
      </c>
      <c r="G300" s="4" t="inlineStr">
        <is>
          <t>GER</t>
        </is>
      </c>
      <c r="H300" s="4" t="inlineStr">
        <is>
          <t>EUR</t>
        </is>
      </c>
      <c r="I300" s="5" t="n">
        <v>38040.485888</v>
      </c>
      <c r="J300" s="6">
        <f>INDEX(FX!$B:$B,MATCH(H300,FX!$A:$A,0))</f>
        <v/>
      </c>
      <c r="K300" s="5">
        <f>I300*J300</f>
        <v/>
      </c>
      <c r="L300" s="4">
        <f>IF(U300&lt;&gt;"",U300,IF(K300&gt;=Umbrales!$B$2,"Legendaria",IF(K300&gt;=Umbrales!$B$3,"Épica",IF(K300&gt;=Umbrales!$B$4,"Rara",IF(K300&gt;=Umbrales!$B$5,"Poco común","Común")))))</f>
        <v/>
      </c>
      <c r="M300" s="5" t="n">
        <v>129499.99616</v>
      </c>
      <c r="N300" s="5" t="n">
        <v>5031.000064</v>
      </c>
      <c r="O300" s="5">
        <f>IF(M300="","",M300*J300)</f>
        <v/>
      </c>
      <c r="P300" s="5">
        <f>IF(N300="","",N300*J300)</f>
        <v/>
      </c>
      <c r="Q300" s="7" t="n">
        <v>0.08789999999999999</v>
      </c>
      <c r="R300" s="8" t="n">
        <v>7.589962</v>
      </c>
      <c r="S300" s="4" t="inlineStr">
        <is>
          <t>DAX40, EUROSTOXX50</t>
        </is>
      </c>
      <c r="T300" s="9" t="inlineStr">
        <is>
          <t>SI</t>
        </is>
      </c>
      <c r="U300" s="9" t="inlineStr"/>
      <c r="V300" s="10">
        <f>Umbrales!$B$9*(K300/1000)^Umbrales!$B$10</f>
        <v/>
      </c>
    </row>
    <row r="301">
      <c r="A301" s="4" t="inlineStr">
        <is>
          <t>P911.DE</t>
        </is>
      </c>
      <c r="B301" s="4" t="inlineStr">
        <is>
          <t>Dr. Ing. h.c. F. Porsche AG</t>
        </is>
      </c>
      <c r="C301" s="4" t="inlineStr">
        <is>
          <t>Germany</t>
        </is>
      </c>
      <c r="D301" s="4" t="inlineStr">
        <is>
          <t>DE</t>
        </is>
      </c>
      <c r="E301" s="4" t="inlineStr">
        <is>
          <t>Consumo cíclico</t>
        </is>
      </c>
      <c r="F301" s="4" t="inlineStr">
        <is>
          <t>Auto Manufacturers</t>
        </is>
      </c>
      <c r="G301" s="4" t="inlineStr">
        <is>
          <t>GER</t>
        </is>
      </c>
      <c r="H301" s="4" t="inlineStr">
        <is>
          <t>EUR</t>
        </is>
      </c>
      <c r="I301" s="5" t="n">
        <v>37496.758272</v>
      </c>
      <c r="J301" s="6">
        <f>INDEX(FX!$B:$B,MATCH(H301,FX!$A:$A,0))</f>
        <v/>
      </c>
      <c r="K301" s="5">
        <f>I301*J301</f>
        <v/>
      </c>
      <c r="L301" s="4">
        <f>IF(U301&lt;&gt;"",U301,IF(K301&gt;=Umbrales!$B$2,"Legendaria",IF(K301&gt;=Umbrales!$B$3,"Épica",IF(K301&gt;=Umbrales!$B$4,"Rara",IF(K301&gt;=Umbrales!$B$5,"Poco común","Común")))))</f>
        <v/>
      </c>
      <c r="M301" s="5" t="n">
        <v>35343.998976</v>
      </c>
      <c r="N301" s="5" t="n">
        <v>843</v>
      </c>
      <c r="O301" s="5">
        <f>IF(M301="","",M301*J301)</f>
        <v/>
      </c>
      <c r="P301" s="5">
        <f>IF(N301="","",N301*J301)</f>
        <v/>
      </c>
      <c r="Q301" s="7" t="n">
        <v>0.0237</v>
      </c>
      <c r="R301" s="8" t="n">
        <v>46.247192</v>
      </c>
      <c r="S301" s="4" t="inlineStr">
        <is>
          <t>DAX40</t>
        </is>
      </c>
      <c r="T301" s="9" t="inlineStr">
        <is>
          <t>SI</t>
        </is>
      </c>
      <c r="U301" s="9" t="inlineStr"/>
      <c r="V301" s="10">
        <f>Umbrales!$B$9*(K301/1000)^Umbrales!$B$10</f>
        <v/>
      </c>
    </row>
    <row r="302">
      <c r="A302" s="4" t="inlineStr">
        <is>
          <t>IDXX</t>
        </is>
      </c>
      <c r="B302" s="4" t="inlineStr">
        <is>
          <t>IDEXX Laboratories, Inc.</t>
        </is>
      </c>
      <c r="C302" s="4" t="inlineStr">
        <is>
          <t>United States</t>
        </is>
      </c>
      <c r="D302" s="4" t="inlineStr">
        <is>
          <t>US</t>
        </is>
      </c>
      <c r="E302" s="4" t="inlineStr">
        <is>
          <t>Salud</t>
        </is>
      </c>
      <c r="F302" s="4" t="inlineStr">
        <is>
          <t>Diagnostics &amp; Research</t>
        </is>
      </c>
      <c r="G302" s="4" t="inlineStr">
        <is>
          <t>NMS</t>
        </is>
      </c>
      <c r="H302" s="4" t="inlineStr">
        <is>
          <t>USD</t>
        </is>
      </c>
      <c r="I302" s="5" t="n">
        <v>41729.896448</v>
      </c>
      <c r="J302" s="6">
        <f>INDEX(FX!$B:$B,MATCH(H302,FX!$A:$A,0))</f>
        <v/>
      </c>
      <c r="K302" s="5">
        <f>I302*J302</f>
        <v/>
      </c>
      <c r="L302" s="4">
        <f>IF(U302&lt;&gt;"",U302,IF(K302&gt;=Umbrales!$B$2,"Legendaria",IF(K302&gt;=Umbrales!$B$3,"Épica",IF(K302&gt;=Umbrales!$B$4,"Rara",IF(K302&gt;=Umbrales!$B$5,"Poco común","Común")))))</f>
        <v/>
      </c>
      <c r="M302" s="5" t="n">
        <v>4553.223168</v>
      </c>
      <c r="N302" s="5" t="n">
        <v>1139.655936</v>
      </c>
      <c r="O302" s="5">
        <f>IF(M302="","",M302*J302)</f>
        <v/>
      </c>
      <c r="P302" s="5">
        <f>IF(N302="","",N302*J302)</f>
        <v/>
      </c>
      <c r="Q302" s="7" t="n">
        <v>0</v>
      </c>
      <c r="R302" s="8" t="n">
        <v>37.59844</v>
      </c>
      <c r="S302" s="4" t="inlineStr">
        <is>
          <t>NASDAQ100</t>
        </is>
      </c>
      <c r="T302" s="9" t="inlineStr">
        <is>
          <t>SI</t>
        </is>
      </c>
      <c r="U302" s="9" t="inlineStr"/>
      <c r="V302" s="10">
        <f>Umbrales!$B$9*(K302/1000)^Umbrales!$B$10</f>
        <v/>
      </c>
    </row>
    <row r="303">
      <c r="A303" s="4" t="inlineStr">
        <is>
          <t>DSV.CO</t>
        </is>
      </c>
      <c r="B303" s="4" t="inlineStr">
        <is>
          <t>DSV A/S</t>
        </is>
      </c>
      <c r="C303" s="4" t="inlineStr">
        <is>
          <t>Denmark</t>
        </is>
      </c>
      <c r="D303" s="4" t="inlineStr">
        <is>
          <t>DK</t>
        </is>
      </c>
      <c r="E303" s="4" t="inlineStr">
        <is>
          <t>Industria</t>
        </is>
      </c>
      <c r="F303" s="4" t="inlineStr">
        <is>
          <t>Integrated Freight &amp; Logistics</t>
        </is>
      </c>
      <c r="G303" s="4" t="inlineStr">
        <is>
          <t>CPH</t>
        </is>
      </c>
      <c r="H303" s="4" t="inlineStr">
        <is>
          <t>DKK</t>
        </is>
      </c>
      <c r="I303" s="5" t="n">
        <v>275066.421248</v>
      </c>
      <c r="J303" s="6">
        <f>INDEX(FX!$B:$B,MATCH(H303,FX!$A:$A,0))</f>
        <v/>
      </c>
      <c r="K303" s="5">
        <f>I303*J303</f>
        <v/>
      </c>
      <c r="L303" s="4">
        <f>IF(U303&lt;&gt;"",U303,IF(K303&gt;=Umbrales!$B$2,"Legendaria",IF(K303&gt;=Umbrales!$B$3,"Épica",IF(K303&gt;=Umbrales!$B$4,"Rara",IF(K303&gt;=Umbrales!$B$5,"Poco común","Común")))))</f>
        <v/>
      </c>
      <c r="M303" s="5" t="n">
        <v>290771.992576</v>
      </c>
      <c r="N303" s="5" t="n">
        <v>7160</v>
      </c>
      <c r="O303" s="5">
        <f>IF(M303="","",M303*J303)</f>
        <v/>
      </c>
      <c r="P303" s="5">
        <f>IF(N303="","",N303*J303)</f>
        <v/>
      </c>
      <c r="Q303" s="7" t="n">
        <v>0.0061</v>
      </c>
      <c r="R303" s="8" t="n">
        <v>38.234318</v>
      </c>
      <c r="S303" s="4" t="inlineStr"/>
      <c r="T303" s="9" t="inlineStr">
        <is>
          <t>SI</t>
        </is>
      </c>
      <c r="U303" s="9" t="inlineStr"/>
      <c r="V303" s="10">
        <f>Umbrales!$B$9*(K303/1000)^Umbrales!$B$10</f>
        <v/>
      </c>
    </row>
    <row r="304">
      <c r="A304" s="4" t="inlineStr">
        <is>
          <t>MCHP</t>
        </is>
      </c>
      <c r="B304" s="4" t="inlineStr">
        <is>
          <t>Microchip Technology Incorporated</t>
        </is>
      </c>
      <c r="C304" s="4" t="inlineStr">
        <is>
          <t>United States</t>
        </is>
      </c>
      <c r="D304" s="4" t="inlineStr">
        <is>
          <t>US</t>
        </is>
      </c>
      <c r="E304" s="4" t="inlineStr">
        <is>
          <t>Tecnología</t>
        </is>
      </c>
      <c r="F304" s="4" t="inlineStr">
        <is>
          <t>Semiconductors</t>
        </is>
      </c>
      <c r="G304" s="4" t="inlineStr">
        <is>
          <t>NMS</t>
        </is>
      </c>
      <c r="H304" s="4" t="inlineStr">
        <is>
          <t>USD</t>
        </is>
      </c>
      <c r="I304" s="5" t="n">
        <v>38689.370112</v>
      </c>
      <c r="J304" s="6">
        <f>INDEX(FX!$B:$B,MATCH(H304,FX!$A:$A,0))</f>
        <v/>
      </c>
      <c r="K304" s="5">
        <f>I304*J304</f>
        <v/>
      </c>
      <c r="L304" s="4">
        <f>IF(U304&lt;&gt;"",U304,IF(K304&gt;=Umbrales!$B$2,"Legendaria",IF(K304&gt;=Umbrales!$B$3,"Épica",IF(K304&gt;=Umbrales!$B$4,"Rara",IF(K304&gt;=Umbrales!$B$5,"Poco común","Común")))))</f>
        <v/>
      </c>
      <c r="M304" s="5" t="n">
        <v>5122.299904</v>
      </c>
      <c r="N304" s="5" t="n">
        <v>367.2</v>
      </c>
      <c r="O304" s="5">
        <f>IF(M304="","",M304*J304)</f>
        <v/>
      </c>
      <c r="P304" s="5">
        <f>IF(N304="","",N304*J304)</f>
        <v/>
      </c>
      <c r="Q304" s="7" t="n">
        <v>0.0245</v>
      </c>
      <c r="R304" s="8" t="n">
        <v>104.77941</v>
      </c>
      <c r="S304" s="4" t="inlineStr">
        <is>
          <t>NASDAQ100</t>
        </is>
      </c>
      <c r="T304" s="9" t="inlineStr">
        <is>
          <t>SI</t>
        </is>
      </c>
      <c r="U304" s="9" t="inlineStr"/>
      <c r="V304" s="10">
        <f>Umbrales!$B$9*(K304/1000)^Umbrales!$B$10</f>
        <v/>
      </c>
    </row>
    <row r="305">
      <c r="A305" s="4" t="inlineStr">
        <is>
          <t>CMG</t>
        </is>
      </c>
      <c r="B305" s="4" t="inlineStr">
        <is>
          <t>Chipotle Mexican Grill, Inc.</t>
        </is>
      </c>
      <c r="C305" s="4" t="inlineStr">
        <is>
          <t>United States</t>
        </is>
      </c>
      <c r="D305" s="4" t="inlineStr">
        <is>
          <t>US</t>
        </is>
      </c>
      <c r="E305" s="4" t="inlineStr">
        <is>
          <t>Consumo cíclico</t>
        </is>
      </c>
      <c r="F305" s="4" t="inlineStr">
        <is>
          <t>Restaurants</t>
        </is>
      </c>
      <c r="G305" s="4" t="inlineStr">
        <is>
          <t>NYQ</t>
        </is>
      </c>
      <c r="H305" s="4" t="inlineStr">
        <is>
          <t>USD</t>
        </is>
      </c>
      <c r="I305" s="5" t="n">
        <v>38620.557312</v>
      </c>
      <c r="J305" s="6">
        <f>INDEX(FX!$B:$B,MATCH(H305,FX!$A:$A,0))</f>
        <v/>
      </c>
      <c r="K305" s="5">
        <f>I305*J305</f>
        <v/>
      </c>
      <c r="L305" s="4">
        <f>IF(U305&lt;&gt;"",U305,IF(K305&gt;=Umbrales!$B$2,"Legendaria",IF(K305&gt;=Umbrales!$B$3,"Épica",IF(K305&gt;=Umbrales!$B$4,"Rara",IF(K305&gt;=Umbrales!$B$5,"Poco común","Común")))))</f>
        <v/>
      </c>
      <c r="M305" s="5" t="n">
        <v>12423.758848</v>
      </c>
      <c r="N305" s="5" t="n">
        <v>1419.405952</v>
      </c>
      <c r="O305" s="5">
        <f>IF(M305="","",M305*J305)</f>
        <v/>
      </c>
      <c r="P305" s="5">
        <f>IF(N305="","",N305*J305)</f>
        <v/>
      </c>
      <c r="Q305" s="7" t="n">
        <v>0</v>
      </c>
      <c r="R305" s="8" t="n">
        <v>28</v>
      </c>
      <c r="S305" s="4" t="inlineStr"/>
      <c r="T305" s="9" t="inlineStr">
        <is>
          <t>SI</t>
        </is>
      </c>
      <c r="U305" s="9" t="inlineStr"/>
      <c r="V305" s="10">
        <f>Umbrales!$B$9*(K305/1000)^Umbrales!$B$10</f>
        <v/>
      </c>
    </row>
    <row r="306">
      <c r="A306" s="4" t="inlineStr">
        <is>
          <t>PAYX</t>
        </is>
      </c>
      <c r="B306" s="4" t="inlineStr">
        <is>
          <t>Paychex, Inc.</t>
        </is>
      </c>
      <c r="C306" s="4" t="inlineStr">
        <is>
          <t>United States</t>
        </is>
      </c>
      <c r="D306" s="4" t="inlineStr">
        <is>
          <t>US</t>
        </is>
      </c>
      <c r="E306" s="4" t="inlineStr">
        <is>
          <t>Tecnología</t>
        </is>
      </c>
      <c r="F306" s="4" t="inlineStr">
        <is>
          <t>Software - Application</t>
        </is>
      </c>
      <c r="G306" s="4" t="inlineStr">
        <is>
          <t>NMS</t>
        </is>
      </c>
      <c r="H306" s="4" t="inlineStr">
        <is>
          <t>USD</t>
        </is>
      </c>
      <c r="I306" s="5" t="n">
        <v>38577.606656</v>
      </c>
      <c r="J306" s="6">
        <f>INDEX(FX!$B:$B,MATCH(H306,FX!$A:$A,0))</f>
        <v/>
      </c>
      <c r="K306" s="5">
        <f>I306*J306</f>
        <v/>
      </c>
      <c r="L306" s="4">
        <f>IF(U306&lt;&gt;"",U306,IF(K306&gt;=Umbrales!$B$2,"Legendaria",IF(K306&gt;=Umbrales!$B$3,"Épica",IF(K306&gt;=Umbrales!$B$4,"Rara",IF(K306&gt;=Umbrales!$B$5,"Poco común","Común")))))</f>
        <v/>
      </c>
      <c r="M306" s="5" t="n">
        <v>6602.500096</v>
      </c>
      <c r="N306" s="5" t="n">
        <v>1806</v>
      </c>
      <c r="O306" s="5">
        <f>IF(M306="","",M306*J306)</f>
        <v/>
      </c>
      <c r="P306" s="5">
        <f>IF(N306="","",N306*J306)</f>
        <v/>
      </c>
      <c r="Q306" s="7" t="n">
        <v>0.04480000000000001</v>
      </c>
      <c r="R306" s="8" t="n">
        <v>21.083658</v>
      </c>
      <c r="S306" s="4" t="inlineStr">
        <is>
          <t>NASDAQ100</t>
        </is>
      </c>
      <c r="T306" s="9" t="inlineStr">
        <is>
          <t>SI</t>
        </is>
      </c>
      <c r="U306" s="9" t="inlineStr"/>
      <c r="V306" s="10">
        <f>Umbrales!$B$9*(K306/1000)^Umbrales!$B$10</f>
        <v/>
      </c>
    </row>
    <row r="307">
      <c r="A307" s="4" t="inlineStr">
        <is>
          <t>ODFL</t>
        </is>
      </c>
      <c r="B307" s="4" t="inlineStr">
        <is>
          <t>Old Dominion Freight Line, Inc.</t>
        </is>
      </c>
      <c r="C307" s="4" t="inlineStr">
        <is>
          <t>United States</t>
        </is>
      </c>
      <c r="D307" s="4" t="inlineStr">
        <is>
          <t>US</t>
        </is>
      </c>
      <c r="E307" s="4" t="inlineStr">
        <is>
          <t>Industria</t>
        </is>
      </c>
      <c r="F307" s="4" t="inlineStr">
        <is>
          <t>Trucking</t>
        </is>
      </c>
      <c r="G307" s="4" t="inlineStr">
        <is>
          <t>NMS</t>
        </is>
      </c>
      <c r="H307" s="4" t="inlineStr">
        <is>
          <t>USD</t>
        </is>
      </c>
      <c r="I307" s="5" t="n">
        <v>38230.339584</v>
      </c>
      <c r="J307" s="6">
        <f>INDEX(FX!$B:$B,MATCH(H307,FX!$A:$A,0))</f>
        <v/>
      </c>
      <c r="K307" s="5">
        <f>I307*J307</f>
        <v/>
      </c>
      <c r="L307" s="4">
        <f>IF(U307&lt;&gt;"",U307,IF(K307&gt;=Umbrales!$B$2,"Legendaria",IF(K307&gt;=Umbrales!$B$3,"Épica",IF(K307&gt;=Umbrales!$B$4,"Rara",IF(K307&gt;=Umbrales!$B$5,"Poco común","Común")))))</f>
        <v/>
      </c>
      <c r="M307" s="5" t="n">
        <v>5602.506752</v>
      </c>
      <c r="N307" s="5" t="n">
        <v>1089.276032</v>
      </c>
      <c r="O307" s="5">
        <f>IF(M307="","",M307*J307)</f>
        <v/>
      </c>
      <c r="P307" s="5">
        <f>IF(N307="","",N307*J307)</f>
        <v/>
      </c>
      <c r="Q307" s="7" t="n">
        <v>0.0063</v>
      </c>
      <c r="R307" s="8" t="n">
        <v>35.252388</v>
      </c>
      <c r="S307" s="4" t="inlineStr">
        <is>
          <t>NASDAQ100</t>
        </is>
      </c>
      <c r="T307" s="9" t="inlineStr">
        <is>
          <t>SI</t>
        </is>
      </c>
      <c r="U307" s="9" t="inlineStr"/>
      <c r="V307" s="10">
        <f>Umbrales!$B$9*(K307/1000)^Umbrales!$B$10</f>
        <v/>
      </c>
    </row>
    <row r="308">
      <c r="A308" s="4" t="inlineStr">
        <is>
          <t>TTWO</t>
        </is>
      </c>
      <c r="B308" s="4" t="inlineStr">
        <is>
          <t>Take-Two Interactive Software, Inc.</t>
        </is>
      </c>
      <c r="C308" s="4" t="inlineStr">
        <is>
          <t>United States</t>
        </is>
      </c>
      <c r="D308" s="4" t="inlineStr">
        <is>
          <t>US</t>
        </is>
      </c>
      <c r="E308" s="4" t="inlineStr">
        <is>
          <t>Comunicación</t>
        </is>
      </c>
      <c r="F308" s="4" t="inlineStr">
        <is>
          <t>Electronic Gaming &amp; Multimedia</t>
        </is>
      </c>
      <c r="G308" s="4" t="inlineStr">
        <is>
          <t>NMS</t>
        </is>
      </c>
      <c r="H308" s="4" t="inlineStr">
        <is>
          <t>USD</t>
        </is>
      </c>
      <c r="I308" s="5" t="n">
        <v>37626.073088</v>
      </c>
      <c r="J308" s="6">
        <f>INDEX(FX!$B:$B,MATCH(H308,FX!$A:$A,0))</f>
        <v/>
      </c>
      <c r="K308" s="5">
        <f>I308*J308</f>
        <v/>
      </c>
      <c r="L308" s="4">
        <f>IF(U308&lt;&gt;"",U308,IF(K308&gt;=Umbrales!$B$2,"Legendaria",IF(K308&gt;=Umbrales!$B$3,"Épica",IF(K308&gt;=Umbrales!$B$4,"Rara",IF(K308&gt;=Umbrales!$B$5,"Poco común","Común")))))</f>
        <v/>
      </c>
      <c r="M308" s="5" t="n">
        <v>6686.49984</v>
      </c>
      <c r="N308" s="5" t="n">
        <v>-320.4</v>
      </c>
      <c r="O308" s="5">
        <f>IF(M308="","",M308*J308)</f>
        <v/>
      </c>
      <c r="P308" s="5">
        <f>IF(N308="","",N308*J308)</f>
        <v/>
      </c>
      <c r="Q308" s="7" t="n">
        <v>0</v>
      </c>
      <c r="R308" s="8" t="n"/>
      <c r="S308" s="4" t="inlineStr">
        <is>
          <t>NASDAQ100</t>
        </is>
      </c>
      <c r="T308" s="9" t="inlineStr">
        <is>
          <t>SI</t>
        </is>
      </c>
      <c r="U308" s="9" t="inlineStr"/>
      <c r="V308" s="10">
        <f>Umbrales!$B$9*(K308/1000)^Umbrales!$B$10</f>
        <v/>
      </c>
    </row>
    <row r="309">
      <c r="A309" s="4" t="inlineStr">
        <is>
          <t>VOW3.DE</t>
        </is>
      </c>
      <c r="B309" s="4" t="inlineStr">
        <is>
          <t>Volkswagen AG</t>
        </is>
      </c>
      <c r="C309" s="4" t="inlineStr">
        <is>
          <t>Germany</t>
        </is>
      </c>
      <c r="D309" s="4" t="inlineStr">
        <is>
          <t>DE</t>
        </is>
      </c>
      <c r="E309" s="4" t="inlineStr">
        <is>
          <t>Consumo cíclico</t>
        </is>
      </c>
      <c r="F309" s="4" t="inlineStr">
        <is>
          <t>Auto Manufacturers</t>
        </is>
      </c>
      <c r="G309" s="4" t="inlineStr">
        <is>
          <t>GER</t>
        </is>
      </c>
      <c r="H309" s="4" t="inlineStr">
        <is>
          <t>EUR</t>
        </is>
      </c>
      <c r="I309" s="5" t="n">
        <v>33436.393472</v>
      </c>
      <c r="J309" s="6">
        <f>INDEX(FX!$B:$B,MATCH(H309,FX!$A:$A,0))</f>
        <v/>
      </c>
      <c r="K309" s="5">
        <f>I309*J309</f>
        <v/>
      </c>
      <c r="L309" s="4">
        <f>IF(U309&lt;&gt;"",U309,IF(K309&gt;=Umbrales!$B$2,"Legendaria",IF(K309&gt;=Umbrales!$B$3,"Épica",IF(K309&gt;=Umbrales!$B$4,"Rara",IF(K309&gt;=Umbrales!$B$5,"Poco común","Común")))))</f>
        <v/>
      </c>
      <c r="M309" s="5" t="n">
        <v>321651.01568</v>
      </c>
      <c r="N309" s="5" t="n">
        <v>5241.999872</v>
      </c>
      <c r="O309" s="5">
        <f>IF(M309="","",M309*J309)</f>
        <v/>
      </c>
      <c r="P309" s="5">
        <f>IF(N309="","",N309*J309)</f>
        <v/>
      </c>
      <c r="Q309" s="7" t="n">
        <v>0.07539999999999999</v>
      </c>
      <c r="R309" s="8" t="n">
        <v>6.4694467</v>
      </c>
      <c r="S309" s="4" t="inlineStr">
        <is>
          <t>DAX40, EUROSTOXX50</t>
        </is>
      </c>
      <c r="T309" s="9" t="inlineStr">
        <is>
          <t>SI</t>
        </is>
      </c>
      <c r="U309" s="9" t="inlineStr"/>
      <c r="V309" s="10">
        <f>Umbrales!$B$9*(K309/1000)^Umbrales!$B$10</f>
        <v/>
      </c>
    </row>
    <row r="310">
      <c r="A310" s="4" t="inlineStr">
        <is>
          <t>BMW.DE</t>
        </is>
      </c>
      <c r="B310" s="4" t="inlineStr">
        <is>
          <t>Bayerische Motoren Werke Aktiengesellschaft</t>
        </is>
      </c>
      <c r="C310" s="4" t="inlineStr">
        <is>
          <t>Germany</t>
        </is>
      </c>
      <c r="D310" s="4" t="inlineStr">
        <is>
          <t>DE</t>
        </is>
      </c>
      <c r="E310" s="4" t="inlineStr">
        <is>
          <t>Consumo cíclico</t>
        </is>
      </c>
      <c r="F310" s="4" t="inlineStr">
        <is>
          <t>Auto Manufacturers</t>
        </is>
      </c>
      <c r="G310" s="4" t="inlineStr">
        <is>
          <t>GER</t>
        </is>
      </c>
      <c r="H310" s="4" t="inlineStr">
        <is>
          <t>EUR</t>
        </is>
      </c>
      <c r="I310" s="5" t="n">
        <v>33208.967168</v>
      </c>
      <c r="J310" s="6">
        <f>INDEX(FX!$B:$B,MATCH(H310,FX!$A:$A,0))</f>
        <v/>
      </c>
      <c r="K310" s="5">
        <f>I310*J310</f>
        <v/>
      </c>
      <c r="L310" s="4">
        <f>IF(U310&lt;&gt;"",U310,IF(K310&gt;=Umbrales!$B$2,"Legendaria",IF(K310&gt;=Umbrales!$B$3,"Épica",IF(K310&gt;=Umbrales!$B$4,"Rara",IF(K310&gt;=Umbrales!$B$5,"Poco común","Común")))))</f>
        <v/>
      </c>
      <c r="M310" s="5" t="n">
        <v>128033.9968</v>
      </c>
      <c r="N310" s="5" t="n">
        <v>6303.000064</v>
      </c>
      <c r="O310" s="5">
        <f>IF(M310="","",M310*J310)</f>
        <v/>
      </c>
      <c r="P310" s="5">
        <f>IF(N310="","",N310*J310)</f>
        <v/>
      </c>
      <c r="Q310" s="7" t="n">
        <v>0.08199999999999999</v>
      </c>
      <c r="R310" s="8" t="n">
        <v>5.263757</v>
      </c>
      <c r="S310" s="4" t="inlineStr">
        <is>
          <t>DAX40, EUROSTOXX50</t>
        </is>
      </c>
      <c r="T310" s="9" t="inlineStr">
        <is>
          <t>SI</t>
        </is>
      </c>
      <c r="U310" s="9" t="inlineStr"/>
      <c r="V310" s="10">
        <f>Umbrales!$B$9*(K310/1000)^Umbrales!$B$10</f>
        <v/>
      </c>
    </row>
    <row r="311">
      <c r="A311" s="4" t="inlineStr">
        <is>
          <t>HNR1.DE</t>
        </is>
      </c>
      <c r="B311" s="4" t="inlineStr">
        <is>
          <t>Hannover Rück SE</t>
        </is>
      </c>
      <c r="C311" s="4" t="inlineStr">
        <is>
          <t>Germany</t>
        </is>
      </c>
      <c r="D311" s="4" t="inlineStr">
        <is>
          <t>DE</t>
        </is>
      </c>
      <c r="E311" s="4" t="inlineStr">
        <is>
          <t>Finanzas</t>
        </is>
      </c>
      <c r="F311" s="4" t="inlineStr">
        <is>
          <t>Insurance - Reinsurance</t>
        </is>
      </c>
      <c r="G311" s="4" t="inlineStr">
        <is>
          <t>GER</t>
        </is>
      </c>
      <c r="H311" s="4" t="inlineStr">
        <is>
          <t>EUR</t>
        </is>
      </c>
      <c r="I311" s="5" t="n">
        <v>33091.854336</v>
      </c>
      <c r="J311" s="6">
        <f>INDEX(FX!$B:$B,MATCH(H311,FX!$A:$A,0))</f>
        <v/>
      </c>
      <c r="K311" s="5">
        <f>I311*J311</f>
        <v/>
      </c>
      <c r="L311" s="4">
        <f>IF(U311&lt;&gt;"",U311,IF(K311&gt;=Umbrales!$B$2,"Legendaria",IF(K311&gt;=Umbrales!$B$3,"Épica",IF(K311&gt;=Umbrales!$B$4,"Rara",IF(K311&gt;=Umbrales!$B$5,"Poco común","Común")))))</f>
        <v/>
      </c>
      <c r="M311" s="5" t="n">
        <v>22665.40032</v>
      </c>
      <c r="N311" s="5" t="n">
        <v>2733.499904</v>
      </c>
      <c r="O311" s="5">
        <f>IF(M311="","",M311*J311)</f>
        <v/>
      </c>
      <c r="P311" s="5">
        <f>IF(N311="","",N311*J311)</f>
        <v/>
      </c>
      <c r="Q311" s="7" t="n">
        <v>0.04769999999999999</v>
      </c>
      <c r="R311" s="8" t="n">
        <v>11.771771</v>
      </c>
      <c r="S311" s="4" t="inlineStr">
        <is>
          <t>DAX40</t>
        </is>
      </c>
      <c r="T311" s="9" t="inlineStr">
        <is>
          <t>SI</t>
        </is>
      </c>
      <c r="U311" s="9" t="inlineStr"/>
      <c r="V311" s="10">
        <f>Umbrales!$B$9*(K311/1000)^Umbrales!$B$10</f>
        <v/>
      </c>
    </row>
    <row r="312">
      <c r="A312" s="4" t="inlineStr">
        <is>
          <t>ROP</t>
        </is>
      </c>
      <c r="B312" s="4" t="inlineStr">
        <is>
          <t>Roper Technologies, Inc.</t>
        </is>
      </c>
      <c r="C312" s="4" t="inlineStr">
        <is>
          <t>United States</t>
        </is>
      </c>
      <c r="D312" s="4" t="inlineStr">
        <is>
          <t>US</t>
        </is>
      </c>
      <c r="E312" s="4" t="inlineStr">
        <is>
          <t>Tecnología</t>
        </is>
      </c>
      <c r="F312" s="4" t="inlineStr">
        <is>
          <t>Software - Application</t>
        </is>
      </c>
      <c r="G312" s="4" t="inlineStr">
        <is>
          <t>NMS</t>
        </is>
      </c>
      <c r="H312" s="4" t="inlineStr">
        <is>
          <t>USD</t>
        </is>
      </c>
      <c r="I312" s="5" t="n">
        <v>36859.367424</v>
      </c>
      <c r="J312" s="6">
        <f>INDEX(FX!$B:$B,MATCH(H312,FX!$A:$A,0))</f>
        <v/>
      </c>
      <c r="K312" s="5">
        <f>I312*J312</f>
        <v/>
      </c>
      <c r="L312" s="4">
        <f>IF(U312&lt;&gt;"",U312,IF(K312&gt;=Umbrales!$B$2,"Legendaria",IF(K312&gt;=Umbrales!$B$3,"Épica",IF(K312&gt;=Umbrales!$B$4,"Rara",IF(K312&gt;=Umbrales!$B$5,"Poco común","Común")))))</f>
        <v/>
      </c>
      <c r="M312" s="5" t="n">
        <v>8280.300031999999</v>
      </c>
      <c r="N312" s="5" t="n">
        <v>2504.300032</v>
      </c>
      <c r="O312" s="5">
        <f>IF(M312="","",M312*J312)</f>
        <v/>
      </c>
      <c r="P312" s="5">
        <f>IF(N312="","",N312*J312)</f>
        <v/>
      </c>
      <c r="Q312" s="7" t="n">
        <v>0.009899999999999999</v>
      </c>
      <c r="R312" s="8" t="n">
        <v>15.355995</v>
      </c>
      <c r="S312" s="4" t="inlineStr">
        <is>
          <t>NASDAQ100</t>
        </is>
      </c>
      <c r="T312" s="9" t="inlineStr">
        <is>
          <t>SI</t>
        </is>
      </c>
      <c r="U312" s="9" t="inlineStr"/>
      <c r="V312" s="10">
        <f>Umbrales!$B$9*(K312/1000)^Umbrales!$B$10</f>
        <v/>
      </c>
    </row>
    <row r="313">
      <c r="A313" s="4" t="inlineStr">
        <is>
          <t>SGO.PA</t>
        </is>
      </c>
      <c r="B313" s="4" t="inlineStr">
        <is>
          <t>Compagnie de Saint-Gobain S.A.</t>
        </is>
      </c>
      <c r="C313" s="4" t="inlineStr">
        <is>
          <t>France</t>
        </is>
      </c>
      <c r="D313" s="4" t="inlineStr">
        <is>
          <t>FR</t>
        </is>
      </c>
      <c r="E313" s="4" t="inlineStr">
        <is>
          <t>Industria</t>
        </is>
      </c>
      <c r="F313" s="4" t="inlineStr">
        <is>
          <t>Building Products &amp; Equipment</t>
        </is>
      </c>
      <c r="G313" s="4" t="inlineStr">
        <is>
          <t>PAR</t>
        </is>
      </c>
      <c r="H313" s="4" t="inlineStr">
        <is>
          <t>EUR</t>
        </is>
      </c>
      <c r="I313" s="5" t="n">
        <v>32700.604416</v>
      </c>
      <c r="J313" s="6">
        <f>INDEX(FX!$B:$B,MATCH(H313,FX!$A:$A,0))</f>
        <v/>
      </c>
      <c r="K313" s="5">
        <f>I313*J313</f>
        <v/>
      </c>
      <c r="L313" s="4">
        <f>IF(U313&lt;&gt;"",U313,IF(K313&gt;=Umbrales!$B$2,"Legendaria",IF(K313&gt;=Umbrales!$B$3,"Épica",IF(K313&gt;=Umbrales!$B$4,"Rara",IF(K313&gt;=Umbrales!$B$5,"Poco común","Común")))))</f>
        <v/>
      </c>
      <c r="M313" s="5" t="n">
        <v>46226.00192</v>
      </c>
      <c r="N313" s="5" t="n">
        <v>2671.000064</v>
      </c>
      <c r="O313" s="5">
        <f>IF(M313="","",M313*J313)</f>
        <v/>
      </c>
      <c r="P313" s="5">
        <f>IF(N313="","",N313*J313)</f>
        <v/>
      </c>
      <c r="Q313" s="7" t="n">
        <v>0.0352</v>
      </c>
      <c r="R313" s="8" t="n">
        <v>12.423006</v>
      </c>
      <c r="S313" s="4" t="inlineStr">
        <is>
          <t>EUROSTOXX50</t>
        </is>
      </c>
      <c r="T313" s="9" t="inlineStr">
        <is>
          <t>SI</t>
        </is>
      </c>
      <c r="U313" s="9" t="inlineStr"/>
      <c r="V313" s="10">
        <f>Umbrales!$B$9*(K313/1000)^Umbrales!$B$10</f>
        <v/>
      </c>
    </row>
    <row r="314">
      <c r="A314" s="4" t="inlineStr">
        <is>
          <t>FER.MC</t>
        </is>
      </c>
      <c r="B314" s="4" t="inlineStr">
        <is>
          <t>Ferrovial N.V.</t>
        </is>
      </c>
      <c r="C314" s="4" t="inlineStr">
        <is>
          <t>Netherlands</t>
        </is>
      </c>
      <c r="D314" s="4" t="inlineStr">
        <is>
          <t>NL</t>
        </is>
      </c>
      <c r="E314" s="4" t="inlineStr">
        <is>
          <t>Industria</t>
        </is>
      </c>
      <c r="F314" s="4" t="inlineStr">
        <is>
          <t>Engineering &amp; Construction</t>
        </is>
      </c>
      <c r="G314" s="4" t="inlineStr">
        <is>
          <t>MCE</t>
        </is>
      </c>
      <c r="H314" s="4" t="inlineStr">
        <is>
          <t>EUR</t>
        </is>
      </c>
      <c r="I314" s="5" t="n">
        <v>32642.572288</v>
      </c>
      <c r="J314" s="6">
        <f>INDEX(FX!$B:$B,MATCH(H314,FX!$A:$A,0))</f>
        <v/>
      </c>
      <c r="K314" s="5">
        <f>I314*J314</f>
        <v/>
      </c>
      <c r="L314" s="4">
        <f>IF(U314&lt;&gt;"",U314,IF(K314&gt;=Umbrales!$B$2,"Legendaria",IF(K314&gt;=Umbrales!$B$3,"Épica",IF(K314&gt;=Umbrales!$B$4,"Rara",IF(K314&gt;=Umbrales!$B$5,"Poco común","Común")))))</f>
        <v/>
      </c>
      <c r="M314" s="5" t="n">
        <v>9859.000319999999</v>
      </c>
      <c r="N314" s="5" t="n">
        <v>592</v>
      </c>
      <c r="O314" s="5">
        <f>IF(M314="","",M314*J314)</f>
        <v/>
      </c>
      <c r="P314" s="5">
        <f>IF(N314="","",N314*J314)</f>
        <v/>
      </c>
      <c r="Q314" s="7" t="n">
        <v>0.0246</v>
      </c>
      <c r="R314" s="8" t="n">
        <v>29.070513</v>
      </c>
      <c r="S314" s="4" t="inlineStr">
        <is>
          <t>IBEX35</t>
        </is>
      </c>
      <c r="T314" s="9" t="inlineStr">
        <is>
          <t>SI</t>
        </is>
      </c>
      <c r="U314" s="9" t="inlineStr"/>
      <c r="V314" s="10">
        <f>Umbrales!$B$9*(K314/1000)^Umbrales!$B$10</f>
        <v/>
      </c>
    </row>
    <row r="315">
      <c r="A315" s="4" t="inlineStr">
        <is>
          <t>ZS</t>
        </is>
      </c>
      <c r="B315" s="4" t="inlineStr">
        <is>
          <t>Zscaler, Inc.</t>
        </is>
      </c>
      <c r="C315" s="4" t="inlineStr">
        <is>
          <t>United States</t>
        </is>
      </c>
      <c r="D315" s="4" t="inlineStr">
        <is>
          <t>US</t>
        </is>
      </c>
      <c r="E315" s="4" t="inlineStr">
        <is>
          <t>Tecnología</t>
        </is>
      </c>
      <c r="F315" s="4" t="inlineStr">
        <is>
          <t>Software - Infrastructure</t>
        </is>
      </c>
      <c r="G315" s="4" t="inlineStr">
        <is>
          <t>NMS</t>
        </is>
      </c>
      <c r="H315" s="4" t="inlineStr">
        <is>
          <t>USD</t>
        </is>
      </c>
      <c r="I315" s="5" t="n">
        <v>36000.845824</v>
      </c>
      <c r="J315" s="6">
        <f>INDEX(FX!$B:$B,MATCH(H315,FX!$A:$A,0))</f>
        <v/>
      </c>
      <c r="K315" s="5">
        <f>I315*J315</f>
        <v/>
      </c>
      <c r="L315" s="4">
        <f>IF(U315&lt;&gt;"",U315,IF(K315&gt;=Umbrales!$B$2,"Legendaria",IF(K315&gt;=Umbrales!$B$3,"Épica",IF(K315&gt;=Umbrales!$B$4,"Rara",IF(K315&gt;=Umbrales!$B$5,"Poco común","Común")))))</f>
        <v/>
      </c>
      <c r="M315" s="5" t="n">
        <v>3352.523008</v>
      </c>
      <c r="N315" s="5" t="n">
        <v>-63.179</v>
      </c>
      <c r="O315" s="5">
        <f>IF(M315="","",M315*J315)</f>
        <v/>
      </c>
      <c r="P315" s="5">
        <f>IF(N315="","",N315*J315)</f>
        <v/>
      </c>
      <c r="Q315" s="7" t="n">
        <v>0</v>
      </c>
      <c r="R315" s="8" t="n"/>
      <c r="S315" s="4" t="inlineStr">
        <is>
          <t>NASDAQ100</t>
        </is>
      </c>
      <c r="T315" s="9" t="inlineStr">
        <is>
          <t>SI</t>
        </is>
      </c>
      <c r="U315" s="9" t="inlineStr"/>
      <c r="V315" s="10">
        <f>Umbrales!$B$9*(K315/1000)^Umbrales!$B$10</f>
        <v/>
      </c>
    </row>
    <row r="316">
      <c r="A316" s="4" t="inlineStr">
        <is>
          <t>HEN3.DE</t>
        </is>
      </c>
      <c r="B316" s="4" t="inlineStr">
        <is>
          <t>Henkel AG &amp; Co. KGaA</t>
        </is>
      </c>
      <c r="C316" s="4" t="inlineStr">
        <is>
          <t>Germany</t>
        </is>
      </c>
      <c r="D316" s="4" t="inlineStr">
        <is>
          <t>DE</t>
        </is>
      </c>
      <c r="E316" s="4" t="inlineStr">
        <is>
          <t>Consumo básico</t>
        </is>
      </c>
      <c r="F316" s="4" t="inlineStr">
        <is>
          <t>Household &amp; Personal Products</t>
        </is>
      </c>
      <c r="G316" s="4" t="inlineStr">
        <is>
          <t>GER</t>
        </is>
      </c>
      <c r="H316" s="4" t="inlineStr">
        <is>
          <t>EUR</t>
        </is>
      </c>
      <c r="I316" s="5" t="n">
        <v>31772.700672</v>
      </c>
      <c r="J316" s="6">
        <f>INDEX(FX!$B:$B,MATCH(H316,FX!$A:$A,0))</f>
        <v/>
      </c>
      <c r="K316" s="5">
        <f>I316*J316</f>
        <v/>
      </c>
      <c r="L316" s="4">
        <f>IF(U316&lt;&gt;"",U316,IF(K316&gt;=Umbrales!$B$2,"Legendaria",IF(K316&gt;=Umbrales!$B$3,"Épica",IF(K316&gt;=Umbrales!$B$4,"Rara",IF(K316&gt;=Umbrales!$B$5,"Poco común","Común")))))</f>
        <v/>
      </c>
      <c r="M316" s="5" t="n">
        <v>20440.999936</v>
      </c>
      <c r="N316" s="5" t="n">
        <v>1912.999936</v>
      </c>
      <c r="O316" s="5">
        <f>IF(M316="","",M316*J316)</f>
        <v/>
      </c>
      <c r="P316" s="5">
        <f>IF(N316="","",N316*J316)</f>
        <v/>
      </c>
      <c r="Q316" s="7" t="n">
        <v>0.0279</v>
      </c>
      <c r="R316" s="8" t="n">
        <v>16.384134</v>
      </c>
      <c r="S316" s="4" t="inlineStr">
        <is>
          <t>DAX40</t>
        </is>
      </c>
      <c r="T316" s="9" t="inlineStr">
        <is>
          <t>SI</t>
        </is>
      </c>
      <c r="U316" s="9" t="inlineStr"/>
      <c r="V316" s="10">
        <f>Umbrales!$B$9*(K316/1000)^Umbrales!$B$10</f>
        <v/>
      </c>
    </row>
    <row r="317">
      <c r="A317" s="4" t="inlineStr">
        <is>
          <t>REP.MC</t>
        </is>
      </c>
      <c r="B317" s="4" t="inlineStr">
        <is>
          <t>Repsol, S.A.</t>
        </is>
      </c>
      <c r="C317" s="4" t="inlineStr">
        <is>
          <t>Spain</t>
        </is>
      </c>
      <c r="D317" s="4" t="inlineStr">
        <is>
          <t>ES</t>
        </is>
      </c>
      <c r="E317" s="4" t="inlineStr">
        <is>
          <t>Energía</t>
        </is>
      </c>
      <c r="F317" s="4" t="inlineStr">
        <is>
          <t>Oil &amp; Gas Integrated</t>
        </is>
      </c>
      <c r="G317" s="4" t="inlineStr">
        <is>
          <t>MCE</t>
        </is>
      </c>
      <c r="H317" s="4" t="inlineStr">
        <is>
          <t>EUR</t>
        </is>
      </c>
      <c r="I317" s="5" t="n">
        <v>31694.942208</v>
      </c>
      <c r="J317" s="6">
        <f>INDEX(FX!$B:$B,MATCH(H317,FX!$A:$A,0))</f>
        <v/>
      </c>
      <c r="K317" s="5">
        <f>I317*J317</f>
        <v/>
      </c>
      <c r="L317" s="4">
        <f>IF(U317&lt;&gt;"",U317,IF(K317&gt;=Umbrales!$B$2,"Legendaria",IF(K317&gt;=Umbrales!$B$3,"Épica",IF(K317&gt;=Umbrales!$B$4,"Rara",IF(K317&gt;=Umbrales!$B$5,"Poco común","Común")))))</f>
        <v/>
      </c>
      <c r="M317" s="5" t="n">
        <v>54358.99904</v>
      </c>
      <c r="N317" s="5" t="n">
        <v>3420.999936</v>
      </c>
      <c r="O317" s="5">
        <f>IF(M317="","",M317*J317)</f>
        <v/>
      </c>
      <c r="P317" s="5">
        <f>IF(N317="","",N317*J317)</f>
        <v/>
      </c>
      <c r="Q317" s="7" t="n">
        <v>0.0366</v>
      </c>
      <c r="R317" s="8" t="n">
        <v>8.361344000000001</v>
      </c>
      <c r="S317" s="4" t="inlineStr">
        <is>
          <t>IBEX35</t>
        </is>
      </c>
      <c r="T317" s="9" t="inlineStr">
        <is>
          <t>SI</t>
        </is>
      </c>
      <c r="U317" s="9" t="inlineStr"/>
      <c r="V317" s="10">
        <f>Umbrales!$B$9*(K317/1000)^Umbrales!$B$10</f>
        <v/>
      </c>
    </row>
    <row r="318">
      <c r="A318" s="4" t="inlineStr">
        <is>
          <t>DTG.DE</t>
        </is>
      </c>
      <c r="B318" s="4" t="inlineStr">
        <is>
          <t>Daimler Truck Holding AG</t>
        </is>
      </c>
      <c r="C318" s="4" t="inlineStr">
        <is>
          <t>Germany</t>
        </is>
      </c>
      <c r="D318" s="4" t="inlineStr">
        <is>
          <t>DE</t>
        </is>
      </c>
      <c r="E318" s="4" t="inlineStr">
        <is>
          <t>Industria</t>
        </is>
      </c>
      <c r="F318" s="4" t="inlineStr">
        <is>
          <t>Farm &amp; Heavy Construction Machinery</t>
        </is>
      </c>
      <c r="G318" s="4" t="inlineStr">
        <is>
          <t>GER</t>
        </is>
      </c>
      <c r="H318" s="4" t="inlineStr">
        <is>
          <t>EUR</t>
        </is>
      </c>
      <c r="I318" s="5" t="n">
        <v>31267.565568</v>
      </c>
      <c r="J318" s="6">
        <f>INDEX(FX!$B:$B,MATCH(H318,FX!$A:$A,0))</f>
        <v/>
      </c>
      <c r="K318" s="5">
        <f>I318*J318</f>
        <v/>
      </c>
      <c r="L318" s="4">
        <f>IF(U318&lt;&gt;"",U318,IF(K318&gt;=Umbrales!$B$2,"Legendaria",IF(K318&gt;=Umbrales!$B$3,"Épica",IF(K318&gt;=Umbrales!$B$4,"Rara",IF(K318&gt;=Umbrales!$B$5,"Poco común","Común")))))</f>
        <v/>
      </c>
      <c r="M318" s="5" t="n">
        <v>44621.000704</v>
      </c>
      <c r="N318" s="5" t="n">
        <v>1078</v>
      </c>
      <c r="O318" s="5">
        <f>IF(M318="","",M318*J318)</f>
        <v/>
      </c>
      <c r="P318" s="5">
        <f>IF(N318="","",N318*J318)</f>
        <v/>
      </c>
      <c r="Q318" s="7" t="n">
        <v>0.0467</v>
      </c>
      <c r="R318" s="8" t="n">
        <v>28.171232</v>
      </c>
      <c r="S318" s="4" t="inlineStr">
        <is>
          <t>DAX40</t>
        </is>
      </c>
      <c r="T318" s="9" t="inlineStr">
        <is>
          <t>SI</t>
        </is>
      </c>
      <c r="U318" s="9" t="inlineStr"/>
      <c r="V318" s="10">
        <f>Umbrales!$B$9*(K318/1000)^Umbrales!$B$10</f>
        <v/>
      </c>
    </row>
    <row r="319">
      <c r="A319" s="4" t="inlineStr">
        <is>
          <t>BIIB</t>
        </is>
      </c>
      <c r="B319" s="4" t="inlineStr">
        <is>
          <t>Biogen Inc.</t>
        </is>
      </c>
      <c r="C319" s="4" t="inlineStr">
        <is>
          <t>United States</t>
        </is>
      </c>
      <c r="D319" s="4" t="inlineStr">
        <is>
          <t>US</t>
        </is>
      </c>
      <c r="E319" s="4" t="inlineStr">
        <is>
          <t>Salud</t>
        </is>
      </c>
      <c r="F319" s="4" t="inlineStr">
        <is>
          <t>Drug Manufacturers - General</t>
        </is>
      </c>
      <c r="G319" s="4" t="inlineStr">
        <is>
          <t>NMS</t>
        </is>
      </c>
      <c r="H319" s="4" t="inlineStr">
        <is>
          <t>USD</t>
        </is>
      </c>
      <c r="I319" s="5" t="n">
        <v>34401.562624</v>
      </c>
      <c r="J319" s="6">
        <f>INDEX(FX!$B:$B,MATCH(H319,FX!$A:$A,0))</f>
        <v/>
      </c>
      <c r="K319" s="5">
        <f>I319*J319</f>
        <v/>
      </c>
      <c r="L319" s="4">
        <f>IF(U319&lt;&gt;"",U319,IF(K319&gt;=Umbrales!$B$2,"Legendaria",IF(K319&gt;=Umbrales!$B$3,"Épica",IF(K319&gt;=Umbrales!$B$4,"Rara",IF(K319&gt;=Umbrales!$B$5,"Poco común","Común")))))</f>
        <v/>
      </c>
      <c r="M319" s="5" t="n">
        <v>10027.899904</v>
      </c>
      <c r="N319" s="5" t="n">
        <v>834.6</v>
      </c>
      <c r="O319" s="5">
        <f>IF(M319="","",M319*J319)</f>
        <v/>
      </c>
      <c r="P319" s="5">
        <f>IF(N319="","",N319*J319)</f>
        <v/>
      </c>
      <c r="Q319" s="7" t="n">
        <v>0</v>
      </c>
      <c r="R319" s="8" t="n">
        <v>41.35524</v>
      </c>
      <c r="S319" s="4" t="inlineStr">
        <is>
          <t>NASDAQ100</t>
        </is>
      </c>
      <c r="T319" s="9" t="inlineStr">
        <is>
          <t>SI</t>
        </is>
      </c>
      <c r="U319" s="9" t="inlineStr"/>
      <c r="V319" s="10">
        <f>Umbrales!$B$9*(K319/1000)^Umbrales!$B$10</f>
        <v/>
      </c>
    </row>
    <row r="320">
      <c r="A320" s="4" t="inlineStr">
        <is>
          <t>ERIC-B.ST</t>
        </is>
      </c>
      <c r="B320" s="4" t="inlineStr">
        <is>
          <t>Telefonaktiebolaget LM Ericsson (publ)</t>
        </is>
      </c>
      <c r="C320" s="4" t="inlineStr">
        <is>
          <t>Sweden</t>
        </is>
      </c>
      <c r="D320" s="4" t="inlineStr">
        <is>
          <t>SE</t>
        </is>
      </c>
      <c r="E320" s="4" t="inlineStr">
        <is>
          <t>Tecnología</t>
        </is>
      </c>
      <c r="F320" s="4" t="inlineStr">
        <is>
          <t>Communication Equipment</t>
        </is>
      </c>
      <c r="G320" s="4" t="inlineStr">
        <is>
          <t>STO</t>
        </is>
      </c>
      <c r="H320" s="4" t="inlineStr">
        <is>
          <t>SEK</t>
        </is>
      </c>
      <c r="I320" s="5" t="n">
        <v>342080.520192</v>
      </c>
      <c r="J320" s="6">
        <f>INDEX(FX!$B:$B,MATCH(H320,FX!$A:$A,0))</f>
        <v/>
      </c>
      <c r="K320" s="5">
        <f>I320*J320</f>
        <v/>
      </c>
      <c r="L320" s="4">
        <f>IF(U320&lt;&gt;"",U320,IF(K320&gt;=Umbrales!$B$2,"Legendaria",IF(K320&gt;=Umbrales!$B$3,"Épica",IF(K320&gt;=Umbrales!$B$4,"Rara",IF(K320&gt;=Umbrales!$B$5,"Poco común","Común")))))</f>
        <v/>
      </c>
      <c r="M320" s="5" t="n">
        <v>227546.005504</v>
      </c>
      <c r="N320" s="5" t="n">
        <v>24644.999168</v>
      </c>
      <c r="O320" s="5">
        <f>IF(M320="","",M320*J320)</f>
        <v/>
      </c>
      <c r="P320" s="5">
        <f>IF(N320="","",N320*J320)</f>
        <v/>
      </c>
      <c r="Q320" s="7" t="n">
        <v>0.0316</v>
      </c>
      <c r="R320" s="8" t="n">
        <v>14.281843</v>
      </c>
      <c r="S320" s="4" t="inlineStr"/>
      <c r="T320" s="9" t="inlineStr">
        <is>
          <t>SI</t>
        </is>
      </c>
      <c r="U320" s="9" t="inlineStr"/>
      <c r="V320" s="10">
        <f>Umbrales!$B$9*(K320/1000)^Umbrales!$B$10</f>
        <v/>
      </c>
    </row>
    <row r="321">
      <c r="A321" s="4" t="inlineStr">
        <is>
          <t>AXON</t>
        </is>
      </c>
      <c r="B321" s="4" t="inlineStr">
        <is>
          <t>Axon Enterprise, Inc.</t>
        </is>
      </c>
      <c r="C321" s="4" t="inlineStr">
        <is>
          <t>United States</t>
        </is>
      </c>
      <c r="D321" s="4" t="inlineStr">
        <is>
          <t>US</t>
        </is>
      </c>
      <c r="E321" s="4" t="inlineStr">
        <is>
          <t>Industria</t>
        </is>
      </c>
      <c r="F321" s="4" t="inlineStr">
        <is>
          <t>Aerospace &amp; Defense</t>
        </is>
      </c>
      <c r="G321" s="4" t="inlineStr">
        <is>
          <t>NMS</t>
        </is>
      </c>
      <c r="H321" s="4" t="inlineStr">
        <is>
          <t>USD</t>
        </is>
      </c>
      <c r="I321" s="5" t="n">
        <v>33178.986496</v>
      </c>
      <c r="J321" s="6">
        <f>INDEX(FX!$B:$B,MATCH(H321,FX!$A:$A,0))</f>
        <v/>
      </c>
      <c r="K321" s="5">
        <f>I321*J321</f>
        <v/>
      </c>
      <c r="L321" s="4">
        <f>IF(U321&lt;&gt;"",U321,IF(K321&gt;=Umbrales!$B$2,"Legendaria",IF(K321&gt;=Umbrales!$B$3,"Épica",IF(K321&gt;=Umbrales!$B$4,"Rara",IF(K321&gt;=Umbrales!$B$5,"Poco común","Común")))))</f>
        <v/>
      </c>
      <c r="M321" s="5" t="n">
        <v>3219.09888</v>
      </c>
      <c r="N321" s="5" t="n">
        <v>199.298</v>
      </c>
      <c r="O321" s="5">
        <f>IF(M321="","",M321*J321)</f>
        <v/>
      </c>
      <c r="P321" s="5">
        <f>IF(N321="","",N321*J321)</f>
        <v/>
      </c>
      <c r="Q321" s="7" t="n">
        <v>0</v>
      </c>
      <c r="R321" s="8" t="n">
        <v>171.60504</v>
      </c>
      <c r="S321" s="4" t="inlineStr">
        <is>
          <t>NASDAQ100</t>
        </is>
      </c>
      <c r="T321" s="9" t="inlineStr">
        <is>
          <t>SI</t>
        </is>
      </c>
      <c r="U321" s="9" t="inlineStr"/>
      <c r="V321" s="10">
        <f>Umbrales!$B$9*(K321/1000)^Umbrales!$B$10</f>
        <v/>
      </c>
    </row>
    <row r="322">
      <c r="A322" s="4" t="inlineStr">
        <is>
          <t>ADYEN.AS</t>
        </is>
      </c>
      <c r="B322" s="4" t="inlineStr">
        <is>
          <t>Adyen N.V.</t>
        </is>
      </c>
      <c r="C322" s="4" t="inlineStr">
        <is>
          <t>Netherlands</t>
        </is>
      </c>
      <c r="D322" s="4" t="inlineStr">
        <is>
          <t>NL</t>
        </is>
      </c>
      <c r="E322" s="4" t="inlineStr">
        <is>
          <t>Tecnología</t>
        </is>
      </c>
      <c r="F322" s="4" t="inlineStr">
        <is>
          <t>Software - Infrastructure</t>
        </is>
      </c>
      <c r="G322" s="4" t="inlineStr">
        <is>
          <t>AMS</t>
        </is>
      </c>
      <c r="H322" s="4" t="inlineStr">
        <is>
          <t>EUR</t>
        </is>
      </c>
      <c r="I322" s="5" t="n">
        <v>29290.719232</v>
      </c>
      <c r="J322" s="6">
        <f>INDEX(FX!$B:$B,MATCH(H322,FX!$A:$A,0))</f>
        <v/>
      </c>
      <c r="K322" s="5">
        <f>I322*J322</f>
        <v/>
      </c>
      <c r="L322" s="4">
        <f>IF(U322&lt;&gt;"",U322,IF(K322&gt;=Umbrales!$B$2,"Legendaria",IF(K322&gt;=Umbrales!$B$3,"Épica",IF(K322&gt;=Umbrales!$B$4,"Rara",IF(K322&gt;=Umbrales!$B$5,"Poco común","Común")))))</f>
        <v/>
      </c>
      <c r="M322" s="5" t="n">
        <v>2584.399872</v>
      </c>
      <c r="N322" s="5" t="n">
        <v>1125.625984</v>
      </c>
      <c r="O322" s="5">
        <f>IF(M322="","",M322*J322)</f>
        <v/>
      </c>
      <c r="P322" s="5">
        <f>IF(N322="","",N322*J322)</f>
        <v/>
      </c>
      <c r="Q322" s="7" t="n">
        <v>0</v>
      </c>
      <c r="R322" s="8" t="n">
        <v>26.079258</v>
      </c>
      <c r="S322" s="4" t="inlineStr">
        <is>
          <t>EUROSTOXX50</t>
        </is>
      </c>
      <c r="T322" s="9" t="inlineStr">
        <is>
          <t>SI</t>
        </is>
      </c>
      <c r="U322" s="9" t="inlineStr"/>
      <c r="V322" s="10">
        <f>Umbrales!$B$9*(K322/1000)^Umbrales!$B$10</f>
        <v/>
      </c>
    </row>
    <row r="323">
      <c r="A323" s="4" t="inlineStr">
        <is>
          <t>AD.AS</t>
        </is>
      </c>
      <c r="B323" s="4" t="inlineStr">
        <is>
          <t>Koninklijke Ahold Delhaize N.V.</t>
        </is>
      </c>
      <c r="C323" s="4" t="inlineStr">
        <is>
          <t>Netherlands</t>
        </is>
      </c>
      <c r="D323" s="4" t="inlineStr">
        <is>
          <t>NL</t>
        </is>
      </c>
      <c r="E323" s="4" t="inlineStr">
        <is>
          <t>Consumo básico</t>
        </is>
      </c>
      <c r="F323" s="4" t="inlineStr">
        <is>
          <t>Grocery Stores</t>
        </is>
      </c>
      <c r="G323" s="4" t="inlineStr">
        <is>
          <t>AMS</t>
        </is>
      </c>
      <c r="H323" s="4" t="inlineStr">
        <is>
          <t>EUR</t>
        </is>
      </c>
      <c r="I323" s="5" t="n">
        <v>28399.077376</v>
      </c>
      <c r="J323" s="6">
        <f>INDEX(FX!$B:$B,MATCH(H323,FX!$A:$A,0))</f>
        <v/>
      </c>
      <c r="K323" s="5">
        <f>I323*J323</f>
        <v/>
      </c>
      <c r="L323" s="4">
        <f>IF(U323&lt;&gt;"",U323,IF(K323&gt;=Umbrales!$B$2,"Legendaria",IF(K323&gt;=Umbrales!$B$3,"Épica",IF(K323&gt;=Umbrales!$B$4,"Rara",IF(K323&gt;=Umbrales!$B$5,"Poco común","Común")))))</f>
        <v/>
      </c>
      <c r="M323" s="5" t="n">
        <v>91423.99795200001</v>
      </c>
      <c r="N323" s="5" t="n">
        <v>2238.000128</v>
      </c>
      <c r="O323" s="5">
        <f>IF(M323="","",M323*J323)</f>
        <v/>
      </c>
      <c r="P323" s="5">
        <f>IF(N323="","",N323*J323)</f>
        <v/>
      </c>
      <c r="Q323" s="7" t="n">
        <v>0.0392</v>
      </c>
      <c r="R323" s="8" t="n">
        <v>12.90873</v>
      </c>
      <c r="S323" s="4" t="inlineStr">
        <is>
          <t>EUROSTOXX50</t>
        </is>
      </c>
      <c r="T323" s="9" t="inlineStr">
        <is>
          <t>SI</t>
        </is>
      </c>
      <c r="U323" s="9" t="inlineStr"/>
      <c r="V323" s="10">
        <f>Umbrales!$B$9*(K323/1000)^Umbrales!$B$10</f>
        <v/>
      </c>
    </row>
    <row r="324">
      <c r="A324" s="4" t="inlineStr">
        <is>
          <t>NTGY.MC</t>
        </is>
      </c>
      <c r="B324" s="4" t="inlineStr">
        <is>
          <t>Naturgy Energy Group, S.A.</t>
        </is>
      </c>
      <c r="C324" s="4" t="inlineStr">
        <is>
          <t>Spain</t>
        </is>
      </c>
      <c r="D324" s="4" t="inlineStr">
        <is>
          <t>ES</t>
        </is>
      </c>
      <c r="E324" s="4" t="inlineStr">
        <is>
          <t>Servicios públicos</t>
        </is>
      </c>
      <c r="F324" s="4" t="inlineStr">
        <is>
          <t>Utilities - Regulated Gas</t>
        </is>
      </c>
      <c r="G324" s="4" t="inlineStr">
        <is>
          <t>MCE</t>
        </is>
      </c>
      <c r="H324" s="4" t="inlineStr">
        <is>
          <t>EUR</t>
        </is>
      </c>
      <c r="I324" s="5" t="n">
        <v>28384.698368</v>
      </c>
      <c r="J324" s="6">
        <f>INDEX(FX!$B:$B,MATCH(H324,FX!$A:$A,0))</f>
        <v/>
      </c>
      <c r="K324" s="5">
        <f>I324*J324</f>
        <v/>
      </c>
      <c r="L324" s="4">
        <f>IF(U324&lt;&gt;"",U324,IF(K324&gt;=Umbrales!$B$2,"Legendaria",IF(K324&gt;=Umbrales!$B$3,"Épica",IF(K324&gt;=Umbrales!$B$4,"Rara",IF(K324&gt;=Umbrales!$B$5,"Poco común","Común")))))</f>
        <v/>
      </c>
      <c r="M324" s="5" t="n">
        <v>19591.000064</v>
      </c>
      <c r="N324" s="5" t="n">
        <v>2091.000064</v>
      </c>
      <c r="O324" s="5">
        <f>IF(M324="","",M324*J324)</f>
        <v/>
      </c>
      <c r="P324" s="5">
        <f>IF(N324="","",N324*J324)</f>
        <v/>
      </c>
      <c r="Q324" s="7" t="n">
        <v>0.0786</v>
      </c>
      <c r="R324" s="8" t="n">
        <v>14.119815</v>
      </c>
      <c r="S324" s="4" t="inlineStr">
        <is>
          <t>IBEX35</t>
        </is>
      </c>
      <c r="T324" s="9" t="inlineStr">
        <is>
          <t>SI</t>
        </is>
      </c>
      <c r="U324" s="9" t="inlineStr"/>
      <c r="V324" s="10">
        <f>Umbrales!$B$9*(K324/1000)^Umbrales!$B$10</f>
        <v/>
      </c>
    </row>
    <row r="325">
      <c r="A325" s="4" t="inlineStr">
        <is>
          <t>DXCM</t>
        </is>
      </c>
      <c r="B325" s="4" t="inlineStr">
        <is>
          <t>DexCom, Inc.</t>
        </is>
      </c>
      <c r="C325" s="4" t="inlineStr">
        <is>
          <t>United States</t>
        </is>
      </c>
      <c r="D325" s="4" t="inlineStr">
        <is>
          <t>US</t>
        </is>
      </c>
      <c r="E325" s="4" t="inlineStr">
        <is>
          <t>Salud</t>
        </is>
      </c>
      <c r="F325" s="4" t="inlineStr">
        <is>
          <t>Medical Devices</t>
        </is>
      </c>
      <c r="G325" s="4" t="inlineStr">
        <is>
          <t>NMS</t>
        </is>
      </c>
      <c r="H325" s="4" t="inlineStr">
        <is>
          <t>USD</t>
        </is>
      </c>
      <c r="I325" s="5" t="n">
        <v>31498.303488</v>
      </c>
      <c r="J325" s="6">
        <f>INDEX(FX!$B:$B,MATCH(H325,FX!$A:$A,0))</f>
        <v/>
      </c>
      <c r="K325" s="5">
        <f>I325*J325</f>
        <v/>
      </c>
      <c r="L325" s="4">
        <f>IF(U325&lt;&gt;"",U325,IF(K325&gt;=Umbrales!$B$2,"Legendaria",IF(K325&gt;=Umbrales!$B$3,"Épica",IF(K325&gt;=Umbrales!$B$4,"Rara",IF(K325&gt;=Umbrales!$B$5,"Poco común","Común")))))</f>
        <v/>
      </c>
      <c r="M325" s="5" t="n">
        <v>4969.200128</v>
      </c>
      <c r="N325" s="5" t="n">
        <v>999.699968</v>
      </c>
      <c r="O325" s="5">
        <f>IF(M325="","",M325*J325)</f>
        <v/>
      </c>
      <c r="P325" s="5">
        <f>IF(N325="","",N325*J325)</f>
        <v/>
      </c>
      <c r="Q325" s="7" t="n">
        <v>0</v>
      </c>
      <c r="R325" s="8" t="n">
        <v>33.79352</v>
      </c>
      <c r="S325" s="4" t="inlineStr">
        <is>
          <t>NASDAQ100</t>
        </is>
      </c>
      <c r="T325" s="9" t="inlineStr">
        <is>
          <t>SI</t>
        </is>
      </c>
      <c r="U325" s="9" t="inlineStr"/>
      <c r="V325" s="10">
        <f>Umbrales!$B$9*(K325/1000)^Umbrales!$B$10</f>
        <v/>
      </c>
    </row>
    <row r="326">
      <c r="A326" s="4" t="inlineStr">
        <is>
          <t>GEHC</t>
        </is>
      </c>
      <c r="B326" s="4" t="inlineStr">
        <is>
          <t>GE HealthCare Technologies Inc.</t>
        </is>
      </c>
      <c r="C326" s="4" t="inlineStr">
        <is>
          <t>United States</t>
        </is>
      </c>
      <c r="D326" s="4" t="inlineStr">
        <is>
          <t>US</t>
        </is>
      </c>
      <c r="E326" s="4" t="inlineStr">
        <is>
          <t>Salud</t>
        </is>
      </c>
      <c r="F326" s="4" t="inlineStr">
        <is>
          <t>Medical Devices</t>
        </is>
      </c>
      <c r="G326" s="4" t="inlineStr">
        <is>
          <t>NMS</t>
        </is>
      </c>
      <c r="H326" s="4" t="inlineStr">
        <is>
          <t>USD</t>
        </is>
      </c>
      <c r="I326" s="5" t="n">
        <v>31146.440704</v>
      </c>
      <c r="J326" s="6">
        <f>INDEX(FX!$B:$B,MATCH(H326,FX!$A:$A,0))</f>
        <v/>
      </c>
      <c r="K326" s="5">
        <f>I326*J326</f>
        <v/>
      </c>
      <c r="L326" s="4">
        <f>IF(U326&lt;&gt;"",U326,IF(K326&gt;=Umbrales!$B$2,"Legendaria",IF(K326&gt;=Umbrales!$B$3,"Épica",IF(K326&gt;=Umbrales!$B$4,"Rara",IF(K326&gt;=Umbrales!$B$5,"Poco común","Común")))))</f>
        <v/>
      </c>
      <c r="M326" s="5" t="n">
        <v>21265.999872</v>
      </c>
      <c r="N326" s="5" t="n">
        <v>1984.999936</v>
      </c>
      <c r="O326" s="5">
        <f>IF(M326="","",M326*J326)</f>
        <v/>
      </c>
      <c r="P326" s="5">
        <f>IF(N326="","",N326*J326)</f>
        <v/>
      </c>
      <c r="Q326" s="7" t="n">
        <v>0.0023</v>
      </c>
      <c r="R326" s="8" t="n">
        <v>15.812934</v>
      </c>
      <c r="S326" s="4" t="inlineStr">
        <is>
          <t>NASDAQ100</t>
        </is>
      </c>
      <c r="T326" s="9" t="inlineStr">
        <is>
          <t>SI</t>
        </is>
      </c>
      <c r="U326" s="9" t="inlineStr"/>
      <c r="V326" s="10">
        <f>Umbrales!$B$9*(K326/1000)^Umbrales!$B$10</f>
        <v/>
      </c>
    </row>
    <row r="327">
      <c r="A327" s="4" t="inlineStr">
        <is>
          <t>ZTS</t>
        </is>
      </c>
      <c r="B327" s="4" t="inlineStr">
        <is>
          <t>Zoetis Inc.</t>
        </is>
      </c>
      <c r="C327" s="4" t="inlineStr">
        <is>
          <t>United States</t>
        </is>
      </c>
      <c r="D327" s="4" t="inlineStr">
        <is>
          <t>US</t>
        </is>
      </c>
      <c r="E327" s="4" t="inlineStr">
        <is>
          <t>Salud</t>
        </is>
      </c>
      <c r="F327" s="4" t="inlineStr">
        <is>
          <t>Drug Manufacturers - Specialty &amp; Generic</t>
        </is>
      </c>
      <c r="G327" s="4" t="inlineStr">
        <is>
          <t>NYQ</t>
        </is>
      </c>
      <c r="H327" s="4" t="inlineStr">
        <is>
          <t>USD</t>
        </is>
      </c>
      <c r="I327" s="5" t="n">
        <v>31111.606272</v>
      </c>
      <c r="J327" s="6">
        <f>INDEX(FX!$B:$B,MATCH(H327,FX!$A:$A,0))</f>
        <v/>
      </c>
      <c r="K327" s="5">
        <f>I327*J327</f>
        <v/>
      </c>
      <c r="L327" s="4">
        <f>IF(U327&lt;&gt;"",U327,IF(K327&gt;=Umbrales!$B$2,"Legendaria",IF(K327&gt;=Umbrales!$B$3,"Épica",IF(K327&gt;=Umbrales!$B$4,"Rara",IF(K327&gt;=Umbrales!$B$5,"Poco común","Común")))))</f>
        <v/>
      </c>
      <c r="M327" s="5" t="n">
        <v>9525.000192</v>
      </c>
      <c r="N327" s="5" t="n">
        <v>2636.999936</v>
      </c>
      <c r="O327" s="5">
        <f>IF(M327="","",M327*J327)</f>
        <v/>
      </c>
      <c r="P327" s="5">
        <f>IF(N327="","",N327*J327)</f>
        <v/>
      </c>
      <c r="Q327" s="7" t="n">
        <v>0.0285</v>
      </c>
      <c r="R327" s="8" t="n">
        <v>12.383224</v>
      </c>
      <c r="S327" s="4" t="inlineStr"/>
      <c r="T327" s="9" t="inlineStr">
        <is>
          <t>SI</t>
        </is>
      </c>
      <c r="U327" s="9" t="inlineStr"/>
      <c r="V327" s="10">
        <f>Umbrales!$B$9*(K327/1000)^Umbrales!$B$10</f>
        <v/>
      </c>
    </row>
    <row r="328">
      <c r="A328" s="4" t="inlineStr">
        <is>
          <t>ADS.DE</t>
        </is>
      </c>
      <c r="B328" s="4" t="inlineStr">
        <is>
          <t>adidas AG</t>
        </is>
      </c>
      <c r="C328" s="4" t="inlineStr">
        <is>
          <t>Germany</t>
        </is>
      </c>
      <c r="D328" s="4" t="inlineStr">
        <is>
          <t>DE</t>
        </is>
      </c>
      <c r="E328" s="4" t="inlineStr">
        <is>
          <t>Consumo cíclico</t>
        </is>
      </c>
      <c r="F328" s="4" t="inlineStr">
        <is>
          <t>Footwear &amp; Accessories</t>
        </is>
      </c>
      <c r="G328" s="4" t="inlineStr">
        <is>
          <t>GER</t>
        </is>
      </c>
      <c r="H328" s="4" t="inlineStr">
        <is>
          <t>EUR</t>
        </is>
      </c>
      <c r="I328" s="5" t="n">
        <v>27327.315968</v>
      </c>
      <c r="J328" s="6">
        <f>INDEX(FX!$B:$B,MATCH(H328,FX!$A:$A,0))</f>
        <v/>
      </c>
      <c r="K328" s="5">
        <f>I328*J328</f>
        <v/>
      </c>
      <c r="L328" s="4">
        <f>IF(U328&lt;&gt;"",U328,IF(K328&gt;=Umbrales!$B$2,"Legendaria",IF(K328&gt;=Umbrales!$B$3,"Épica",IF(K328&gt;=Umbrales!$B$4,"Rara",IF(K328&gt;=Umbrales!$B$5,"Poco común","Común")))))</f>
        <v/>
      </c>
      <c r="M328" s="5" t="n">
        <v>26040.999936</v>
      </c>
      <c r="N328" s="5" t="n">
        <v>1380.999936</v>
      </c>
      <c r="O328" s="5">
        <f>IF(M328="","",M328*J328)</f>
        <v/>
      </c>
      <c r="P328" s="5">
        <f>IF(N328="","",N328*J328)</f>
        <v/>
      </c>
      <c r="Q328" s="7" t="n">
        <v>0.0191</v>
      </c>
      <c r="R328" s="8" t="n">
        <v>19.153376</v>
      </c>
      <c r="S328" s="4" t="inlineStr">
        <is>
          <t>DAX40, EUROSTOXX50</t>
        </is>
      </c>
      <c r="T328" s="9" t="inlineStr">
        <is>
          <t>SI</t>
        </is>
      </c>
      <c r="U328" s="9" t="inlineStr"/>
      <c r="V328" s="10">
        <f>Umbrales!$B$9*(K328/1000)^Umbrales!$B$10</f>
        <v/>
      </c>
    </row>
    <row r="329">
      <c r="A329" s="4" t="inlineStr">
        <is>
          <t>KER.PA</t>
        </is>
      </c>
      <c r="B329" s="4" t="inlineStr">
        <is>
          <t>Kering SA</t>
        </is>
      </c>
      <c r="C329" s="4" t="inlineStr">
        <is>
          <t>France</t>
        </is>
      </c>
      <c r="D329" s="4" t="inlineStr">
        <is>
          <t>FR</t>
        </is>
      </c>
      <c r="E329" s="4" t="inlineStr">
        <is>
          <t>Consumo cíclico</t>
        </is>
      </c>
      <c r="F329" s="4" t="inlineStr">
        <is>
          <t>Luxury Goods</t>
        </is>
      </c>
      <c r="G329" s="4" t="inlineStr">
        <is>
          <t>PAR</t>
        </is>
      </c>
      <c r="H329" s="4" t="inlineStr">
        <is>
          <t>EUR</t>
        </is>
      </c>
      <c r="I329" s="5" t="n">
        <v>26393.546752</v>
      </c>
      <c r="J329" s="6">
        <f>INDEX(FX!$B:$B,MATCH(H329,FX!$A:$A,0))</f>
        <v/>
      </c>
      <c r="K329" s="5">
        <f>I329*J329</f>
        <v/>
      </c>
      <c r="L329" s="4">
        <f>IF(U329&lt;&gt;"",U329,IF(K329&gt;=Umbrales!$B$2,"Legendaria",IF(K329&gt;=Umbrales!$B$3,"Épica",IF(K329&gt;=Umbrales!$B$4,"Rara",IF(K329&gt;=Umbrales!$B$5,"Poco común","Común")))))</f>
        <v/>
      </c>
      <c r="M329" s="5" t="n">
        <v>14456.000512</v>
      </c>
      <c r="N329" s="5" t="n">
        <v>-322</v>
      </c>
      <c r="O329" s="5">
        <f>IF(M329="","",M329*J329)</f>
        <v/>
      </c>
      <c r="P329" s="5">
        <f>IF(N329="","",N329*J329)</f>
        <v/>
      </c>
      <c r="Q329" s="7" t="n">
        <v>0.0143</v>
      </c>
      <c r="R329" s="8" t="n"/>
      <c r="S329" s="4" t="inlineStr">
        <is>
          <t>EUROSTOXX50</t>
        </is>
      </c>
      <c r="T329" s="9" t="inlineStr">
        <is>
          <t>SI</t>
        </is>
      </c>
      <c r="U329" s="9" t="inlineStr"/>
      <c r="V329" s="10">
        <f>Umbrales!$B$9*(K329/1000)^Umbrales!$B$10</f>
        <v/>
      </c>
    </row>
    <row r="330">
      <c r="A330" s="4" t="inlineStr">
        <is>
          <t>CTSH</t>
        </is>
      </c>
      <c r="B330" s="4" t="inlineStr">
        <is>
          <t>Cognizant Technology Solutions Corporation</t>
        </is>
      </c>
      <c r="C330" s="4" t="inlineStr">
        <is>
          <t>United States</t>
        </is>
      </c>
      <c r="D330" s="4" t="inlineStr">
        <is>
          <t>US</t>
        </is>
      </c>
      <c r="E330" s="4" t="inlineStr">
        <is>
          <t>Tecnología</t>
        </is>
      </c>
      <c r="F330" s="4" t="inlineStr">
        <is>
          <t>Information Technology Services</t>
        </is>
      </c>
      <c r="G330" s="4" t="inlineStr">
        <is>
          <t>NMS</t>
        </is>
      </c>
      <c r="H330" s="4" t="inlineStr">
        <is>
          <t>USD</t>
        </is>
      </c>
      <c r="I330" s="5" t="n">
        <v>29548.310528</v>
      </c>
      <c r="J330" s="6">
        <f>INDEX(FX!$B:$B,MATCH(H330,FX!$A:$A,0))</f>
        <v/>
      </c>
      <c r="K330" s="5">
        <f>I330*J330</f>
        <v/>
      </c>
      <c r="L330" s="4">
        <f>IF(U330&lt;&gt;"",U330,IF(K330&gt;=Umbrales!$B$2,"Legendaria",IF(K330&gt;=Umbrales!$B$3,"Épica",IF(K330&gt;=Umbrales!$B$4,"Rara",IF(K330&gt;=Umbrales!$B$5,"Poco común","Común")))))</f>
        <v/>
      </c>
      <c r="M330" s="5" t="n">
        <v>21642.000384</v>
      </c>
      <c r="N330" s="5" t="n">
        <v>2220</v>
      </c>
      <c r="O330" s="5">
        <f>IF(M330="","",M330*J330)</f>
        <v/>
      </c>
      <c r="P330" s="5">
        <f>IF(N330="","",N330*J330)</f>
        <v/>
      </c>
      <c r="Q330" s="7" t="n">
        <v>0.0215</v>
      </c>
      <c r="R330" s="8" t="n">
        <v>13.434408</v>
      </c>
      <c r="S330" s="4" t="inlineStr">
        <is>
          <t>NASDAQ100</t>
        </is>
      </c>
      <c r="T330" s="9" t="inlineStr">
        <is>
          <t>SI</t>
        </is>
      </c>
      <c r="U330" s="9" t="inlineStr"/>
      <c r="V330" s="10">
        <f>Umbrales!$B$9*(K330/1000)^Umbrales!$B$10</f>
        <v/>
      </c>
    </row>
    <row r="331">
      <c r="A331" s="4" t="inlineStr">
        <is>
          <t>ON</t>
        </is>
      </c>
      <c r="B331" s="4" t="inlineStr">
        <is>
          <t>ON Semiconductor Corporation</t>
        </is>
      </c>
      <c r="C331" s="4" t="inlineStr">
        <is>
          <t>United States</t>
        </is>
      </c>
      <c r="D331" s="4" t="inlineStr">
        <is>
          <t>US</t>
        </is>
      </c>
      <c r="E331" s="4" t="inlineStr">
        <is>
          <t>Tecnología</t>
        </is>
      </c>
      <c r="F331" s="4" t="inlineStr">
        <is>
          <t>Semiconductors</t>
        </is>
      </c>
      <c r="G331" s="4" t="inlineStr">
        <is>
          <t>NMS</t>
        </is>
      </c>
      <c r="H331" s="4" t="inlineStr">
        <is>
          <t>USD</t>
        </is>
      </c>
      <c r="I331" s="5" t="n">
        <v>28560.41472</v>
      </c>
      <c r="J331" s="6">
        <f>INDEX(FX!$B:$B,MATCH(H331,FX!$A:$A,0))</f>
        <v/>
      </c>
      <c r="K331" s="5">
        <f>I331*J331</f>
        <v/>
      </c>
      <c r="L331" s="4">
        <f>IF(U331&lt;&gt;"",U331,IF(K331&gt;=Umbrales!$B$2,"Legendaria",IF(K331&gt;=Umbrales!$B$3,"Épica",IF(K331&gt;=Umbrales!$B$4,"Rara",IF(K331&gt;=Umbrales!$B$5,"Poco común","Común")))))</f>
        <v/>
      </c>
      <c r="M331" s="5" t="n">
        <v>6197.799936</v>
      </c>
      <c r="N331" s="5" t="n">
        <v>630.2</v>
      </c>
      <c r="O331" s="5">
        <f>IF(M331="","",M331*J331)</f>
        <v/>
      </c>
      <c r="P331" s="5">
        <f>IF(N331="","",N331*J331)</f>
        <v/>
      </c>
      <c r="Q331" s="7" t="n">
        <v>0</v>
      </c>
      <c r="R331" s="8" t="n">
        <v>47.329033</v>
      </c>
      <c r="S331" s="4" t="inlineStr">
        <is>
          <t>NASDAQ100</t>
        </is>
      </c>
      <c r="T331" s="9" t="inlineStr">
        <is>
          <t>SI</t>
        </is>
      </c>
      <c r="U331" s="9" t="inlineStr"/>
      <c r="V331" s="10">
        <f>Umbrales!$B$9*(K331/1000)^Umbrales!$B$10</f>
        <v/>
      </c>
    </row>
    <row r="332">
      <c r="A332" s="4" t="inlineStr">
        <is>
          <t>HEI.DE</t>
        </is>
      </c>
      <c r="B332" s="4" t="inlineStr">
        <is>
          <t>Heidelberg Materials AG</t>
        </is>
      </c>
      <c r="C332" s="4" t="inlineStr">
        <is>
          <t>Germany</t>
        </is>
      </c>
      <c r="D332" s="4" t="inlineStr">
        <is>
          <t>DE</t>
        </is>
      </c>
      <c r="E332" s="4" t="inlineStr">
        <is>
          <t>Materiales</t>
        </is>
      </c>
      <c r="F332" s="4" t="inlineStr">
        <is>
          <t>Building Materials</t>
        </is>
      </c>
      <c r="G332" s="4" t="inlineStr">
        <is>
          <t>GER</t>
        </is>
      </c>
      <c r="H332" s="4" t="inlineStr">
        <is>
          <t>EUR</t>
        </is>
      </c>
      <c r="I332" s="5" t="n">
        <v>24972.660736</v>
      </c>
      <c r="J332" s="6">
        <f>INDEX(FX!$B:$B,MATCH(H332,FX!$A:$A,0))</f>
        <v/>
      </c>
      <c r="K332" s="5">
        <f>I332*J332</f>
        <v/>
      </c>
      <c r="L332" s="4">
        <f>IF(U332&lt;&gt;"",U332,IF(K332&gt;=Umbrales!$B$2,"Legendaria",IF(K332&gt;=Umbrales!$B$3,"Épica",IF(K332&gt;=Umbrales!$B$4,"Rara",IF(K332&gt;=Umbrales!$B$5,"Poco común","Común")))))</f>
        <v/>
      </c>
      <c r="M332" s="5" t="n">
        <v>21734.100992</v>
      </c>
      <c r="N332" s="5" t="n">
        <v>2033.900032</v>
      </c>
      <c r="O332" s="5">
        <f>IF(M332="","",M332*J332)</f>
        <v/>
      </c>
      <c r="P332" s="5">
        <f>IF(N332="","",N332*J332)</f>
        <v/>
      </c>
      <c r="Q332" s="7" t="n">
        <v>0.0254</v>
      </c>
      <c r="R332" s="8" t="n">
        <v>12.352174</v>
      </c>
      <c r="S332" s="4" t="inlineStr">
        <is>
          <t>DAX40</t>
        </is>
      </c>
      <c r="T332" s="9" t="inlineStr">
        <is>
          <t>SI</t>
        </is>
      </c>
      <c r="U332" s="9" t="inlineStr"/>
      <c r="V332" s="10">
        <f>Umbrales!$B$9*(K332/1000)^Umbrales!$B$10</f>
        <v/>
      </c>
    </row>
    <row r="333">
      <c r="A333" s="4" t="inlineStr">
        <is>
          <t>FRE.DE</t>
        </is>
      </c>
      <c r="B333" s="4" t="inlineStr">
        <is>
          <t>Fresenius SE &amp; Co. KGaA</t>
        </is>
      </c>
      <c r="C333" s="4" t="inlineStr">
        <is>
          <t>Germany</t>
        </is>
      </c>
      <c r="D333" s="4" t="inlineStr">
        <is>
          <t>DE</t>
        </is>
      </c>
      <c r="E333" s="4" t="inlineStr">
        <is>
          <t>Salud</t>
        </is>
      </c>
      <c r="F333" s="4" t="inlineStr">
        <is>
          <t>Medical Care Facilities</t>
        </is>
      </c>
      <c r="G333" s="4" t="inlineStr">
        <is>
          <t>GER</t>
        </is>
      </c>
      <c r="H333" s="4" t="inlineStr">
        <is>
          <t>EUR</t>
        </is>
      </c>
      <c r="I333" s="5" t="n">
        <v>24709.218304</v>
      </c>
      <c r="J333" s="6">
        <f>INDEX(FX!$B:$B,MATCH(H333,FX!$A:$A,0))</f>
        <v/>
      </c>
      <c r="K333" s="5">
        <f>I333*J333</f>
        <v/>
      </c>
      <c r="L333" s="4">
        <f>IF(U333&lt;&gt;"",U333,IF(K333&gt;=Umbrales!$B$2,"Legendaria",IF(K333&gt;=Umbrales!$B$3,"Épica",IF(K333&gt;=Umbrales!$B$4,"Rara",IF(K333&gt;=Umbrales!$B$5,"Poco común","Común")))))</f>
        <v/>
      </c>
      <c r="M333" s="5" t="n">
        <v>23281.000448</v>
      </c>
      <c r="N333" s="5" t="n">
        <v>1563.000064</v>
      </c>
      <c r="O333" s="5">
        <f>IF(M333="","",M333*J333)</f>
        <v/>
      </c>
      <c r="P333" s="5">
        <f>IF(N333="","",N333*J333)</f>
        <v/>
      </c>
      <c r="Q333" s="7" t="n">
        <v>0.0243</v>
      </c>
      <c r="R333" s="8" t="n">
        <v>16.18819</v>
      </c>
      <c r="S333" s="4" t="inlineStr">
        <is>
          <t>DAX40</t>
        </is>
      </c>
      <c r="T333" s="9" t="inlineStr">
        <is>
          <t>SI</t>
        </is>
      </c>
      <c r="U333" s="9" t="inlineStr"/>
      <c r="V333" s="10">
        <f>Umbrales!$B$9*(K333/1000)^Umbrales!$B$10</f>
        <v/>
      </c>
    </row>
    <row r="334">
      <c r="A334" s="4" t="inlineStr">
        <is>
          <t>HPQ</t>
        </is>
      </c>
      <c r="B334" s="4" t="inlineStr">
        <is>
          <t>HP Inc.</t>
        </is>
      </c>
      <c r="C334" s="4" t="inlineStr">
        <is>
          <t>United States</t>
        </is>
      </c>
      <c r="D334" s="4" t="inlineStr">
        <is>
          <t>US</t>
        </is>
      </c>
      <c r="E334" s="4" t="inlineStr">
        <is>
          <t>Tecnología</t>
        </is>
      </c>
      <c r="F334" s="4" t="inlineStr">
        <is>
          <t>Computer Hardware</t>
        </is>
      </c>
      <c r="G334" s="4" t="inlineStr">
        <is>
          <t>NYQ</t>
        </is>
      </c>
      <c r="H334" s="4" t="inlineStr">
        <is>
          <t>USD</t>
        </is>
      </c>
      <c r="I334" s="5" t="n">
        <v>27468.552192</v>
      </c>
      <c r="J334" s="6">
        <f>INDEX(FX!$B:$B,MATCH(H334,FX!$A:$A,0))</f>
        <v/>
      </c>
      <c r="K334" s="5">
        <f>I334*J334</f>
        <v/>
      </c>
      <c r="L334" s="4">
        <f>IF(U334&lt;&gt;"",U334,IF(K334&gt;=Umbrales!$B$2,"Legendaria",IF(K334&gt;=Umbrales!$B$3,"Épica",IF(K334&gt;=Umbrales!$B$4,"Rara",IF(K334&gt;=Umbrales!$B$5,"Poco común","Común")))))</f>
        <v/>
      </c>
      <c r="M334" s="5" t="n">
        <v>59162.001408</v>
      </c>
      <c r="N334" s="5" t="n">
        <v>2451.000064</v>
      </c>
      <c r="O334" s="5">
        <f>IF(M334="","",M334*J334)</f>
        <v/>
      </c>
      <c r="P334" s="5">
        <f>IF(N334="","",N334*J334)</f>
        <v/>
      </c>
      <c r="Q334" s="7" t="n">
        <v>0.0392</v>
      </c>
      <c r="R334" s="8" t="n">
        <v>11.670498</v>
      </c>
      <c r="S334" s="4" t="inlineStr"/>
      <c r="T334" s="9" t="inlineStr">
        <is>
          <t>SI</t>
        </is>
      </c>
      <c r="U334" s="9" t="inlineStr"/>
      <c r="V334" s="10">
        <f>Umbrales!$B$9*(K334/1000)^Umbrales!$B$10</f>
        <v/>
      </c>
    </row>
    <row r="335">
      <c r="A335" s="4" t="inlineStr">
        <is>
          <t>GFS</t>
        </is>
      </c>
      <c r="B335" s="4" t="inlineStr">
        <is>
          <t>GLOBALFOUNDRIES Inc.</t>
        </is>
      </c>
      <c r="C335" s="4" t="inlineStr">
        <is>
          <t>United States</t>
        </is>
      </c>
      <c r="D335" s="4" t="inlineStr">
        <is>
          <t>US</t>
        </is>
      </c>
      <c r="E335" s="4" t="inlineStr">
        <is>
          <t>Tecnología</t>
        </is>
      </c>
      <c r="F335" s="4" t="inlineStr">
        <is>
          <t>Semiconductors</t>
        </is>
      </c>
      <c r="G335" s="4" t="inlineStr">
        <is>
          <t>NMS</t>
        </is>
      </c>
      <c r="H335" s="4" t="inlineStr">
        <is>
          <t>USD</t>
        </is>
      </c>
      <c r="I335" s="5" t="n">
        <v>27280.06656</v>
      </c>
      <c r="J335" s="6">
        <f>INDEX(FX!$B:$B,MATCH(H335,FX!$A:$A,0))</f>
        <v/>
      </c>
      <c r="K335" s="5">
        <f>I335*J335</f>
        <v/>
      </c>
      <c r="L335" s="4">
        <f>IF(U335&lt;&gt;"",U335,IF(K335&gt;=Umbrales!$B$2,"Legendaria",IF(K335&gt;=Umbrales!$B$3,"Épica",IF(K335&gt;=Umbrales!$B$4,"Rara",IF(K335&gt;=Umbrales!$B$5,"Poco común","Común")))))</f>
        <v/>
      </c>
      <c r="M335" s="5" t="n">
        <v>6937.999872</v>
      </c>
      <c r="N335" s="5" t="n">
        <v>716</v>
      </c>
      <c r="O335" s="5">
        <f>IF(M335="","",M335*J335)</f>
        <v/>
      </c>
      <c r="P335" s="5">
        <f>IF(N335="","",N335*J335)</f>
        <v/>
      </c>
      <c r="Q335" s="7" t="n">
        <v>0.0103</v>
      </c>
      <c r="R335" s="8" t="n">
        <v>36.522385</v>
      </c>
      <c r="S335" s="4" t="inlineStr">
        <is>
          <t>NASDAQ100</t>
        </is>
      </c>
      <c r="T335" s="9" t="inlineStr">
        <is>
          <t>SI</t>
        </is>
      </c>
      <c r="U335" s="9" t="inlineStr"/>
      <c r="V335" s="10">
        <f>Umbrales!$B$9*(K335/1000)^Umbrales!$B$10</f>
        <v/>
      </c>
    </row>
    <row r="336">
      <c r="A336" s="4" t="inlineStr">
        <is>
          <t>KHC</t>
        </is>
      </c>
      <c r="B336" s="4" t="inlineStr">
        <is>
          <t>The Kraft Heinz Company</t>
        </is>
      </c>
      <c r="C336" s="4" t="inlineStr">
        <is>
          <t>United States</t>
        </is>
      </c>
      <c r="D336" s="4" t="inlineStr">
        <is>
          <t>US</t>
        </is>
      </c>
      <c r="E336" s="4" t="inlineStr">
        <is>
          <t>Consumo básico</t>
        </is>
      </c>
      <c r="F336" s="4" t="inlineStr">
        <is>
          <t>Packaged Foods</t>
        </is>
      </c>
      <c r="G336" s="4" t="inlineStr">
        <is>
          <t>NYQ</t>
        </is>
      </c>
      <c r="H336" s="4" t="inlineStr">
        <is>
          <t>USD</t>
        </is>
      </c>
      <c r="I336" s="5" t="n">
        <v>26918.199296</v>
      </c>
      <c r="J336" s="6">
        <f>INDEX(FX!$B:$B,MATCH(H336,FX!$A:$A,0))</f>
        <v/>
      </c>
      <c r="K336" s="5">
        <f>I336*J336</f>
        <v/>
      </c>
      <c r="L336" s="4">
        <f>IF(U336&lt;&gt;"",U336,IF(K336&gt;=Umbrales!$B$2,"Legendaria",IF(K336&gt;=Umbrales!$B$3,"Épica",IF(K336&gt;=Umbrales!$B$4,"Rara",IF(K336&gt;=Umbrales!$B$5,"Poco común","Común")))))</f>
        <v/>
      </c>
      <c r="M336" s="5" t="n">
        <v>24899.999744</v>
      </c>
      <c r="N336" s="5" t="n">
        <v>-3396</v>
      </c>
      <c r="O336" s="5">
        <f>IF(M336="","",M336*J336)</f>
        <v/>
      </c>
      <c r="P336" s="5">
        <f>IF(N336="","",N336*J336)</f>
        <v/>
      </c>
      <c r="Q336" s="7" t="n">
        <v>0.0713</v>
      </c>
      <c r="R336" s="8" t="n"/>
      <c r="S336" s="4" t="inlineStr">
        <is>
          <t>NASDAQ100</t>
        </is>
      </c>
      <c r="T336" s="9" t="inlineStr">
        <is>
          <t>SI</t>
        </is>
      </c>
      <c r="U336" s="9" t="inlineStr"/>
      <c r="V336" s="10">
        <f>Umbrales!$B$9*(K336/1000)^Umbrales!$B$10</f>
        <v/>
      </c>
    </row>
    <row r="337">
      <c r="A337" s="4" t="inlineStr">
        <is>
          <t>OTIS</t>
        </is>
      </c>
      <c r="B337" s="4" t="inlineStr">
        <is>
          <t>Otis Worldwide Corporation</t>
        </is>
      </c>
      <c r="C337" s="4" t="inlineStr">
        <is>
          <t>United States</t>
        </is>
      </c>
      <c r="D337" s="4" t="inlineStr">
        <is>
          <t>US</t>
        </is>
      </c>
      <c r="E337" s="4" t="inlineStr">
        <is>
          <t>Industria</t>
        </is>
      </c>
      <c r="F337" s="4" t="inlineStr">
        <is>
          <t>Specialty Industrial Machinery</t>
        </is>
      </c>
      <c r="G337" s="4" t="inlineStr">
        <is>
          <t>NYQ</t>
        </is>
      </c>
      <c r="H337" s="4" t="inlineStr">
        <is>
          <t>USD</t>
        </is>
      </c>
      <c r="I337" s="5" t="n">
        <v>26308.059136</v>
      </c>
      <c r="J337" s="6">
        <f>INDEX(FX!$B:$B,MATCH(H337,FX!$A:$A,0))</f>
        <v/>
      </c>
      <c r="K337" s="5">
        <f>I337*J337</f>
        <v/>
      </c>
      <c r="L337" s="4">
        <f>IF(U337&lt;&gt;"",U337,IF(K337&gt;=Umbrales!$B$2,"Legendaria",IF(K337&gt;=Umbrales!$B$3,"Épica",IF(K337&gt;=Umbrales!$B$4,"Rara",IF(K337&gt;=Umbrales!$B$5,"Poco común","Común")))))</f>
        <v/>
      </c>
      <c r="M337" s="5" t="n">
        <v>14910.999552</v>
      </c>
      <c r="N337" s="5" t="n">
        <v>1516</v>
      </c>
      <c r="O337" s="5">
        <f>IF(M337="","",M337*J337)</f>
        <v/>
      </c>
      <c r="P337" s="5">
        <f>IF(N337="","",N337*J337)</f>
        <v/>
      </c>
      <c r="Q337" s="7" t="n">
        <v>0.026</v>
      </c>
      <c r="R337" s="8" t="n">
        <v>17.40806</v>
      </c>
      <c r="S337" s="4" t="inlineStr"/>
      <c r="T337" s="9" t="inlineStr">
        <is>
          <t>SI</t>
        </is>
      </c>
      <c r="U337" s="9" t="inlineStr"/>
      <c r="V337" s="10">
        <f>Umbrales!$B$9*(K337/1000)^Umbrales!$B$10</f>
        <v/>
      </c>
    </row>
    <row r="338">
      <c r="A338" s="4" t="inlineStr">
        <is>
          <t>ACS.MC</t>
        </is>
      </c>
      <c r="B338" s="4" t="inlineStr">
        <is>
          <t>ACS, Actividades de Construcción y Servicios, S.A.</t>
        </is>
      </c>
      <c r="C338" s="4" t="inlineStr">
        <is>
          <t>Spain</t>
        </is>
      </c>
      <c r="D338" s="4" t="inlineStr">
        <is>
          <t>ES</t>
        </is>
      </c>
      <c r="E338" s="4" t="inlineStr">
        <is>
          <t>Industria</t>
        </is>
      </c>
      <c r="F338" s="4" t="inlineStr">
        <is>
          <t>Engineering &amp; Construction</t>
        </is>
      </c>
      <c r="G338" s="4" t="inlineStr">
        <is>
          <t>MCE</t>
        </is>
      </c>
      <c r="H338" s="4" t="inlineStr">
        <is>
          <t>EUR</t>
        </is>
      </c>
      <c r="I338" s="5" t="n">
        <v>23279.314944</v>
      </c>
      <c r="J338" s="6">
        <f>INDEX(FX!$B:$B,MATCH(H338,FX!$A:$A,0))</f>
        <v/>
      </c>
      <c r="K338" s="5">
        <f>I338*J338</f>
        <v/>
      </c>
      <c r="L338" s="4">
        <f>IF(U338&lt;&gt;"",U338,IF(K338&gt;=Umbrales!$B$2,"Legendaria",IF(K338&gt;=Umbrales!$B$3,"Épica",IF(K338&gt;=Umbrales!$B$4,"Rara",IF(K338&gt;=Umbrales!$B$5,"Poco común","Común")))))</f>
        <v/>
      </c>
      <c r="M338" s="5" t="n">
        <v>51910.684672</v>
      </c>
      <c r="N338" s="5" t="n">
        <v>1010.313984</v>
      </c>
      <c r="O338" s="5">
        <f>IF(M338="","",M338*J338)</f>
        <v/>
      </c>
      <c r="P338" s="5">
        <f>IF(N338="","",N338*J338)</f>
        <v/>
      </c>
      <c r="Q338" s="7" t="n">
        <v>0.0258</v>
      </c>
      <c r="R338" s="8" t="n">
        <v>19.4869</v>
      </c>
      <c r="S338" s="4" t="inlineStr">
        <is>
          <t>IBEX35</t>
        </is>
      </c>
      <c r="T338" s="9" t="inlineStr">
        <is>
          <t>SI</t>
        </is>
      </c>
      <c r="U338" s="9" t="inlineStr"/>
      <c r="V338" s="10">
        <f>Umbrales!$B$9*(K338/1000)^Umbrales!$B$10</f>
        <v/>
      </c>
    </row>
    <row r="339">
      <c r="A339" s="4" t="inlineStr">
        <is>
          <t>AMS.MC</t>
        </is>
      </c>
      <c r="B339" s="4" t="inlineStr">
        <is>
          <t>Amadeus IT Group, S.A.</t>
        </is>
      </c>
      <c r="C339" s="4" t="inlineStr">
        <is>
          <t>Spain</t>
        </is>
      </c>
      <c r="D339" s="4" t="inlineStr">
        <is>
          <t>ES</t>
        </is>
      </c>
      <c r="E339" s="4" t="inlineStr">
        <is>
          <t>Tecnología</t>
        </is>
      </c>
      <c r="F339" s="4" t="inlineStr">
        <is>
          <t>Information Technology Services</t>
        </is>
      </c>
      <c r="G339" s="4" t="inlineStr">
        <is>
          <t>MCE</t>
        </is>
      </c>
      <c r="H339" s="4" t="inlineStr">
        <is>
          <t>EUR</t>
        </is>
      </c>
      <c r="I339" s="5" t="n">
        <v>22292.893696</v>
      </c>
      <c r="J339" s="6">
        <f>INDEX(FX!$B:$B,MATCH(H339,FX!$A:$A,0))</f>
        <v/>
      </c>
      <c r="K339" s="5">
        <f>I339*J339</f>
        <v/>
      </c>
      <c r="L339" s="4">
        <f>IF(U339&lt;&gt;"",U339,IF(K339&gt;=Umbrales!$B$2,"Legendaria",IF(K339&gt;=Umbrales!$B$3,"Épica",IF(K339&gt;=Umbrales!$B$4,"Rara",IF(K339&gt;=Umbrales!$B$5,"Poco común","Común")))))</f>
        <v/>
      </c>
      <c r="M339" s="5" t="n">
        <v>6591.90016</v>
      </c>
      <c r="N339" s="5" t="n">
        <v>1308.999936</v>
      </c>
      <c r="O339" s="5">
        <f>IF(M339="","",M339*J339)</f>
        <v/>
      </c>
      <c r="P339" s="5">
        <f>IF(N339="","",N339*J339)</f>
        <v/>
      </c>
      <c r="Q339" s="7" t="n">
        <v>0.0293</v>
      </c>
      <c r="R339" s="8" t="n">
        <v>17.518152</v>
      </c>
      <c r="S339" s="4" t="inlineStr">
        <is>
          <t>IBEX35</t>
        </is>
      </c>
      <c r="T339" s="9" t="inlineStr">
        <is>
          <t>SI</t>
        </is>
      </c>
      <c r="U339" s="9" t="inlineStr"/>
      <c r="V339" s="10">
        <f>Umbrales!$B$9*(K339/1000)^Umbrales!$B$10</f>
        <v/>
      </c>
    </row>
    <row r="340">
      <c r="A340" s="4" t="inlineStr">
        <is>
          <t>PHIA.AS</t>
        </is>
      </c>
      <c r="B340" s="4" t="inlineStr">
        <is>
          <t>Koninklijke Philips N.V.</t>
        </is>
      </c>
      <c r="C340" s="4" t="inlineStr">
        <is>
          <t>Netherlands</t>
        </is>
      </c>
      <c r="D340" s="4" t="inlineStr">
        <is>
          <t>NL</t>
        </is>
      </c>
      <c r="E340" s="4" t="inlineStr">
        <is>
          <t>Salud</t>
        </is>
      </c>
      <c r="F340" s="4" t="inlineStr">
        <is>
          <t>Medical Devices</t>
        </is>
      </c>
      <c r="G340" s="4" t="inlineStr">
        <is>
          <t>AMS</t>
        </is>
      </c>
      <c r="H340" s="4" t="inlineStr">
        <is>
          <t>EUR</t>
        </is>
      </c>
      <c r="I340" s="5" t="n">
        <v>21933.471744</v>
      </c>
      <c r="J340" s="6">
        <f>INDEX(FX!$B:$B,MATCH(H340,FX!$A:$A,0))</f>
        <v/>
      </c>
      <c r="K340" s="5">
        <f>I340*J340</f>
        <v/>
      </c>
      <c r="L340" s="4">
        <f>IF(U340&lt;&gt;"",U340,IF(K340&gt;=Umbrales!$B$2,"Legendaria",IF(K340&gt;=Umbrales!$B$3,"Épica",IF(K340&gt;=Umbrales!$B$4,"Rara",IF(K340&gt;=Umbrales!$B$5,"Poco común","Común")))))</f>
        <v/>
      </c>
      <c r="M340" s="5" t="n">
        <v>17664.999424</v>
      </c>
      <c r="N340" s="5" t="n">
        <v>1110</v>
      </c>
      <c r="O340" s="5">
        <f>IF(M340="","",M340*J340)</f>
        <v/>
      </c>
      <c r="P340" s="5">
        <f>IF(N340="","",N340*J340)</f>
        <v/>
      </c>
      <c r="Q340" s="7" t="n">
        <v>0.0383</v>
      </c>
      <c r="R340" s="8" t="n">
        <v>19.513044</v>
      </c>
      <c r="S340" s="4" t="inlineStr"/>
      <c r="T340" s="9" t="inlineStr">
        <is>
          <t>SI</t>
        </is>
      </c>
      <c r="U340" s="9" t="inlineStr"/>
      <c r="V340" s="10">
        <f>Umbrales!$B$9*(K340/1000)^Umbrales!$B$10</f>
        <v/>
      </c>
    </row>
    <row r="341">
      <c r="A341" s="4" t="inlineStr">
        <is>
          <t>CPRT</t>
        </is>
      </c>
      <c r="B341" s="4" t="inlineStr">
        <is>
          <t>Copart, Inc.</t>
        </is>
      </c>
      <c r="C341" s="4" t="inlineStr">
        <is>
          <t>United States</t>
        </is>
      </c>
      <c r="D341" s="4" t="inlineStr">
        <is>
          <t>US</t>
        </is>
      </c>
      <c r="E341" s="4" t="inlineStr">
        <is>
          <t>Industria</t>
        </is>
      </c>
      <c r="F341" s="4" t="inlineStr">
        <is>
          <t>Specialty Business Services</t>
        </is>
      </c>
      <c r="G341" s="4" t="inlineStr">
        <is>
          <t>NMS</t>
        </is>
      </c>
      <c r="H341" s="4" t="inlineStr">
        <is>
          <t>USD</t>
        </is>
      </c>
      <c r="I341" s="5" t="n">
        <v>24334.700544</v>
      </c>
      <c r="J341" s="6">
        <f>INDEX(FX!$B:$B,MATCH(H341,FX!$A:$A,0))</f>
        <v/>
      </c>
      <c r="K341" s="5">
        <f>I341*J341</f>
        <v/>
      </c>
      <c r="L341" s="4">
        <f>IF(U341&lt;&gt;"",U341,IF(K341&gt;=Umbrales!$B$2,"Legendaria",IF(K341&gt;=Umbrales!$B$3,"Épica",IF(K341&gt;=Umbrales!$B$4,"Rara",IF(K341&gt;=Umbrales!$B$5,"Poco común","Común")))))</f>
        <v/>
      </c>
      <c r="M341" s="5" t="n">
        <v>4666.208768</v>
      </c>
      <c r="N341" s="5" t="n">
        <v>1484.269952</v>
      </c>
      <c r="O341" s="5">
        <f>IF(M341="","",M341*J341)</f>
        <v/>
      </c>
      <c r="P341" s="5">
        <f>IF(N341="","",N341*J341)</f>
        <v/>
      </c>
      <c r="Q341" s="7" t="n">
        <v>0</v>
      </c>
      <c r="R341" s="8" t="n">
        <v>17.058443</v>
      </c>
      <c r="S341" s="4" t="inlineStr">
        <is>
          <t>NASDAQ100</t>
        </is>
      </c>
      <c r="T341" s="9" t="inlineStr">
        <is>
          <t>SI</t>
        </is>
      </c>
      <c r="U341" s="9" t="inlineStr"/>
      <c r="V341" s="10">
        <f>Umbrales!$B$9*(K341/1000)^Umbrales!$B$10</f>
        <v/>
      </c>
    </row>
    <row r="342">
      <c r="A342" s="4" t="inlineStr">
        <is>
          <t>IAG.MC</t>
        </is>
      </c>
      <c r="B342" s="4" t="inlineStr">
        <is>
          <t>International Consolidated Airlines Group S.A.</t>
        </is>
      </c>
      <c r="C342" s="4" t="inlineStr">
        <is>
          <t>United Kingdom</t>
        </is>
      </c>
      <c r="D342" s="4" t="inlineStr">
        <is>
          <t>GB</t>
        </is>
      </c>
      <c r="E342" s="4" t="inlineStr">
        <is>
          <t>Industria</t>
        </is>
      </c>
      <c r="F342" s="4" t="inlineStr">
        <is>
          <t>Airlines</t>
        </is>
      </c>
      <c r="G342" s="4" t="inlineStr">
        <is>
          <t>MCE</t>
        </is>
      </c>
      <c r="H342" s="4" t="inlineStr">
        <is>
          <t>EUR</t>
        </is>
      </c>
      <c r="I342" s="5" t="n">
        <v>21336.997888</v>
      </c>
      <c r="J342" s="6">
        <f>INDEX(FX!$B:$B,MATCH(H342,FX!$A:$A,0))</f>
        <v/>
      </c>
      <c r="K342" s="5">
        <f>I342*J342</f>
        <v/>
      </c>
      <c r="L342" s="4">
        <f>IF(U342&lt;&gt;"",U342,IF(K342&gt;=Umbrales!$B$2,"Legendaria",IF(K342&gt;=Umbrales!$B$3,"Épica",IF(K342&gt;=Umbrales!$B$4,"Rara",IF(K342&gt;=Umbrales!$B$5,"Poco común","Común")))))</f>
        <v/>
      </c>
      <c r="M342" s="5" t="n">
        <v>33371.000832</v>
      </c>
      <c r="N342" s="5" t="n">
        <v>3073.999872</v>
      </c>
      <c r="O342" s="5">
        <f>IF(M342="","",M342*J342)</f>
        <v/>
      </c>
      <c r="P342" s="5">
        <f>IF(N342="","",N342*J342)</f>
        <v/>
      </c>
      <c r="Q342" s="7" t="n">
        <v>0.0201</v>
      </c>
      <c r="R342" s="8" t="n">
        <v>7.4166665</v>
      </c>
      <c r="S342" s="4" t="inlineStr">
        <is>
          <t>IBEX35</t>
        </is>
      </c>
      <c r="T342" s="9" t="inlineStr">
        <is>
          <t>SI</t>
        </is>
      </c>
      <c r="U342" s="9" t="inlineStr"/>
      <c r="V342" s="10">
        <f>Umbrales!$B$9*(K342/1000)^Umbrales!$B$10</f>
        <v/>
      </c>
    </row>
    <row r="343">
      <c r="A343" s="4" t="inlineStr">
        <is>
          <t>VRSK</t>
        </is>
      </c>
      <c r="B343" s="4" t="inlineStr">
        <is>
          <t>Verisk Analytics, Inc.</t>
        </is>
      </c>
      <c r="C343" s="4" t="inlineStr">
        <is>
          <t>United States</t>
        </is>
      </c>
      <c r="D343" s="4" t="inlineStr">
        <is>
          <t>US</t>
        </is>
      </c>
      <c r="E343" s="4" t="inlineStr">
        <is>
          <t>Industria</t>
        </is>
      </c>
      <c r="F343" s="4" t="inlineStr">
        <is>
          <t>Consulting Services</t>
        </is>
      </c>
      <c r="G343" s="4" t="inlineStr">
        <is>
          <t>NMS</t>
        </is>
      </c>
      <c r="H343" s="4" t="inlineStr">
        <is>
          <t>USD</t>
        </is>
      </c>
      <c r="I343" s="5" t="n">
        <v>23659.923456</v>
      </c>
      <c r="J343" s="6">
        <f>INDEX(FX!$B:$B,MATCH(H343,FX!$A:$A,0))</f>
        <v/>
      </c>
      <c r="K343" s="5">
        <f>I343*J343</f>
        <v/>
      </c>
      <c r="L343" s="4">
        <f>IF(U343&lt;&gt;"",U343,IF(K343&gt;=Umbrales!$B$2,"Legendaria",IF(K343&gt;=Umbrales!$B$3,"Épica",IF(K343&gt;=Umbrales!$B$4,"Rara",IF(K343&gt;=Umbrales!$B$5,"Poco común","Común")))))</f>
        <v/>
      </c>
      <c r="M343" s="5" t="n">
        <v>3136</v>
      </c>
      <c r="N343" s="5" t="n">
        <v>885.500032</v>
      </c>
      <c r="O343" s="5">
        <f>IF(M343="","",M343*J343)</f>
        <v/>
      </c>
      <c r="P343" s="5">
        <f>IF(N343="","",N343*J343)</f>
        <v/>
      </c>
      <c r="Q343" s="7" t="n">
        <v>0.0113</v>
      </c>
      <c r="R343" s="8" t="n">
        <v>27.154886</v>
      </c>
      <c r="S343" s="4" t="inlineStr">
        <is>
          <t>NASDAQ100</t>
        </is>
      </c>
      <c r="T343" s="9" t="inlineStr">
        <is>
          <t>SI</t>
        </is>
      </c>
      <c r="U343" s="9" t="inlineStr"/>
      <c r="V343" s="10">
        <f>Umbrales!$B$9*(K343/1000)^Umbrales!$B$10</f>
        <v/>
      </c>
    </row>
    <row r="344">
      <c r="A344" s="4" t="inlineStr">
        <is>
          <t>MTX.DE</t>
        </is>
      </c>
      <c r="B344" s="4" t="inlineStr">
        <is>
          <t>MTU Aero Engines AG</t>
        </is>
      </c>
      <c r="C344" s="4" t="inlineStr">
        <is>
          <t>Germany</t>
        </is>
      </c>
      <c r="D344" s="4" t="inlineStr">
        <is>
          <t>DE</t>
        </is>
      </c>
      <c r="E344" s="4" t="inlineStr">
        <is>
          <t>Industria</t>
        </is>
      </c>
      <c r="F344" s="4" t="inlineStr">
        <is>
          <t>Aerospace &amp; Defense</t>
        </is>
      </c>
      <c r="G344" s="4" t="inlineStr">
        <is>
          <t>GER</t>
        </is>
      </c>
      <c r="H344" s="4" t="inlineStr">
        <is>
          <t>EUR</t>
        </is>
      </c>
      <c r="I344" s="5" t="n">
        <v>19210.262528</v>
      </c>
      <c r="J344" s="6">
        <f>INDEX(FX!$B:$B,MATCH(H344,FX!$A:$A,0))</f>
        <v/>
      </c>
      <c r="K344" s="5">
        <f>I344*J344</f>
        <v/>
      </c>
      <c r="L344" s="4">
        <f>IF(U344&lt;&gt;"",U344,IF(K344&gt;=Umbrales!$B$2,"Legendaria",IF(K344&gt;=Umbrales!$B$3,"Épica",IF(K344&gt;=Umbrales!$B$4,"Rara",IF(K344&gt;=Umbrales!$B$5,"Poco común","Común")))))</f>
        <v/>
      </c>
      <c r="M344" s="5" t="n">
        <v>9232</v>
      </c>
      <c r="N344" s="5" t="n">
        <v>942</v>
      </c>
      <c r="O344" s="5">
        <f>IF(M344="","",M344*J344)</f>
        <v/>
      </c>
      <c r="P344" s="5">
        <f>IF(N344="","",N344*J344)</f>
        <v/>
      </c>
      <c r="Q344" s="7" t="n">
        <v>0.0103</v>
      </c>
      <c r="R344" s="8" t="n">
        <v>20.793003</v>
      </c>
      <c r="S344" s="4" t="inlineStr">
        <is>
          <t>DAX40</t>
        </is>
      </c>
      <c r="T344" s="9" t="inlineStr">
        <is>
          <t>SI</t>
        </is>
      </c>
      <c r="U344" s="9" t="inlineStr"/>
      <c r="V344" s="10">
        <f>Umbrales!$B$9*(K344/1000)^Umbrales!$B$10</f>
        <v/>
      </c>
    </row>
    <row r="345">
      <c r="A345" s="4" t="inlineStr">
        <is>
          <t>TEF.MC</t>
        </is>
      </c>
      <c r="B345" s="4" t="inlineStr">
        <is>
          <t>Telefónica, S.A.</t>
        </is>
      </c>
      <c r="C345" s="4" t="inlineStr">
        <is>
          <t>Spain</t>
        </is>
      </c>
      <c r="D345" s="4" t="inlineStr">
        <is>
          <t>ES</t>
        </is>
      </c>
      <c r="E345" s="4" t="inlineStr">
        <is>
          <t>Comunicación</t>
        </is>
      </c>
      <c r="F345" s="4" t="inlineStr">
        <is>
          <t>Telecom Services</t>
        </is>
      </c>
      <c r="G345" s="4" t="inlineStr">
        <is>
          <t>MCE</t>
        </is>
      </c>
      <c r="H345" s="4" t="inlineStr">
        <is>
          <t>EUR</t>
        </is>
      </c>
      <c r="I345" s="5" t="n">
        <v>18629.521408</v>
      </c>
      <c r="J345" s="6">
        <f>INDEX(FX!$B:$B,MATCH(H345,FX!$A:$A,0))</f>
        <v/>
      </c>
      <c r="K345" s="5">
        <f>I345*J345</f>
        <v/>
      </c>
      <c r="L345" s="4">
        <f>IF(U345&lt;&gt;"",U345,IF(K345&gt;=Umbrales!$B$2,"Legendaria",IF(K345&gt;=Umbrales!$B$3,"Épica",IF(K345&gt;=Umbrales!$B$4,"Rara",IF(K345&gt;=Umbrales!$B$5,"Poco común","Común")))))</f>
        <v/>
      </c>
      <c r="M345" s="5" t="n">
        <v>36238.999552</v>
      </c>
      <c r="N345" s="5" t="n">
        <v>-2524.999936</v>
      </c>
      <c r="O345" s="5">
        <f>IF(M345="","",M345*J345)</f>
        <v/>
      </c>
      <c r="P345" s="5">
        <f>IF(N345="","",N345*J345)</f>
        <v/>
      </c>
      <c r="Q345" s="7" t="n">
        <v>0.04650000000000001</v>
      </c>
      <c r="R345" s="8" t="n"/>
      <c r="S345" s="4" t="inlineStr">
        <is>
          <t>IBEX35</t>
        </is>
      </c>
      <c r="T345" s="9" t="inlineStr">
        <is>
          <t>SI</t>
        </is>
      </c>
      <c r="U345" s="9" t="inlineStr"/>
      <c r="V345" s="10">
        <f>Umbrales!$B$9*(K345/1000)^Umbrales!$B$10</f>
        <v/>
      </c>
    </row>
    <row r="346">
      <c r="A346" s="4" t="inlineStr">
        <is>
          <t>BEI.DE</t>
        </is>
      </c>
      <c r="B346" s="4" t="inlineStr">
        <is>
          <t>Beiersdorf Aktiengesellschaft</t>
        </is>
      </c>
      <c r="C346" s="4" t="inlineStr">
        <is>
          <t>Germany</t>
        </is>
      </c>
      <c r="D346" s="4" t="inlineStr">
        <is>
          <t>DE</t>
        </is>
      </c>
      <c r="E346" s="4" t="inlineStr">
        <is>
          <t>Consumo básico</t>
        </is>
      </c>
      <c r="F346" s="4" t="inlineStr">
        <is>
          <t>Household &amp; Personal Products</t>
        </is>
      </c>
      <c r="G346" s="4" t="inlineStr">
        <is>
          <t>GER</t>
        </is>
      </c>
      <c r="H346" s="4" t="inlineStr">
        <is>
          <t>EUR</t>
        </is>
      </c>
      <c r="I346" s="5" t="n">
        <v>17888.354304</v>
      </c>
      <c r="J346" s="6">
        <f>INDEX(FX!$B:$B,MATCH(H346,FX!$A:$A,0))</f>
        <v/>
      </c>
      <c r="K346" s="5">
        <f>I346*J346</f>
        <v/>
      </c>
      <c r="L346" s="4">
        <f>IF(U346&lt;&gt;"",U346,IF(K346&gt;=Umbrales!$B$2,"Legendaria",IF(K346&gt;=Umbrales!$B$3,"Épica",IF(K346&gt;=Umbrales!$B$4,"Rara",IF(K346&gt;=Umbrales!$B$5,"Poco común","Común")))))</f>
        <v/>
      </c>
      <c r="M346" s="5" t="n">
        <v>9616</v>
      </c>
      <c r="N346" s="5" t="n">
        <v>938</v>
      </c>
      <c r="O346" s="5">
        <f>IF(M346="","",M346*J346)</f>
        <v/>
      </c>
      <c r="P346" s="5">
        <f>IF(N346="","",N346*J346)</f>
        <v/>
      </c>
      <c r="Q346" s="7" t="n">
        <v>0.013</v>
      </c>
      <c r="R346" s="8" t="n">
        <v>18.818392</v>
      </c>
      <c r="S346" s="4" t="inlineStr">
        <is>
          <t>DAX40</t>
        </is>
      </c>
      <c r="T346" s="9" t="inlineStr">
        <is>
          <t>SI</t>
        </is>
      </c>
      <c r="U346" s="9" t="inlineStr"/>
      <c r="V346" s="10">
        <f>Umbrales!$B$9*(K346/1000)^Umbrales!$B$10</f>
        <v/>
      </c>
    </row>
    <row r="347">
      <c r="A347" s="4" t="inlineStr">
        <is>
          <t>SRT3.DE</t>
        </is>
      </c>
      <c r="B347" s="4" t="inlineStr">
        <is>
          <t>Sartorius Aktiengesellschaft</t>
        </is>
      </c>
      <c r="C347" s="4" t="inlineStr">
        <is>
          <t>Germany</t>
        </is>
      </c>
      <c r="D347" s="4" t="inlineStr">
        <is>
          <t>DE</t>
        </is>
      </c>
      <c r="E347" s="4" t="inlineStr">
        <is>
          <t>Salud</t>
        </is>
      </c>
      <c r="F347" s="4" t="inlineStr">
        <is>
          <t>Medical Instruments &amp; Supplies</t>
        </is>
      </c>
      <c r="G347" s="4" t="inlineStr">
        <is>
          <t>GER</t>
        </is>
      </c>
      <c r="H347" s="4" t="inlineStr">
        <is>
          <t>EUR</t>
        </is>
      </c>
      <c r="I347" s="5" t="n">
        <v>17753.344</v>
      </c>
      <c r="J347" s="6">
        <f>INDEX(FX!$B:$B,MATCH(H347,FX!$A:$A,0))</f>
        <v/>
      </c>
      <c r="K347" s="5">
        <f>I347*J347</f>
        <v/>
      </c>
      <c r="L347" s="4">
        <f>IF(U347&lt;&gt;"",U347,IF(K347&gt;=Umbrales!$B$2,"Legendaria",IF(K347&gt;=Umbrales!$B$3,"Épica",IF(K347&gt;=Umbrales!$B$4,"Rara",IF(K347&gt;=Umbrales!$B$5,"Poco común","Común")))))</f>
        <v/>
      </c>
      <c r="M347" s="5" t="n">
        <v>3581.700096</v>
      </c>
      <c r="N347" s="5" t="n">
        <v>196.1</v>
      </c>
      <c r="O347" s="5">
        <f>IF(M347="","",M347*J347)</f>
        <v/>
      </c>
      <c r="P347" s="5">
        <f>IF(N347="","",N347*J347)</f>
        <v/>
      </c>
      <c r="Q347" s="7" t="n">
        <v>0.0028</v>
      </c>
      <c r="R347" s="8" t="n">
        <v>90.84806</v>
      </c>
      <c r="S347" s="4" t="inlineStr">
        <is>
          <t>DAX40</t>
        </is>
      </c>
      <c r="T347" s="9" t="inlineStr">
        <is>
          <t>SI</t>
        </is>
      </c>
      <c r="U347" s="9" t="inlineStr"/>
      <c r="V347" s="10">
        <f>Umbrales!$B$9*(K347/1000)^Umbrales!$B$10</f>
        <v/>
      </c>
    </row>
    <row r="348">
      <c r="A348" s="4" t="inlineStr">
        <is>
          <t>WKL.AS</t>
        </is>
      </c>
      <c r="B348" s="4" t="inlineStr">
        <is>
          <t>Wolters Kluwer N.V.</t>
        </is>
      </c>
      <c r="C348" s="4" t="inlineStr">
        <is>
          <t>Netherlands</t>
        </is>
      </c>
      <c r="D348" s="4" t="inlineStr">
        <is>
          <t>NL</t>
        </is>
      </c>
      <c r="E348" s="4" t="inlineStr">
        <is>
          <t>Industria</t>
        </is>
      </c>
      <c r="F348" s="4" t="inlineStr">
        <is>
          <t>Specialty Business Services</t>
        </is>
      </c>
      <c r="G348" s="4" t="inlineStr">
        <is>
          <t>AMS</t>
        </is>
      </c>
      <c r="H348" s="4" t="inlineStr">
        <is>
          <t>EUR</t>
        </is>
      </c>
      <c r="I348" s="5" t="n">
        <v>17643.710464</v>
      </c>
      <c r="J348" s="6">
        <f>INDEX(FX!$B:$B,MATCH(H348,FX!$A:$A,0))</f>
        <v/>
      </c>
      <c r="K348" s="5">
        <f>I348*J348</f>
        <v/>
      </c>
      <c r="L348" s="4">
        <f>IF(U348&lt;&gt;"",U348,IF(K348&gt;=Umbrales!$B$2,"Legendaria",IF(K348&gt;=Umbrales!$B$3,"Épica",IF(K348&gt;=Umbrales!$B$4,"Rara",IF(K348&gt;=Umbrales!$B$5,"Poco común","Común")))))</f>
        <v/>
      </c>
      <c r="M348" s="5" t="n">
        <v>6105.999872</v>
      </c>
      <c r="N348" s="5" t="n">
        <v>1335.000064</v>
      </c>
      <c r="O348" s="5">
        <f>IF(M348="","",M348*J348)</f>
        <v/>
      </c>
      <c r="P348" s="5">
        <f>IF(N348="","",N348*J348)</f>
        <v/>
      </c>
      <c r="Q348" s="7" t="n">
        <v>0.033</v>
      </c>
      <c r="R348" s="8" t="n">
        <v>13.558974</v>
      </c>
      <c r="S348" s="4" t="inlineStr">
        <is>
          <t>EUROSTOXX50</t>
        </is>
      </c>
      <c r="T348" s="9" t="inlineStr">
        <is>
          <t>SI</t>
        </is>
      </c>
      <c r="U348" s="9" t="inlineStr"/>
      <c r="V348" s="10">
        <f>Umbrales!$B$9*(K348/1000)^Umbrales!$B$10</f>
        <v/>
      </c>
    </row>
    <row r="349">
      <c r="A349" s="4" t="inlineStr">
        <is>
          <t>SAB.MC</t>
        </is>
      </c>
      <c r="B349" s="4" t="inlineStr">
        <is>
          <t>Banco de Sabadell, S.A.</t>
        </is>
      </c>
      <c r="C349" s="4" t="inlineStr">
        <is>
          <t>Spain</t>
        </is>
      </c>
      <c r="D349" s="4" t="inlineStr">
        <is>
          <t>ES</t>
        </is>
      </c>
      <c r="E349" s="4" t="inlineStr">
        <is>
          <t>Finanzas</t>
        </is>
      </c>
      <c r="F349" s="4" t="inlineStr">
        <is>
          <t>Banks - Diversified</t>
        </is>
      </c>
      <c r="G349" s="4" t="inlineStr">
        <is>
          <t>MCE</t>
        </is>
      </c>
      <c r="H349" s="4" t="inlineStr">
        <is>
          <t>EUR</t>
        </is>
      </c>
      <c r="I349" s="5" t="n">
        <v>17036.788736</v>
      </c>
      <c r="J349" s="6">
        <f>INDEX(FX!$B:$B,MATCH(H349,FX!$A:$A,0))</f>
        <v/>
      </c>
      <c r="K349" s="5">
        <f>I349*J349</f>
        <v/>
      </c>
      <c r="L349" s="4">
        <f>IF(U349&lt;&gt;"",U349,IF(K349&gt;=Umbrales!$B$2,"Legendaria",IF(K349&gt;=Umbrales!$B$3,"Épica",IF(K349&gt;=Umbrales!$B$4,"Rara",IF(K349&gt;=Umbrales!$B$5,"Poco común","Común")))))</f>
        <v/>
      </c>
      <c r="M349" s="5" t="n">
        <v>4243.62112</v>
      </c>
      <c r="N349" s="5" t="n">
        <v>909.288</v>
      </c>
      <c r="O349" s="5">
        <f>IF(M349="","",M349*J349)</f>
        <v/>
      </c>
      <c r="P349" s="5">
        <f>IF(N349="","",N349*J349)</f>
        <v/>
      </c>
      <c r="Q349" s="7" t="n">
        <v>0.0565</v>
      </c>
      <c r="R349" s="8" t="n">
        <v>15.1</v>
      </c>
      <c r="S349" s="4" t="inlineStr">
        <is>
          <t>IBEX35</t>
        </is>
      </c>
      <c r="T349" s="9" t="inlineStr">
        <is>
          <t>SI</t>
        </is>
      </c>
      <c r="U349" s="9" t="inlineStr"/>
      <c r="V349" s="10">
        <f>Umbrales!$B$9*(K349/1000)^Umbrales!$B$10</f>
        <v/>
      </c>
    </row>
    <row r="350">
      <c r="A350" s="4" t="inlineStr">
        <is>
          <t>RI.PA</t>
        </is>
      </c>
      <c r="B350" s="4" t="inlineStr">
        <is>
          <t>Pernod Ricard SA</t>
        </is>
      </c>
      <c r="C350" s="4" t="inlineStr">
        <is>
          <t>France</t>
        </is>
      </c>
      <c r="D350" s="4" t="inlineStr">
        <is>
          <t>FR</t>
        </is>
      </c>
      <c r="E350" s="4" t="inlineStr">
        <is>
          <t>Consumo básico</t>
        </is>
      </c>
      <c r="F350" s="4" t="inlineStr">
        <is>
          <t>Beverages - Wineries &amp; Distilleries</t>
        </is>
      </c>
      <c r="G350" s="4" t="inlineStr">
        <is>
          <t>PAR</t>
        </is>
      </c>
      <c r="H350" s="4" t="inlineStr">
        <is>
          <t>EUR</t>
        </is>
      </c>
      <c r="I350" s="5" t="n">
        <v>16952.0896</v>
      </c>
      <c r="J350" s="6">
        <f>INDEX(FX!$B:$B,MATCH(H350,FX!$A:$A,0))</f>
        <v/>
      </c>
      <c r="K350" s="5">
        <f>I350*J350</f>
        <v/>
      </c>
      <c r="L350" s="4">
        <f>IF(U350&lt;&gt;"",U350,IF(K350&gt;=Umbrales!$B$2,"Legendaria",IF(K350&gt;=Umbrales!$B$3,"Épica",IF(K350&gt;=Umbrales!$B$4,"Rara",IF(K350&gt;=Umbrales!$B$5,"Poco común","Común")))))</f>
        <v/>
      </c>
      <c r="M350" s="5" t="n">
        <v>9404.000255999999</v>
      </c>
      <c r="N350" s="5" t="n">
        <v>1203.000064</v>
      </c>
      <c r="O350" s="5">
        <f>IF(M350="","",M350*J350)</f>
        <v/>
      </c>
      <c r="P350" s="5">
        <f>IF(N350="","",N350*J350)</f>
        <v/>
      </c>
      <c r="Q350" s="7" t="n">
        <v>0.0717</v>
      </c>
      <c r="R350" s="8" t="n">
        <v>14.113208</v>
      </c>
      <c r="S350" s="4" t="inlineStr">
        <is>
          <t>EUROSTOXX50</t>
        </is>
      </c>
      <c r="T350" s="9" t="inlineStr">
        <is>
          <t>SI</t>
        </is>
      </c>
      <c r="U350" s="9" t="inlineStr"/>
      <c r="V350" s="10">
        <f>Umbrales!$B$9*(K350/1000)^Umbrales!$B$10</f>
        <v/>
      </c>
    </row>
    <row r="351">
      <c r="A351" s="4" t="inlineStr">
        <is>
          <t>CDW</t>
        </is>
      </c>
      <c r="B351" s="4" t="inlineStr">
        <is>
          <t>CDW Corporation</t>
        </is>
      </c>
      <c r="C351" s="4" t="inlineStr">
        <is>
          <t>United States</t>
        </is>
      </c>
      <c r="D351" s="4" t="inlineStr">
        <is>
          <t>US</t>
        </is>
      </c>
      <c r="E351" s="4" t="inlineStr">
        <is>
          <t>Tecnología</t>
        </is>
      </c>
      <c r="F351" s="4" t="inlineStr">
        <is>
          <t>Information Technology Services</t>
        </is>
      </c>
      <c r="G351" s="4" t="inlineStr">
        <is>
          <t>NMS</t>
        </is>
      </c>
      <c r="H351" s="4" t="inlineStr">
        <is>
          <t>USD</t>
        </is>
      </c>
      <c r="I351" s="5" t="n">
        <v>18765.115392</v>
      </c>
      <c r="J351" s="6">
        <f>INDEX(FX!$B:$B,MATCH(H351,FX!$A:$A,0))</f>
        <v/>
      </c>
      <c r="K351" s="5">
        <f>I351*J351</f>
        <v/>
      </c>
      <c r="L351" s="4">
        <f>IF(U351&lt;&gt;"",U351,IF(K351&gt;=Umbrales!$B$2,"Legendaria",IF(K351&gt;=Umbrales!$B$3,"Épica",IF(K351&gt;=Umbrales!$B$4,"Rara",IF(K351&gt;=Umbrales!$B$5,"Poco común","Común")))))</f>
        <v/>
      </c>
      <c r="M351" s="5" t="n">
        <v>23500.40064</v>
      </c>
      <c r="N351" s="5" t="n">
        <v>1080.300032</v>
      </c>
      <c r="O351" s="5">
        <f>IF(M351="","",M351*J351)</f>
        <v/>
      </c>
      <c r="P351" s="5">
        <f>IF(N351="","",N351*J351)</f>
        <v/>
      </c>
      <c r="Q351" s="7" t="n">
        <v>0.0166</v>
      </c>
      <c r="R351" s="8" t="n">
        <v>18.260342</v>
      </c>
      <c r="S351" s="4" t="inlineStr">
        <is>
          <t>NASDAQ100</t>
        </is>
      </c>
      <c r="T351" s="9" t="inlineStr">
        <is>
          <t>SI</t>
        </is>
      </c>
      <c r="U351" s="9" t="inlineStr"/>
      <c r="V351" s="10">
        <f>Umbrales!$B$9*(K351/1000)^Umbrales!$B$10</f>
        <v/>
      </c>
    </row>
    <row r="352">
      <c r="A352" s="4" t="inlineStr">
        <is>
          <t>CLNX.MC</t>
        </is>
      </c>
      <c r="B352" s="4" t="inlineStr">
        <is>
          <t>Cellnex Telecom, S.A.</t>
        </is>
      </c>
      <c r="C352" s="4" t="inlineStr">
        <is>
          <t>Spain</t>
        </is>
      </c>
      <c r="D352" s="4" t="inlineStr">
        <is>
          <t>ES</t>
        </is>
      </c>
      <c r="E352" s="4" t="inlineStr">
        <is>
          <t>Inmobiliario</t>
        </is>
      </c>
      <c r="F352" s="4" t="inlineStr">
        <is>
          <t>Real Estate Services</t>
        </is>
      </c>
      <c r="G352" s="4" t="inlineStr">
        <is>
          <t>MCE</t>
        </is>
      </c>
      <c r="H352" s="4" t="inlineStr">
        <is>
          <t>EUR</t>
        </is>
      </c>
      <c r="I352" s="5" t="n">
        <v>16654.16704</v>
      </c>
      <c r="J352" s="6">
        <f>INDEX(FX!$B:$B,MATCH(H352,FX!$A:$A,0))</f>
        <v/>
      </c>
      <c r="K352" s="5">
        <f>I352*J352</f>
        <v/>
      </c>
      <c r="L352" s="4">
        <f>IF(U352&lt;&gt;"",U352,IF(K352&gt;=Umbrales!$B$2,"Legendaria",IF(K352&gt;=Umbrales!$B$3,"Épica",IF(K352&gt;=Umbrales!$B$4,"Rara",IF(K352&gt;=Umbrales!$B$5,"Poco común","Común")))))</f>
        <v/>
      </c>
      <c r="M352" s="5" t="n">
        <v>4174.724096</v>
      </c>
      <c r="N352" s="5" t="n">
        <v>-343.035008</v>
      </c>
      <c r="O352" s="5">
        <f>IF(M352="","",M352*J352)</f>
        <v/>
      </c>
      <c r="P352" s="5">
        <f>IF(N352="","",N352*J352)</f>
        <v/>
      </c>
      <c r="Q352" s="7" t="n">
        <v>0.0308</v>
      </c>
      <c r="R352" s="8" t="n"/>
      <c r="S352" s="4" t="inlineStr">
        <is>
          <t>IBEX35</t>
        </is>
      </c>
      <c r="T352" s="9" t="inlineStr">
        <is>
          <t>SI</t>
        </is>
      </c>
      <c r="U352" s="9" t="inlineStr"/>
      <c r="V352" s="10">
        <f>Umbrales!$B$9*(K352/1000)^Umbrales!$B$10</f>
        <v/>
      </c>
    </row>
    <row r="353">
      <c r="A353" s="4" t="inlineStr">
        <is>
          <t>VNA.DE</t>
        </is>
      </c>
      <c r="B353" s="4" t="inlineStr">
        <is>
          <t>Vonovia SE</t>
        </is>
      </c>
      <c r="C353" s="4" t="inlineStr">
        <is>
          <t>Germany</t>
        </is>
      </c>
      <c r="D353" s="4" t="inlineStr">
        <is>
          <t>DE</t>
        </is>
      </c>
      <c r="E353" s="4" t="inlineStr">
        <is>
          <t>Inmobiliario</t>
        </is>
      </c>
      <c r="F353" s="4" t="inlineStr">
        <is>
          <t>Real Estate Services</t>
        </is>
      </c>
      <c r="G353" s="4" t="inlineStr">
        <is>
          <t>GER</t>
        </is>
      </c>
      <c r="H353" s="4" t="inlineStr">
        <is>
          <t>EUR</t>
        </is>
      </c>
      <c r="I353" s="5" t="n">
        <v>14270.687232</v>
      </c>
      <c r="J353" s="6">
        <f>INDEX(FX!$B:$B,MATCH(H353,FX!$A:$A,0))</f>
        <v/>
      </c>
      <c r="K353" s="5">
        <f>I353*J353</f>
        <v/>
      </c>
      <c r="L353" s="4">
        <f>IF(U353&lt;&gt;"",U353,IF(K353&gt;=Umbrales!$B$2,"Legendaria",IF(K353&gt;=Umbrales!$B$3,"Épica",IF(K353&gt;=Umbrales!$B$4,"Rara",IF(K353&gt;=Umbrales!$B$5,"Poco común","Común")))))</f>
        <v/>
      </c>
      <c r="M353" s="5" t="n">
        <v>5965.400064</v>
      </c>
      <c r="N353" s="5" t="n">
        <v>3812.600064</v>
      </c>
      <c r="O353" s="5">
        <f>IF(M353="","",M353*J353)</f>
        <v/>
      </c>
      <c r="P353" s="5">
        <f>IF(N353="","",N353*J353)</f>
        <v/>
      </c>
      <c r="Q353" s="7" t="n">
        <v>0.0746</v>
      </c>
      <c r="R353" s="8" t="n">
        <v>3.8314352</v>
      </c>
      <c r="S353" s="4" t="inlineStr">
        <is>
          <t>DAX40</t>
        </is>
      </c>
      <c r="T353" s="9" t="inlineStr">
        <is>
          <t>SI</t>
        </is>
      </c>
      <c r="U353" s="9" t="inlineStr"/>
      <c r="V353" s="10">
        <f>Umbrales!$B$9*(K353/1000)^Umbrales!$B$10</f>
        <v/>
      </c>
    </row>
    <row r="354">
      <c r="A354" s="4" t="inlineStr">
        <is>
          <t>CON.DE</t>
        </is>
      </c>
      <c r="B354" s="4" t="inlineStr">
        <is>
          <t>Continental Aktiengesellschaft</t>
        </is>
      </c>
      <c r="C354" s="4" t="inlineStr">
        <is>
          <t>Germany</t>
        </is>
      </c>
      <c r="D354" s="4" t="inlineStr">
        <is>
          <t>DE</t>
        </is>
      </c>
      <c r="E354" s="4" t="inlineStr">
        <is>
          <t>Consumo cíclico</t>
        </is>
      </c>
      <c r="F354" s="4" t="inlineStr">
        <is>
          <t>Auto Parts</t>
        </is>
      </c>
      <c r="G354" s="4" t="inlineStr">
        <is>
          <t>GER</t>
        </is>
      </c>
      <c r="H354" s="4" t="inlineStr">
        <is>
          <t>EUR</t>
        </is>
      </c>
      <c r="I354" s="5" t="n">
        <v>13924.417536</v>
      </c>
      <c r="J354" s="6">
        <f>INDEX(FX!$B:$B,MATCH(H354,FX!$A:$A,0))</f>
        <v/>
      </c>
      <c r="K354" s="5">
        <f>I354*J354</f>
        <v/>
      </c>
      <c r="L354" s="4">
        <f>IF(U354&lt;&gt;"",U354,IF(K354&gt;=Umbrales!$B$2,"Legendaria",IF(K354&gt;=Umbrales!$B$3,"Épica",IF(K354&gt;=Umbrales!$B$4,"Rara",IF(K354&gt;=Umbrales!$B$5,"Poco común","Común")))))</f>
        <v/>
      </c>
      <c r="M354" s="5" t="n">
        <v>18815.000576</v>
      </c>
      <c r="N354" s="5" t="n">
        <v>-419</v>
      </c>
      <c r="O354" s="5">
        <f>IF(M354="","",M354*J354)</f>
        <v/>
      </c>
      <c r="P354" s="5">
        <f>IF(N354="","",N354*J354)</f>
        <v/>
      </c>
      <c r="Q354" s="7" t="n">
        <v>0.0384</v>
      </c>
      <c r="R354" s="8" t="n"/>
      <c r="S354" s="4" t="inlineStr">
        <is>
          <t>DAX40</t>
        </is>
      </c>
      <c r="T354" s="9" t="inlineStr">
        <is>
          <t>SI</t>
        </is>
      </c>
      <c r="U354" s="9" t="inlineStr"/>
      <c r="V354" s="10">
        <f>Umbrales!$B$9*(K354/1000)^Umbrales!$B$10</f>
        <v/>
      </c>
    </row>
    <row r="355">
      <c r="A355" s="4" t="inlineStr">
        <is>
          <t>BKT.MC</t>
        </is>
      </c>
      <c r="B355" s="4" t="inlineStr">
        <is>
          <t>Bankinter, S.A.</t>
        </is>
      </c>
      <c r="C355" s="4" t="inlineStr">
        <is>
          <t>Spain</t>
        </is>
      </c>
      <c r="D355" s="4" t="inlineStr">
        <is>
          <t>ES</t>
        </is>
      </c>
      <c r="E355" s="4" t="inlineStr">
        <is>
          <t>Finanzas</t>
        </is>
      </c>
      <c r="F355" s="4" t="inlineStr">
        <is>
          <t>Banks - Regional</t>
        </is>
      </c>
      <c r="G355" s="4" t="inlineStr">
        <is>
          <t>MCE</t>
        </is>
      </c>
      <c r="H355" s="4" t="inlineStr">
        <is>
          <t>EUR</t>
        </is>
      </c>
      <c r="I355" s="5" t="n">
        <v>13745.559552</v>
      </c>
      <c r="J355" s="6">
        <f>INDEX(FX!$B:$B,MATCH(H355,FX!$A:$A,0))</f>
        <v/>
      </c>
      <c r="K355" s="5">
        <f>I355*J355</f>
        <v/>
      </c>
      <c r="L355" s="4">
        <f>IF(U355&lt;&gt;"",U355,IF(K355&gt;=Umbrales!$B$2,"Legendaria",IF(K355&gt;=Umbrales!$B$3,"Épica",IF(K355&gt;=Umbrales!$B$4,"Rara",IF(K355&gt;=Umbrales!$B$5,"Poco común","Común")))))</f>
        <v/>
      </c>
      <c r="M355" s="5" t="n">
        <v>2829.554944</v>
      </c>
      <c r="N355" s="5" t="n">
        <v>1150.017024</v>
      </c>
      <c r="O355" s="5">
        <f>IF(M355="","",M355*J355)</f>
        <v/>
      </c>
      <c r="P355" s="5">
        <f>IF(N355="","",N355*J355)</f>
        <v/>
      </c>
      <c r="Q355" s="7" t="n">
        <v>0.0403</v>
      </c>
      <c r="R355" s="8" t="n">
        <v>12.640495</v>
      </c>
      <c r="S355" s="4" t="inlineStr">
        <is>
          <t>IBEX35</t>
        </is>
      </c>
      <c r="T355" s="9" t="inlineStr">
        <is>
          <t>SI</t>
        </is>
      </c>
      <c r="U355" s="9" t="inlineStr"/>
      <c r="V355" s="10">
        <f>Umbrales!$B$9*(K355/1000)^Umbrales!$B$10</f>
        <v/>
      </c>
    </row>
    <row r="356">
      <c r="A356" s="4" t="inlineStr">
        <is>
          <t>SY1.DE</t>
        </is>
      </c>
      <c r="B356" s="4" t="inlineStr">
        <is>
          <t>Symrise AG</t>
        </is>
      </c>
      <c r="C356" s="4" t="inlineStr">
        <is>
          <t>Germany</t>
        </is>
      </c>
      <c r="D356" s="4" t="inlineStr">
        <is>
          <t>DE</t>
        </is>
      </c>
      <c r="E356" s="4" t="inlineStr">
        <is>
          <t>Materiales</t>
        </is>
      </c>
      <c r="F356" s="4" t="inlineStr">
        <is>
          <t>Specialty Chemicals</t>
        </is>
      </c>
      <c r="G356" s="4" t="inlineStr">
        <is>
          <t>GER</t>
        </is>
      </c>
      <c r="H356" s="4" t="inlineStr">
        <is>
          <t>EUR</t>
        </is>
      </c>
      <c r="I356" s="5" t="n">
        <v>13451.887616</v>
      </c>
      <c r="J356" s="6">
        <f>INDEX(FX!$B:$B,MATCH(H356,FX!$A:$A,0))</f>
        <v/>
      </c>
      <c r="K356" s="5">
        <f>I356*J356</f>
        <v/>
      </c>
      <c r="L356" s="4">
        <f>IF(U356&lt;&gt;"",U356,IF(K356&gt;=Umbrales!$B$2,"Legendaria",IF(K356&gt;=Umbrales!$B$3,"Épica",IF(K356&gt;=Umbrales!$B$4,"Rara",IF(K356&gt;=Umbrales!$B$5,"Poco común","Común")))))</f>
        <v/>
      </c>
      <c r="M356" s="5" t="n">
        <v>4914.876928</v>
      </c>
      <c r="N356" s="5" t="n">
        <v>246.082</v>
      </c>
      <c r="O356" s="5">
        <f>IF(M356="","",M356*J356)</f>
        <v/>
      </c>
      <c r="P356" s="5">
        <f>IF(N356="","",N356*J356)</f>
        <v/>
      </c>
      <c r="Q356" s="7" t="n">
        <v>0.0137</v>
      </c>
      <c r="R356" s="8" t="n">
        <v>54.782124</v>
      </c>
      <c r="S356" s="4" t="inlineStr">
        <is>
          <t>DAX40</t>
        </is>
      </c>
      <c r="T356" s="9" t="inlineStr">
        <is>
          <t>SI</t>
        </is>
      </c>
      <c r="U356" s="9" t="inlineStr"/>
      <c r="V356" s="10">
        <f>Umbrales!$B$9*(K356/1000)^Umbrales!$B$10</f>
        <v/>
      </c>
    </row>
    <row r="357">
      <c r="A357" s="4" t="inlineStr">
        <is>
          <t>MAP.MC</t>
        </is>
      </c>
      <c r="B357" s="4" t="inlineStr">
        <is>
          <t>Mapfre, S.A.</t>
        </is>
      </c>
      <c r="C357" s="4" t="inlineStr">
        <is>
          <t>Spain</t>
        </is>
      </c>
      <c r="D357" s="4" t="inlineStr">
        <is>
          <t>ES</t>
        </is>
      </c>
      <c r="E357" s="4" t="inlineStr">
        <is>
          <t>Finanzas</t>
        </is>
      </c>
      <c r="F357" s="4" t="inlineStr">
        <is>
          <t>Insurance - Diversified</t>
        </is>
      </c>
      <c r="G357" s="4" t="inlineStr">
        <is>
          <t>MCE</t>
        </is>
      </c>
      <c r="H357" s="4" t="inlineStr">
        <is>
          <t>EUR</t>
        </is>
      </c>
      <c r="I357" s="5" t="n">
        <v>13431.3472</v>
      </c>
      <c r="J357" s="6">
        <f>INDEX(FX!$B:$B,MATCH(H357,FX!$A:$A,0))</f>
        <v/>
      </c>
      <c r="K357" s="5">
        <f>I357*J357</f>
        <v/>
      </c>
      <c r="L357" s="4">
        <f>IF(U357&lt;&gt;"",U357,IF(K357&gt;=Umbrales!$B$2,"Legendaria",IF(K357&gt;=Umbrales!$B$3,"Épica",IF(K357&gt;=Umbrales!$B$4,"Rara",IF(K357&gt;=Umbrales!$B$5,"Poco común","Común")))))</f>
        <v/>
      </c>
      <c r="M357" s="5" t="n">
        <v>31145.900032</v>
      </c>
      <c r="N357" s="5" t="n">
        <v>1182.899968</v>
      </c>
      <c r="O357" s="5">
        <f>IF(M357="","",M357*J357)</f>
        <v/>
      </c>
      <c r="P357" s="5">
        <f>IF(N357="","",N357*J357)</f>
        <v/>
      </c>
      <c r="Q357" s="7" t="n">
        <v>0.042</v>
      </c>
      <c r="R357" s="8" t="n">
        <v>11.515789</v>
      </c>
      <c r="S357" s="4" t="inlineStr">
        <is>
          <t>IBEX35</t>
        </is>
      </c>
      <c r="T357" s="9" t="inlineStr">
        <is>
          <t>SI</t>
        </is>
      </c>
      <c r="U357" s="9" t="inlineStr"/>
      <c r="V357" s="10">
        <f>Umbrales!$B$9*(K357/1000)^Umbrales!$B$10</f>
        <v/>
      </c>
    </row>
    <row r="358">
      <c r="A358" s="4" t="inlineStr">
        <is>
          <t>CHTR</t>
        </is>
      </c>
      <c r="B358" s="4" t="inlineStr">
        <is>
          <t>Charter Communications, Inc.</t>
        </is>
      </c>
      <c r="C358" s="4" t="inlineStr">
        <is>
          <t>United States</t>
        </is>
      </c>
      <c r="D358" s="4" t="inlineStr">
        <is>
          <t>US</t>
        </is>
      </c>
      <c r="E358" s="4" t="inlineStr">
        <is>
          <t>Comunicación</t>
        </is>
      </c>
      <c r="F358" s="4" t="inlineStr">
        <is>
          <t>Telecom Services</t>
        </is>
      </c>
      <c r="G358" s="4" t="inlineStr">
        <is>
          <t>NMS</t>
        </is>
      </c>
      <c r="H358" s="4" t="inlineStr">
        <is>
          <t>USD</t>
        </is>
      </c>
      <c r="I358" s="5" t="n">
        <v>13663.741952</v>
      </c>
      <c r="J358" s="6">
        <f>INDEX(FX!$B:$B,MATCH(H358,FX!$A:$A,0))</f>
        <v/>
      </c>
      <c r="K358" s="5">
        <f>I358*J358</f>
        <v/>
      </c>
      <c r="L358" s="4">
        <f>IF(U358&lt;&gt;"",U358,IF(K358&gt;=Umbrales!$B$2,"Legendaria",IF(K358&gt;=Umbrales!$B$3,"Épica",IF(K358&gt;=Umbrales!$B$4,"Rara",IF(K358&gt;=Umbrales!$B$5,"Poco común","Común")))))</f>
        <v/>
      </c>
      <c r="M358" s="5" t="n">
        <v>54395.998208</v>
      </c>
      <c r="N358" s="5" t="n">
        <v>4924.000256</v>
      </c>
      <c r="O358" s="5">
        <f>IF(M358="","",M358*J358)</f>
        <v/>
      </c>
      <c r="P358" s="5">
        <f>IF(N358="","",N358*J358)</f>
        <v/>
      </c>
      <c r="Q358" s="7" t="n">
        <v>0</v>
      </c>
      <c r="R358" s="8" t="n">
        <v>2.7844281</v>
      </c>
      <c r="S358" s="4" t="inlineStr">
        <is>
          <t>NASDAQ100</t>
        </is>
      </c>
      <c r="T358" s="9" t="inlineStr">
        <is>
          <t>SI</t>
        </is>
      </c>
      <c r="U358" s="9" t="inlineStr"/>
      <c r="V358" s="10">
        <f>Umbrales!$B$9*(K358/1000)^Umbrales!$B$10</f>
        <v/>
      </c>
    </row>
    <row r="359">
      <c r="A359" s="4" t="inlineStr">
        <is>
          <t>ANA.MC</t>
        </is>
      </c>
      <c r="B359" s="4" t="inlineStr">
        <is>
          <t>Acciona, S.A.</t>
        </is>
      </c>
      <c r="C359" s="4" t="inlineStr">
        <is>
          <t>Spain</t>
        </is>
      </c>
      <c r="D359" s="4" t="inlineStr">
        <is>
          <t>ES</t>
        </is>
      </c>
      <c r="E359" s="4" t="inlineStr">
        <is>
          <t>Industria</t>
        </is>
      </c>
      <c r="F359" s="4" t="inlineStr">
        <is>
          <t>Engineering &amp; Construction</t>
        </is>
      </c>
      <c r="G359" s="4" t="inlineStr">
        <is>
          <t>MCE</t>
        </is>
      </c>
      <c r="H359" s="4" t="inlineStr">
        <is>
          <t>EUR</t>
        </is>
      </c>
      <c r="I359" s="5" t="n">
        <v>11119.735808</v>
      </c>
      <c r="J359" s="6">
        <f>INDEX(FX!$B:$B,MATCH(H359,FX!$A:$A,0))</f>
        <v/>
      </c>
      <c r="K359" s="5">
        <f>I359*J359</f>
        <v/>
      </c>
      <c r="L359" s="4">
        <f>IF(U359&lt;&gt;"",U359,IF(K359&gt;=Umbrales!$B$2,"Legendaria",IF(K359&gt;=Umbrales!$B$3,"Épica",IF(K359&gt;=Umbrales!$B$4,"Rara",IF(K359&gt;=Umbrales!$B$5,"Poco común","Común")))))</f>
        <v/>
      </c>
      <c r="M359" s="5" t="n">
        <v>21895.999488</v>
      </c>
      <c r="N359" s="5" t="n">
        <v>360</v>
      </c>
      <c r="O359" s="5">
        <f>IF(M359="","",M359*J359)</f>
        <v/>
      </c>
      <c r="P359" s="5">
        <f>IF(N359="","",N359*J359)</f>
        <v/>
      </c>
      <c r="Q359" s="7" t="n">
        <v>0.0273</v>
      </c>
      <c r="R359" s="8" t="n">
        <v>31.570997</v>
      </c>
      <c r="S359" s="4" t="inlineStr">
        <is>
          <t>IBEX35</t>
        </is>
      </c>
      <c r="T359" s="9" t="inlineStr">
        <is>
          <t>SI</t>
        </is>
      </c>
      <c r="U359" s="9" t="inlineStr"/>
      <c r="V359" s="10">
        <f>Umbrales!$B$9*(K359/1000)^Umbrales!$B$10</f>
        <v/>
      </c>
    </row>
    <row r="360">
      <c r="A360" s="4" t="inlineStr">
        <is>
          <t>STLAP.PA</t>
        </is>
      </c>
      <c r="B360" s="4" t="inlineStr">
        <is>
          <t>Stellantis N.V.</t>
        </is>
      </c>
      <c r="C360" s="4" t="inlineStr">
        <is>
          <t>Netherlands</t>
        </is>
      </c>
      <c r="D360" s="4" t="inlineStr">
        <is>
          <t>NL</t>
        </is>
      </c>
      <c r="E360" s="4" t="inlineStr">
        <is>
          <t>Consumo cíclico</t>
        </is>
      </c>
      <c r="F360" s="4" t="inlineStr">
        <is>
          <t>Auto Manufacturers</t>
        </is>
      </c>
      <c r="G360" s="4" t="inlineStr">
        <is>
          <t>PAR</t>
        </is>
      </c>
      <c r="H360" s="4" t="inlineStr">
        <is>
          <t>EUR</t>
        </is>
      </c>
      <c r="I360" s="5" t="n">
        <v>11099.001856</v>
      </c>
      <c r="J360" s="6">
        <f>INDEX(FX!$B:$B,MATCH(H360,FX!$A:$A,0))</f>
        <v/>
      </c>
      <c r="K360" s="5">
        <f>I360*J360</f>
        <v/>
      </c>
      <c r="L360" s="4">
        <f>IF(U360&lt;&gt;"",U360,IF(K360&gt;=Umbrales!$B$2,"Legendaria",IF(K360&gt;=Umbrales!$B$3,"Épica",IF(K360&gt;=Umbrales!$B$4,"Rara",IF(K360&gt;=Umbrales!$B$5,"Poco común","Común")))))</f>
        <v/>
      </c>
      <c r="M360" s="5" t="n">
        <v>160860.995584</v>
      </c>
      <c r="N360" s="5" t="n">
        <v>-19471.998976</v>
      </c>
      <c r="O360" s="5">
        <f>IF(M360="","",M360*J360)</f>
        <v/>
      </c>
      <c r="P360" s="5">
        <f>IF(N360="","",N360*J360)</f>
        <v/>
      </c>
      <c r="Q360" s="7" t="n">
        <v>0</v>
      </c>
      <c r="R360" s="8" t="n"/>
      <c r="S360" s="4" t="inlineStr">
        <is>
          <t>EUROSTOXX50</t>
        </is>
      </c>
      <c r="T360" s="9" t="inlineStr">
        <is>
          <t>SI</t>
        </is>
      </c>
      <c r="U360" s="9" t="inlineStr"/>
      <c r="V360" s="10">
        <f>Umbrales!$B$9*(K360/1000)^Umbrales!$B$10</f>
        <v/>
      </c>
    </row>
    <row r="361">
      <c r="A361" s="4" t="inlineStr">
        <is>
          <t>IDR.MC</t>
        </is>
      </c>
      <c r="B361" s="4" t="inlineStr">
        <is>
          <t>Indra Sistemas, S.A.</t>
        </is>
      </c>
      <c r="C361" s="4" t="inlineStr">
        <is>
          <t>Spain</t>
        </is>
      </c>
      <c r="D361" s="4" t="inlineStr">
        <is>
          <t>ES</t>
        </is>
      </c>
      <c r="E361" s="4" t="inlineStr">
        <is>
          <t>Tecnología</t>
        </is>
      </c>
      <c r="F361" s="4" t="inlineStr">
        <is>
          <t>Information Technology Services</t>
        </is>
      </c>
      <c r="G361" s="4" t="inlineStr">
        <is>
          <t>MCE</t>
        </is>
      </c>
      <c r="H361" s="4" t="inlineStr">
        <is>
          <t>EUR</t>
        </is>
      </c>
      <c r="I361" s="5" t="n">
        <v>10987.589632</v>
      </c>
      <c r="J361" s="6">
        <f>INDEX(FX!$B:$B,MATCH(H361,FX!$A:$A,0))</f>
        <v/>
      </c>
      <c r="K361" s="5">
        <f>I361*J361</f>
        <v/>
      </c>
      <c r="L361" s="4">
        <f>IF(U361&lt;&gt;"",U361,IF(K361&gt;=Umbrales!$B$2,"Legendaria",IF(K361&gt;=Umbrales!$B$3,"Épica",IF(K361&gt;=Umbrales!$B$4,"Rara",IF(K361&gt;=Umbrales!$B$5,"Poco común","Común")))))</f>
        <v/>
      </c>
      <c r="M361" s="5" t="n">
        <v>6340.870144</v>
      </c>
      <c r="N361" s="5" t="n">
        <v>440.404992</v>
      </c>
      <c r="O361" s="5">
        <f>IF(M361="","",M361*J361)</f>
        <v/>
      </c>
      <c r="P361" s="5">
        <f>IF(N361="","",N361*J361)</f>
        <v/>
      </c>
      <c r="Q361" s="7" t="n">
        <v>0.0048</v>
      </c>
      <c r="R361" s="8" t="n">
        <v>21.573883</v>
      </c>
      <c r="S361" s="4" t="inlineStr">
        <is>
          <t>IBEX35</t>
        </is>
      </c>
      <c r="T361" s="9" t="inlineStr">
        <is>
          <t>SI</t>
        </is>
      </c>
      <c r="U361" s="9" t="inlineStr"/>
      <c r="V361" s="10">
        <f>Umbrales!$B$9*(K361/1000)^Umbrales!$B$10</f>
        <v/>
      </c>
    </row>
    <row r="362">
      <c r="A362" s="4" t="inlineStr">
        <is>
          <t>PUIG.MC</t>
        </is>
      </c>
      <c r="B362" s="4" t="inlineStr">
        <is>
          <t>Puig Brands, S.A.</t>
        </is>
      </c>
      <c r="C362" s="4" t="inlineStr">
        <is>
          <t>Spain</t>
        </is>
      </c>
      <c r="D362" s="4" t="inlineStr">
        <is>
          <t>ES</t>
        </is>
      </c>
      <c r="E362" s="4" t="inlineStr">
        <is>
          <t>Consumo básico</t>
        </is>
      </c>
      <c r="F362" s="4" t="inlineStr">
        <is>
          <t>Household &amp; Personal Products</t>
        </is>
      </c>
      <c r="G362" s="4" t="inlineStr">
        <is>
          <t>MCE</t>
        </is>
      </c>
      <c r="H362" s="4" t="inlineStr">
        <is>
          <t>EUR</t>
        </is>
      </c>
      <c r="I362" s="5" t="n">
        <v>10877.169664</v>
      </c>
      <c r="J362" s="6">
        <f>INDEX(FX!$B:$B,MATCH(H362,FX!$A:$A,0))</f>
        <v/>
      </c>
      <c r="K362" s="5">
        <f>I362*J362</f>
        <v/>
      </c>
      <c r="L362" s="4">
        <f>IF(U362&lt;&gt;"",U362,IF(K362&gt;=Umbrales!$B$2,"Legendaria",IF(K362&gt;=Umbrales!$B$3,"Épica",IF(K362&gt;=Umbrales!$B$4,"Rara",IF(K362&gt;=Umbrales!$B$5,"Poco común","Común")))))</f>
        <v/>
      </c>
      <c r="M362" s="5" t="n">
        <v>5096.397824</v>
      </c>
      <c r="N362" s="5" t="n">
        <v>581.502976</v>
      </c>
      <c r="O362" s="5">
        <f>IF(M362="","",M362*J362)</f>
        <v/>
      </c>
      <c r="P362" s="5">
        <f>IF(N362="","",N362*J362)</f>
        <v/>
      </c>
      <c r="Q362" s="7" t="n">
        <v>0.0219</v>
      </c>
      <c r="R362" s="8" t="n">
        <v>19.50505</v>
      </c>
      <c r="S362" s="4" t="inlineStr">
        <is>
          <t>IBEX35</t>
        </is>
      </c>
      <c r="T362" s="9" t="inlineStr">
        <is>
          <t>SI</t>
        </is>
      </c>
      <c r="U362" s="9" t="inlineStr"/>
      <c r="V362" s="10">
        <f>Umbrales!$B$9*(K362/1000)^Umbrales!$B$10</f>
        <v/>
      </c>
    </row>
    <row r="363">
      <c r="A363" s="4" t="inlineStr">
        <is>
          <t>CSGP</t>
        </is>
      </c>
      <c r="B363" s="4" t="inlineStr">
        <is>
          <t>CoStar Group, Inc.</t>
        </is>
      </c>
      <c r="C363" s="4" t="inlineStr">
        <is>
          <t>United States</t>
        </is>
      </c>
      <c r="D363" s="4" t="inlineStr">
        <is>
          <t>US</t>
        </is>
      </c>
      <c r="E363" s="4" t="inlineStr">
        <is>
          <t>Inmobiliario</t>
        </is>
      </c>
      <c r="F363" s="4" t="inlineStr">
        <is>
          <t>Real Estate Services</t>
        </is>
      </c>
      <c r="G363" s="4" t="inlineStr">
        <is>
          <t>NMS</t>
        </is>
      </c>
      <c r="H363" s="4" t="inlineStr">
        <is>
          <t>USD</t>
        </is>
      </c>
      <c r="I363" s="5" t="n">
        <v>12200.500224</v>
      </c>
      <c r="J363" s="6">
        <f>INDEX(FX!$B:$B,MATCH(H363,FX!$A:$A,0))</f>
        <v/>
      </c>
      <c r="K363" s="5">
        <f>I363*J363</f>
        <v/>
      </c>
      <c r="L363" s="4">
        <f>IF(U363&lt;&gt;"",U363,IF(K363&gt;=Umbrales!$B$2,"Legendaria",IF(K363&gt;=Umbrales!$B$3,"Épica",IF(K363&gt;=Umbrales!$B$4,"Rara",IF(K363&gt;=Umbrales!$B$5,"Poco común","Común")))))</f>
        <v/>
      </c>
      <c r="M363" s="5" t="n">
        <v>3556</v>
      </c>
      <c r="N363" s="5" t="n">
        <v>74</v>
      </c>
      <c r="O363" s="5">
        <f>IF(M363="","",M363*J363)</f>
        <v/>
      </c>
      <c r="P363" s="5">
        <f>IF(N363="","",N363*J363)</f>
        <v/>
      </c>
      <c r="Q363" s="7" t="n">
        <v>0</v>
      </c>
      <c r="R363" s="8" t="n">
        <v>167.27777</v>
      </c>
      <c r="S363" s="4" t="inlineStr">
        <is>
          <t>NASDAQ100</t>
        </is>
      </c>
      <c r="T363" s="9" t="inlineStr">
        <is>
          <t>SI</t>
        </is>
      </c>
      <c r="U363" s="9" t="inlineStr"/>
      <c r="V363" s="10">
        <f>Umbrales!$B$9*(K363/1000)^Umbrales!$B$10</f>
        <v/>
      </c>
    </row>
    <row r="364">
      <c r="A364" s="4" t="inlineStr">
        <is>
          <t>FME.DE</t>
        </is>
      </c>
      <c r="B364" s="4" t="inlineStr">
        <is>
          <t>Fresenius Medical Care AG</t>
        </is>
      </c>
      <c r="C364" s="4" t="inlineStr">
        <is>
          <t>Germany</t>
        </is>
      </c>
      <c r="D364" s="4" t="inlineStr">
        <is>
          <t>DE</t>
        </is>
      </c>
      <c r="E364" s="4" t="inlineStr">
        <is>
          <t>Salud</t>
        </is>
      </c>
      <c r="F364" s="4" t="inlineStr">
        <is>
          <t>Medical Care Facilities</t>
        </is>
      </c>
      <c r="G364" s="4" t="inlineStr">
        <is>
          <t>GER</t>
        </is>
      </c>
      <c r="H364" s="4" t="inlineStr">
        <is>
          <t>EUR</t>
        </is>
      </c>
      <c r="I364" s="5" t="n">
        <v>10551.90528</v>
      </c>
      <c r="J364" s="6">
        <f>INDEX(FX!$B:$B,MATCH(H364,FX!$A:$A,0))</f>
        <v/>
      </c>
      <c r="K364" s="5">
        <f>I364*J364</f>
        <v/>
      </c>
      <c r="L364" s="4">
        <f>IF(U364&lt;&gt;"",U364,IF(K364&gt;=Umbrales!$B$2,"Legendaria",IF(K364&gt;=Umbrales!$B$3,"Épica",IF(K364&gt;=Umbrales!$B$4,"Rara",IF(K364&gt;=Umbrales!$B$5,"Poco común","Común")))))</f>
        <v/>
      </c>
      <c r="M364" s="5" t="n">
        <v>19427.147776</v>
      </c>
      <c r="N364" s="5" t="n">
        <v>937.780992</v>
      </c>
      <c r="O364" s="5">
        <f>IF(M364="","",M364*J364)</f>
        <v/>
      </c>
      <c r="P364" s="5">
        <f>IF(N364="","",N364*J364)</f>
        <v/>
      </c>
      <c r="Q364" s="7" t="n">
        <v>0.0398</v>
      </c>
      <c r="R364" s="8" t="n">
        <v>11.693453</v>
      </c>
      <c r="S364" s="4" t="inlineStr">
        <is>
          <t>DAX40</t>
        </is>
      </c>
      <c r="T364" s="9" t="inlineStr">
        <is>
          <t>SI</t>
        </is>
      </c>
      <c r="U364" s="9" t="inlineStr"/>
      <c r="V364" s="10">
        <f>Umbrales!$B$9*(K364/1000)^Umbrales!$B$10</f>
        <v/>
      </c>
    </row>
    <row r="365">
      <c r="A365" s="4" t="inlineStr">
        <is>
          <t>LULU</t>
        </is>
      </c>
      <c r="B365" s="4" t="inlineStr">
        <is>
          <t>lululemon athletica inc.</t>
        </is>
      </c>
      <c r="C365" s="4" t="inlineStr">
        <is>
          <t>Canada</t>
        </is>
      </c>
      <c r="D365" s="4" t="inlineStr">
        <is>
          <t>CA</t>
        </is>
      </c>
      <c r="E365" s="4" t="inlineStr">
        <is>
          <t>Consumo cíclico</t>
        </is>
      </c>
      <c r="F365" s="4" t="inlineStr">
        <is>
          <t>Apparel Retail</t>
        </is>
      </c>
      <c r="G365" s="4" t="inlineStr">
        <is>
          <t>NMS</t>
        </is>
      </c>
      <c r="H365" s="4" t="inlineStr">
        <is>
          <t>USD</t>
        </is>
      </c>
      <c r="I365" s="5" t="n">
        <v>10898.066432</v>
      </c>
      <c r="J365" s="6">
        <f>INDEX(FX!$B:$B,MATCH(H365,FX!$A:$A,0))</f>
        <v/>
      </c>
      <c r="K365" s="5">
        <f>I365*J365</f>
        <v/>
      </c>
      <c r="L365" s="4">
        <f>IF(U365&lt;&gt;"",U365,IF(K365&gt;=Umbrales!$B$2,"Legendaria",IF(K365&gt;=Umbrales!$B$3,"Épica",IF(K365&gt;=Umbrales!$B$4,"Rara",IF(K365&gt;=Umbrales!$B$5,"Poco común","Común")))))</f>
        <v/>
      </c>
      <c r="M365" s="5" t="n">
        <v>11093.95456</v>
      </c>
      <c r="N365" s="5" t="n">
        <v>1417.97696</v>
      </c>
      <c r="O365" s="5">
        <f>IF(M365="","",M365*J365)</f>
        <v/>
      </c>
      <c r="P365" s="5">
        <f>IF(N365="","",N365*J365)</f>
        <v/>
      </c>
      <c r="Q365" s="7" t="n">
        <v>0</v>
      </c>
      <c r="R365" s="8" t="n">
        <v>7.763201</v>
      </c>
      <c r="S365" s="4" t="inlineStr">
        <is>
          <t>NASDAQ100</t>
        </is>
      </c>
      <c r="T365" s="9" t="inlineStr">
        <is>
          <t>SI</t>
        </is>
      </c>
      <c r="U365" s="9" t="inlineStr"/>
      <c r="V365" s="10">
        <f>Umbrales!$B$9*(K365/1000)^Umbrales!$B$10</f>
        <v/>
      </c>
    </row>
    <row r="366">
      <c r="A366" s="4" t="inlineStr">
        <is>
          <t>BNR.DE</t>
        </is>
      </c>
      <c r="B366" s="4" t="inlineStr">
        <is>
          <t>Brenntag SE</t>
        </is>
      </c>
      <c r="C366" s="4" t="inlineStr">
        <is>
          <t>Germany</t>
        </is>
      </c>
      <c r="D366" s="4" t="inlineStr">
        <is>
          <t>DE</t>
        </is>
      </c>
      <c r="E366" s="4" t="inlineStr">
        <is>
          <t>Materiales</t>
        </is>
      </c>
      <c r="F366" s="4" t="inlineStr">
        <is>
          <t>Specialty Chemicals</t>
        </is>
      </c>
      <c r="G366" s="4" t="inlineStr">
        <is>
          <t>GER</t>
        </is>
      </c>
      <c r="H366" s="4" t="inlineStr">
        <is>
          <t>EUR</t>
        </is>
      </c>
      <c r="I366" s="5" t="n">
        <v>9214.674944</v>
      </c>
      <c r="J366" s="6">
        <f>INDEX(FX!$B:$B,MATCH(H366,FX!$A:$A,0))</f>
        <v/>
      </c>
      <c r="K366" s="5">
        <f>I366*J366</f>
        <v/>
      </c>
      <c r="L366" s="4">
        <f>IF(U366&lt;&gt;"",U366,IF(K366&gt;=Umbrales!$B$2,"Legendaria",IF(K366&gt;=Umbrales!$B$3,"Épica",IF(K366&gt;=Umbrales!$B$4,"Rara",IF(K366&gt;=Umbrales!$B$5,"Poco común","Común")))))</f>
        <v/>
      </c>
      <c r="M366" s="5" t="n">
        <v>15155.500032</v>
      </c>
      <c r="N366" s="5" t="n">
        <v>364.6</v>
      </c>
      <c r="O366" s="5">
        <f>IF(M366="","",M366*J366)</f>
        <v/>
      </c>
      <c r="P366" s="5">
        <f>IF(N366="","",N366*J366)</f>
        <v/>
      </c>
      <c r="Q366" s="7" t="n">
        <v>0.0309</v>
      </c>
      <c r="R366" s="8" t="n">
        <v>24.546154</v>
      </c>
      <c r="S366" s="4" t="inlineStr">
        <is>
          <t>DAX40</t>
        </is>
      </c>
      <c r="T366" s="9" t="inlineStr">
        <is>
          <t>SI</t>
        </is>
      </c>
      <c r="U366" s="9" t="inlineStr"/>
      <c r="V366" s="10">
        <f>Umbrales!$B$9*(K366/1000)^Umbrales!$B$10</f>
        <v/>
      </c>
    </row>
    <row r="367">
      <c r="A367" s="4" t="inlineStr">
        <is>
          <t>QIA.DE</t>
        </is>
      </c>
      <c r="B367" s="4" t="inlineStr">
        <is>
          <t>Qiagen N.V.</t>
        </is>
      </c>
      <c r="C367" s="4" t="inlineStr">
        <is>
          <t>Netherlands</t>
        </is>
      </c>
      <c r="D367" s="4" t="inlineStr">
        <is>
          <t>NL</t>
        </is>
      </c>
      <c r="E367" s="4" t="inlineStr">
        <is>
          <t>Salud</t>
        </is>
      </c>
      <c r="F367" s="4" t="inlineStr">
        <is>
          <t>Diagnostics &amp; Research</t>
        </is>
      </c>
      <c r="G367" s="4" t="inlineStr">
        <is>
          <t>GER</t>
        </is>
      </c>
      <c r="H367" s="4" t="inlineStr">
        <is>
          <t>EUR</t>
        </is>
      </c>
      <c r="I367" s="5" t="n">
        <v>8482.815488</v>
      </c>
      <c r="J367" s="6">
        <f>INDEX(FX!$B:$B,MATCH(H367,FX!$A:$A,0))</f>
        <v/>
      </c>
      <c r="K367" s="5">
        <f>I367*J367</f>
        <v/>
      </c>
      <c r="L367" s="4">
        <f>IF(U367&lt;&gt;"",U367,IF(K367&gt;=Umbrales!$B$2,"Legendaria",IF(K367&gt;=Umbrales!$B$3,"Épica",IF(K367&gt;=Umbrales!$B$4,"Rara",IF(K367&gt;=Umbrales!$B$5,"Poco común","Común")))))</f>
        <v/>
      </c>
      <c r="M367" s="5" t="n">
        <v>2100.363008</v>
      </c>
      <c r="N367" s="5" t="n">
        <v>409.316</v>
      </c>
      <c r="O367" s="5">
        <f>IF(M367="","",M367*J367)</f>
        <v/>
      </c>
      <c r="P367" s="5">
        <f>IF(N367="","",N367*J367)</f>
        <v/>
      </c>
      <c r="Q367" s="7" t="n">
        <v>0.0075</v>
      </c>
      <c r="R367" s="8" t="n">
        <v>24.598804</v>
      </c>
      <c r="S367" s="4" t="inlineStr">
        <is>
          <t>DAX40</t>
        </is>
      </c>
      <c r="T367" s="9" t="inlineStr">
        <is>
          <t>SI</t>
        </is>
      </c>
      <c r="U367" s="9" t="inlineStr"/>
      <c r="V367" s="10">
        <f>Umbrales!$B$9*(K367/1000)^Umbrales!$B$10</f>
        <v/>
      </c>
    </row>
    <row r="368">
      <c r="A368" s="4" t="inlineStr">
        <is>
          <t>UNI.MC</t>
        </is>
      </c>
      <c r="B368" s="4" t="inlineStr">
        <is>
          <t>Unicaja Banco, S.A.</t>
        </is>
      </c>
      <c r="C368" s="4" t="inlineStr">
        <is>
          <t>Spain</t>
        </is>
      </c>
      <c r="D368" s="4" t="inlineStr">
        <is>
          <t>ES</t>
        </is>
      </c>
      <c r="E368" s="4" t="inlineStr">
        <is>
          <t>Finanzas</t>
        </is>
      </c>
      <c r="F368" s="4" t="inlineStr">
        <is>
          <t>Banks - Regional</t>
        </is>
      </c>
      <c r="G368" s="4" t="inlineStr">
        <is>
          <t>MCE</t>
        </is>
      </c>
      <c r="H368" s="4" t="inlineStr">
        <is>
          <t>EUR</t>
        </is>
      </c>
      <c r="I368" s="5" t="n">
        <v>8356.248576</v>
      </c>
      <c r="J368" s="6">
        <f>INDEX(FX!$B:$B,MATCH(H368,FX!$A:$A,0))</f>
        <v/>
      </c>
      <c r="K368" s="5">
        <f>I368*J368</f>
        <v/>
      </c>
      <c r="L368" s="4">
        <f>IF(U368&lt;&gt;"",U368,IF(K368&gt;=Umbrales!$B$2,"Legendaria",IF(K368&gt;=Umbrales!$B$3,"Épica",IF(K368&gt;=Umbrales!$B$4,"Rara",IF(K368&gt;=Umbrales!$B$5,"Poco común","Común")))))</f>
        <v/>
      </c>
      <c r="M368" s="5" t="n">
        <v>2025.156992</v>
      </c>
      <c r="N368" s="5" t="n">
        <v>649.4860159999999</v>
      </c>
      <c r="O368" s="5">
        <f>IF(M368="","",M368*J368)</f>
        <v/>
      </c>
      <c r="P368" s="5">
        <f>IF(N368="","",N368*J368)</f>
        <v/>
      </c>
      <c r="Q368" s="7" t="n">
        <v>0.0587</v>
      </c>
      <c r="R368" s="8" t="n">
        <v>12.507693</v>
      </c>
      <c r="S368" s="4" t="inlineStr">
        <is>
          <t>IBEX35</t>
        </is>
      </c>
      <c r="T368" s="9" t="inlineStr">
        <is>
          <t>SI</t>
        </is>
      </c>
      <c r="U368" s="9" t="inlineStr"/>
      <c r="V368" s="10">
        <f>Umbrales!$B$9*(K368/1000)^Umbrales!$B$10</f>
        <v/>
      </c>
    </row>
    <row r="369">
      <c r="A369" s="4" t="inlineStr">
        <is>
          <t>RED.MC</t>
        </is>
      </c>
      <c r="B369" s="4" t="inlineStr">
        <is>
          <t>Redeia Corporación, S.A.</t>
        </is>
      </c>
      <c r="C369" s="4" t="inlineStr">
        <is>
          <t>Spain</t>
        </is>
      </c>
      <c r="D369" s="4" t="inlineStr">
        <is>
          <t>ES</t>
        </is>
      </c>
      <c r="E369" s="4" t="inlineStr">
        <is>
          <t>Servicios públicos</t>
        </is>
      </c>
      <c r="F369" s="4" t="inlineStr">
        <is>
          <t>Utilities - Regulated Electric</t>
        </is>
      </c>
      <c r="G369" s="4" t="inlineStr">
        <is>
          <t>MCE</t>
        </is>
      </c>
      <c r="H369" s="4" t="inlineStr">
        <is>
          <t>EUR</t>
        </is>
      </c>
      <c r="I369" s="5" t="n">
        <v>8099.334656</v>
      </c>
      <c r="J369" s="6">
        <f>INDEX(FX!$B:$B,MATCH(H369,FX!$A:$A,0))</f>
        <v/>
      </c>
      <c r="K369" s="5">
        <f>I369*J369</f>
        <v/>
      </c>
      <c r="L369" s="4">
        <f>IF(U369&lt;&gt;"",U369,IF(K369&gt;=Umbrales!$B$2,"Legendaria",IF(K369&gt;=Umbrales!$B$3,"Épica",IF(K369&gt;=Umbrales!$B$4,"Rara",IF(K369&gt;=Umbrales!$B$5,"Poco común","Común")))))</f>
        <v/>
      </c>
      <c r="M369" s="5" t="n">
        <v>1791.981952</v>
      </c>
      <c r="N369" s="5" t="n">
        <v>482.772992</v>
      </c>
      <c r="O369" s="5">
        <f>IF(M369="","",M369*J369)</f>
        <v/>
      </c>
      <c r="P369" s="5">
        <f>IF(N369="","",N369*J369)</f>
        <v/>
      </c>
      <c r="Q369" s="7" t="n">
        <v>0.0536</v>
      </c>
      <c r="R369" s="8" t="n">
        <v>16.86517</v>
      </c>
      <c r="S369" s="4" t="inlineStr">
        <is>
          <t>IBEX35</t>
        </is>
      </c>
      <c r="T369" s="9" t="inlineStr">
        <is>
          <t>SI</t>
        </is>
      </c>
      <c r="U369" s="9" t="inlineStr"/>
      <c r="V369" s="10">
        <f>Umbrales!$B$9*(K369/1000)^Umbrales!$B$10</f>
        <v/>
      </c>
    </row>
    <row r="370">
      <c r="A370" s="4" t="inlineStr">
        <is>
          <t>PAH3.DE</t>
        </is>
      </c>
      <c r="B370" s="4" t="inlineStr">
        <is>
          <t>Porsche Automobil Holding SE</t>
        </is>
      </c>
      <c r="C370" s="4" t="inlineStr">
        <is>
          <t>Germany</t>
        </is>
      </c>
      <c r="D370" s="4" t="inlineStr">
        <is>
          <t>DE</t>
        </is>
      </c>
      <c r="E370" s="4" t="inlineStr">
        <is>
          <t>Consumo cíclico</t>
        </is>
      </c>
      <c r="F370" s="4" t="inlineStr">
        <is>
          <t>Auto Manufacturers</t>
        </is>
      </c>
      <c r="G370" s="4" t="inlineStr">
        <is>
          <t>GER</t>
        </is>
      </c>
      <c r="H370" s="4" t="inlineStr">
        <is>
          <t>EUR</t>
        </is>
      </c>
      <c r="I370" s="5" t="n">
        <v>7466.374144</v>
      </c>
      <c r="J370" s="6">
        <f>INDEX(FX!$B:$B,MATCH(H370,FX!$A:$A,0))</f>
        <v/>
      </c>
      <c r="K370" s="5">
        <f>I370*J370</f>
        <v/>
      </c>
      <c r="L370" s="4">
        <f>IF(U370&lt;&gt;"",U370,IF(K370&gt;=Umbrales!$B$2,"Legendaria",IF(K370&gt;=Umbrales!$B$3,"Épica",IF(K370&gt;=Umbrales!$B$4,"Rara",IF(K370&gt;=Umbrales!$B$5,"Poco común","Común")))))</f>
        <v/>
      </c>
      <c r="M370" s="5" t="n"/>
      <c r="N370" s="5" t="n">
        <v>95</v>
      </c>
      <c r="O370" s="5">
        <f>IF(M370="","",M370*J370)</f>
        <v/>
      </c>
      <c r="P370" s="5">
        <f>IF(N370="","",N370*J370)</f>
        <v/>
      </c>
      <c r="Q370" s="7" t="n">
        <v>0.0596</v>
      </c>
      <c r="R370" s="8" t="n">
        <v>78.64516</v>
      </c>
      <c r="S370" s="4" t="inlineStr">
        <is>
          <t>DAX40</t>
        </is>
      </c>
      <c r="T370" s="9" t="inlineStr">
        <is>
          <t>SI</t>
        </is>
      </c>
      <c r="U370" s="9" t="inlineStr"/>
      <c r="V370" s="10">
        <f>Umbrales!$B$9*(K370/1000)^Umbrales!$B$10</f>
        <v/>
      </c>
    </row>
    <row r="371">
      <c r="A371" s="4" t="inlineStr">
        <is>
          <t>MRL.MC</t>
        </is>
      </c>
      <c r="B371" s="4" t="inlineStr">
        <is>
          <t>MERLIN Properties SOCIMI, S.A.</t>
        </is>
      </c>
      <c r="C371" s="4" t="inlineStr">
        <is>
          <t>Spain</t>
        </is>
      </c>
      <c r="D371" s="4" t="inlineStr">
        <is>
          <t>ES</t>
        </is>
      </c>
      <c r="E371" s="4" t="inlineStr">
        <is>
          <t>Inmobiliario</t>
        </is>
      </c>
      <c r="F371" s="4" t="inlineStr">
        <is>
          <t>REIT - Office</t>
        </is>
      </c>
      <c r="G371" s="4" t="inlineStr">
        <is>
          <t>MCE</t>
        </is>
      </c>
      <c r="H371" s="4" t="inlineStr">
        <is>
          <t>EUR</t>
        </is>
      </c>
      <c r="I371" s="5" t="n">
        <v>7108.21888</v>
      </c>
      <c r="J371" s="6">
        <f>INDEX(FX!$B:$B,MATCH(H371,FX!$A:$A,0))</f>
        <v/>
      </c>
      <c r="K371" s="5">
        <f>I371*J371</f>
        <v/>
      </c>
      <c r="L371" s="4">
        <f>IF(U371&lt;&gt;"",U371,IF(K371&gt;=Umbrales!$B$2,"Legendaria",IF(K371&gt;=Umbrales!$B$3,"Épica",IF(K371&gt;=Umbrales!$B$4,"Rara",IF(K371&gt;=Umbrales!$B$5,"Poco común","Común")))))</f>
        <v/>
      </c>
      <c r="M371" s="5" t="n">
        <v>601.452032</v>
      </c>
      <c r="N371" s="5" t="n">
        <v>852.153024</v>
      </c>
      <c r="O371" s="5">
        <f>IF(M371="","",M371*J371)</f>
        <v/>
      </c>
      <c r="P371" s="5">
        <f>IF(N371="","",N371*J371)</f>
        <v/>
      </c>
      <c r="Q371" s="7" t="n">
        <v>0.0181</v>
      </c>
      <c r="R371" s="8" t="n">
        <v>7.7567563</v>
      </c>
      <c r="S371" s="4" t="inlineStr">
        <is>
          <t>IBEX35</t>
        </is>
      </c>
      <c r="T371" s="9" t="inlineStr">
        <is>
          <t>SI</t>
        </is>
      </c>
      <c r="U371" s="9" t="inlineStr"/>
      <c r="V371" s="10">
        <f>Umbrales!$B$9*(K371/1000)^Umbrales!$B$10</f>
        <v/>
      </c>
    </row>
    <row r="372">
      <c r="A372" s="4" t="inlineStr">
        <is>
          <t>ANE.MC</t>
        </is>
      </c>
      <c r="B372" s="4" t="inlineStr">
        <is>
          <t>Corporación Acciona Energías Renovables, S.A.</t>
        </is>
      </c>
      <c r="C372" s="4" t="inlineStr">
        <is>
          <t>Spain</t>
        </is>
      </c>
      <c r="D372" s="4" t="inlineStr">
        <is>
          <t>ES</t>
        </is>
      </c>
      <c r="E372" s="4" t="inlineStr">
        <is>
          <t>Servicios públicos</t>
        </is>
      </c>
      <c r="F372" s="4" t="inlineStr">
        <is>
          <t>Utilities - Renewable</t>
        </is>
      </c>
      <c r="G372" s="4" t="inlineStr">
        <is>
          <t>MCE</t>
        </is>
      </c>
      <c r="H372" s="4" t="inlineStr">
        <is>
          <t>EUR</t>
        </is>
      </c>
      <c r="I372" s="5" t="n">
        <v>7036.232192</v>
      </c>
      <c r="J372" s="6">
        <f>INDEX(FX!$B:$B,MATCH(H372,FX!$A:$A,0))</f>
        <v/>
      </c>
      <c r="K372" s="5">
        <f>I372*J372</f>
        <v/>
      </c>
      <c r="L372" s="4">
        <f>IF(U372&lt;&gt;"",U372,IF(K372&gt;=Umbrales!$B$2,"Legendaria",IF(K372&gt;=Umbrales!$B$3,"Épica",IF(K372&gt;=Umbrales!$B$4,"Rara",IF(K372&gt;=Umbrales!$B$5,"Poco común","Común")))))</f>
        <v/>
      </c>
      <c r="M372" s="5" t="n">
        <v>3339.000064</v>
      </c>
      <c r="N372" s="5" t="n">
        <v>182</v>
      </c>
      <c r="O372" s="5">
        <f>IF(M372="","",M372*J372)</f>
        <v/>
      </c>
      <c r="P372" s="5">
        <f>IF(N372="","",N372*J372)</f>
        <v/>
      </c>
      <c r="Q372" s="7" t="n">
        <v>0.0014</v>
      </c>
      <c r="R372" s="8" t="n">
        <v>37.37931</v>
      </c>
      <c r="S372" s="4" t="inlineStr">
        <is>
          <t>IBEX35</t>
        </is>
      </c>
      <c r="T372" s="9" t="inlineStr">
        <is>
          <t>SI</t>
        </is>
      </c>
      <c r="U372" s="9" t="inlineStr"/>
      <c r="V372" s="10">
        <f>Umbrales!$B$9*(K372/1000)^Umbrales!$B$10</f>
        <v/>
      </c>
    </row>
    <row r="373">
      <c r="A373" s="4" t="inlineStr">
        <is>
          <t>GRF.MC</t>
        </is>
      </c>
      <c r="B373" s="4" t="inlineStr">
        <is>
          <t>Grifols, S.A.</t>
        </is>
      </c>
      <c r="C373" s="4" t="inlineStr">
        <is>
          <t>Spain</t>
        </is>
      </c>
      <c r="D373" s="4" t="inlineStr">
        <is>
          <t>ES</t>
        </is>
      </c>
      <c r="E373" s="4" t="inlineStr">
        <is>
          <t>Salud</t>
        </is>
      </c>
      <c r="F373" s="4" t="inlineStr">
        <is>
          <t>Drug Manufacturers - General</t>
        </is>
      </c>
      <c r="G373" s="4" t="inlineStr">
        <is>
          <t>MCE</t>
        </is>
      </c>
      <c r="H373" s="4" t="inlineStr">
        <is>
          <t>EUR</t>
        </is>
      </c>
      <c r="I373" s="5" t="n">
        <v>6853.434368</v>
      </c>
      <c r="J373" s="6">
        <f>INDEX(FX!$B:$B,MATCH(H373,FX!$A:$A,0))</f>
        <v/>
      </c>
      <c r="K373" s="5">
        <f>I373*J373</f>
        <v/>
      </c>
      <c r="L373" s="4">
        <f>IF(U373&lt;&gt;"",U373,IF(K373&gt;=Umbrales!$B$2,"Legendaria",IF(K373&gt;=Umbrales!$B$3,"Épica",IF(K373&gt;=Umbrales!$B$4,"Rara",IF(K373&gt;=Umbrales!$B$5,"Poco común","Común")))))</f>
        <v/>
      </c>
      <c r="M373" s="5" t="n">
        <v>7421.000192</v>
      </c>
      <c r="N373" s="5" t="n">
        <v>452</v>
      </c>
      <c r="O373" s="5">
        <f>IF(M373="","",M373*J373)</f>
        <v/>
      </c>
      <c r="P373" s="5">
        <f>IF(N373="","",N373*J373)</f>
        <v/>
      </c>
      <c r="Q373" s="7" t="n">
        <v>0.008399999999999999</v>
      </c>
      <c r="R373" s="8" t="n">
        <v>15.492308</v>
      </c>
      <c r="S373" s="4" t="inlineStr">
        <is>
          <t>IBEX35</t>
        </is>
      </c>
      <c r="T373" s="9" t="inlineStr">
        <is>
          <t>SI</t>
        </is>
      </c>
      <c r="U373" s="9" t="inlineStr"/>
      <c r="V373" s="10">
        <f>Umbrales!$B$9*(K373/1000)^Umbrales!$B$10</f>
        <v/>
      </c>
    </row>
    <row r="374">
      <c r="A374" s="4" t="inlineStr">
        <is>
          <t>ZAL.DE</t>
        </is>
      </c>
      <c r="B374" s="4" t="inlineStr">
        <is>
          <t>Zalando SE</t>
        </is>
      </c>
      <c r="C374" s="4" t="inlineStr">
        <is>
          <t>Germany</t>
        </is>
      </c>
      <c r="D374" s="4" t="inlineStr">
        <is>
          <t>DE</t>
        </is>
      </c>
      <c r="E374" s="4" t="inlineStr">
        <is>
          <t>Consumo cíclico</t>
        </is>
      </c>
      <c r="F374" s="4" t="inlineStr">
        <is>
          <t>Internet Retail</t>
        </is>
      </c>
      <c r="G374" s="4" t="inlineStr">
        <is>
          <t>GER</t>
        </is>
      </c>
      <c r="H374" s="4" t="inlineStr">
        <is>
          <t>EUR</t>
        </is>
      </c>
      <c r="I374" s="5" t="n">
        <v>5910.188032</v>
      </c>
      <c r="J374" s="6">
        <f>INDEX(FX!$B:$B,MATCH(H374,FX!$A:$A,0))</f>
        <v/>
      </c>
      <c r="K374" s="5">
        <f>I374*J374</f>
        <v/>
      </c>
      <c r="L374" s="4">
        <f>IF(U374&lt;&gt;"",U374,IF(K374&gt;=Umbrales!$B$2,"Legendaria",IF(K374&gt;=Umbrales!$B$3,"Épica",IF(K374&gt;=Umbrales!$B$4,"Rara",IF(K374&gt;=Umbrales!$B$5,"Poco común","Común")))))</f>
        <v/>
      </c>
      <c r="M374" s="5" t="n">
        <v>13512.09984</v>
      </c>
      <c r="N374" s="5" t="n">
        <v>94.8</v>
      </c>
      <c r="O374" s="5">
        <f>IF(M374="","",M374*J374)</f>
        <v/>
      </c>
      <c r="P374" s="5">
        <f>IF(N374="","",N374*J374)</f>
        <v/>
      </c>
      <c r="Q374" s="7" t="n">
        <v>0</v>
      </c>
      <c r="R374" s="8" t="n">
        <v>60.5</v>
      </c>
      <c r="S374" s="4" t="inlineStr">
        <is>
          <t>DAX40</t>
        </is>
      </c>
      <c r="T374" s="9" t="inlineStr">
        <is>
          <t>SI</t>
        </is>
      </c>
      <c r="U374" s="9" t="inlineStr"/>
      <c r="V374" s="10">
        <f>Umbrales!$B$9*(K374/1000)^Umbrales!$B$10</f>
        <v/>
      </c>
    </row>
    <row r="375">
      <c r="A375" s="4" t="inlineStr">
        <is>
          <t>TTD</t>
        </is>
      </c>
      <c r="B375" s="4" t="inlineStr">
        <is>
          <t>The Trade Desk, Inc.</t>
        </is>
      </c>
      <c r="C375" s="4" t="inlineStr">
        <is>
          <t>United States</t>
        </is>
      </c>
      <c r="D375" s="4" t="inlineStr">
        <is>
          <t>US</t>
        </is>
      </c>
      <c r="E375" s="4" t="inlineStr">
        <is>
          <t>Comunicación</t>
        </is>
      </c>
      <c r="F375" s="4" t="inlineStr">
        <is>
          <t>Advertising Agencies</t>
        </is>
      </c>
      <c r="G375" s="4" t="inlineStr">
        <is>
          <t>NGM</t>
        </is>
      </c>
      <c r="H375" s="4" t="inlineStr">
        <is>
          <t>USD</t>
        </is>
      </c>
      <c r="I375" s="5" t="n">
        <v>5758.644736</v>
      </c>
      <c r="J375" s="6">
        <f>INDEX(FX!$B:$B,MATCH(H375,FX!$A:$A,0))</f>
        <v/>
      </c>
      <c r="K375" s="5">
        <f>I375*J375</f>
        <v/>
      </c>
      <c r="L375" s="4">
        <f>IF(U375&lt;&gt;"",U375,IF(K375&gt;=Umbrales!$B$2,"Legendaria",IF(K375&gt;=Umbrales!$B$3,"Épica",IF(K375&gt;=Umbrales!$B$4,"Rara",IF(K375&gt;=Umbrales!$B$5,"Poco común","Común")))))</f>
        <v/>
      </c>
      <c r="M375" s="5" t="n">
        <v>2990.138112</v>
      </c>
      <c r="N375" s="5" t="n">
        <v>406.888</v>
      </c>
      <c r="O375" s="5">
        <f>IF(M375="","",M375*J375)</f>
        <v/>
      </c>
      <c r="P375" s="5">
        <f>IF(N375="","",N375*J375)</f>
        <v/>
      </c>
      <c r="Q375" s="7" t="n">
        <v>0</v>
      </c>
      <c r="R375" s="8" t="n">
        <v>14.6747</v>
      </c>
      <c r="S375" s="4" t="inlineStr">
        <is>
          <t>NASDAQ100</t>
        </is>
      </c>
      <c r="T375" s="9" t="inlineStr">
        <is>
          <t>SI</t>
        </is>
      </c>
      <c r="U375" s="9" t="inlineStr"/>
      <c r="V375" s="10">
        <f>Umbrales!$B$9*(K375/1000)^Umbrales!$B$10</f>
        <v/>
      </c>
    </row>
    <row r="376">
      <c r="A376" s="4" t="inlineStr">
        <is>
          <t>LOG.MC</t>
        </is>
      </c>
      <c r="B376" s="4" t="inlineStr">
        <is>
          <t>Logista Integral, S.A.</t>
        </is>
      </c>
      <c r="C376" s="4" t="inlineStr">
        <is>
          <t>Spain</t>
        </is>
      </c>
      <c r="D376" s="4" t="inlineStr">
        <is>
          <t>ES</t>
        </is>
      </c>
      <c r="E376" s="4" t="inlineStr">
        <is>
          <t>Industria</t>
        </is>
      </c>
      <c r="F376" s="4" t="inlineStr">
        <is>
          <t>Integrated Freight &amp; Logistics</t>
        </is>
      </c>
      <c r="G376" s="4" t="inlineStr">
        <is>
          <t>MCE</t>
        </is>
      </c>
      <c r="H376" s="4" t="inlineStr">
        <is>
          <t>EUR</t>
        </is>
      </c>
      <c r="I376" s="5" t="n">
        <v>4842.14784</v>
      </c>
      <c r="J376" s="6">
        <f>INDEX(FX!$B:$B,MATCH(H376,FX!$A:$A,0))</f>
        <v/>
      </c>
      <c r="K376" s="5">
        <f>I376*J376</f>
        <v/>
      </c>
      <c r="L376" s="4">
        <f>IF(U376&lt;&gt;"",U376,IF(K376&gt;=Umbrales!$B$2,"Legendaria",IF(K376&gt;=Umbrales!$B$3,"Épica",IF(K376&gt;=Umbrales!$B$4,"Rara",IF(K376&gt;=Umbrales!$B$5,"Poco común","Común")))))</f>
        <v/>
      </c>
      <c r="M376" s="5" t="n">
        <v>13764.241408</v>
      </c>
      <c r="N376" s="5" t="n">
        <v>277.072</v>
      </c>
      <c r="O376" s="5">
        <f>IF(M376="","",M376*J376)</f>
        <v/>
      </c>
      <c r="P376" s="5">
        <f>IF(N376="","",N376*J376)</f>
        <v/>
      </c>
      <c r="Q376" s="7" t="n">
        <v>0.0561</v>
      </c>
      <c r="R376" s="8" t="n">
        <v>17.44762</v>
      </c>
      <c r="S376" s="4" t="inlineStr">
        <is>
          <t>IBEX35</t>
        </is>
      </c>
      <c r="T376" s="9" t="inlineStr">
        <is>
          <t>SI</t>
        </is>
      </c>
      <c r="U376" s="9" t="inlineStr"/>
      <c r="V376" s="10">
        <f>Umbrales!$B$9*(K376/1000)^Umbrales!$B$10</f>
        <v/>
      </c>
    </row>
    <row r="377">
      <c r="A377" s="4" t="inlineStr">
        <is>
          <t>ENG.MC</t>
        </is>
      </c>
      <c r="B377" s="4" t="inlineStr">
        <is>
          <t>Enagás, S.A.</t>
        </is>
      </c>
      <c r="C377" s="4" t="inlineStr">
        <is>
          <t>Spain</t>
        </is>
      </c>
      <c r="D377" s="4" t="inlineStr">
        <is>
          <t>ES</t>
        </is>
      </c>
      <c r="E377" s="4" t="inlineStr">
        <is>
          <t>Servicios públicos</t>
        </is>
      </c>
      <c r="F377" s="4" t="inlineStr">
        <is>
          <t>Utilities - Regulated Gas</t>
        </is>
      </c>
      <c r="G377" s="4" t="inlineStr">
        <is>
          <t>MCE</t>
        </is>
      </c>
      <c r="H377" s="4" t="inlineStr">
        <is>
          <t>EUR</t>
        </is>
      </c>
      <c r="I377" s="5" t="n">
        <v>4409.44896</v>
      </c>
      <c r="J377" s="6">
        <f>INDEX(FX!$B:$B,MATCH(H377,FX!$A:$A,0))</f>
        <v/>
      </c>
      <c r="K377" s="5">
        <f>I377*J377</f>
        <v/>
      </c>
      <c r="L377" s="4">
        <f>IF(U377&lt;&gt;"",U377,IF(K377&gt;=Umbrales!$B$2,"Legendaria",IF(K377&gt;=Umbrales!$B$3,"Épica",IF(K377&gt;=Umbrales!$B$4,"Rara",IF(K377&gt;=Umbrales!$B$5,"Poco común","Común")))))</f>
        <v/>
      </c>
      <c r="M377" s="5" t="n">
        <v>952.148992</v>
      </c>
      <c r="N377" s="5" t="n">
        <v>289.98</v>
      </c>
      <c r="O377" s="5">
        <f>IF(M377="","",M377*J377)</f>
        <v/>
      </c>
      <c r="P377" s="5">
        <f>IF(N377="","",N377*J377)</f>
        <v/>
      </c>
      <c r="Q377" s="7" t="n">
        <v>0.0597</v>
      </c>
      <c r="R377" s="8" t="n">
        <v>14</v>
      </c>
      <c r="S377" s="4" t="inlineStr">
        <is>
          <t>IBEX35</t>
        </is>
      </c>
      <c r="T377" s="9" t="inlineStr">
        <is>
          <t>SI</t>
        </is>
      </c>
      <c r="U377" s="9" t="inlineStr"/>
      <c r="V377" s="10">
        <f>Umbrales!$B$9*(K377/1000)^Umbrales!$B$10</f>
        <v/>
      </c>
    </row>
    <row r="378">
      <c r="A378" s="4" t="inlineStr">
        <is>
          <t>ACX.MC</t>
        </is>
      </c>
      <c r="B378" s="4" t="inlineStr">
        <is>
          <t>Acerinox, S.A.</t>
        </is>
      </c>
      <c r="C378" s="4" t="inlineStr">
        <is>
          <t>Spain</t>
        </is>
      </c>
      <c r="D378" s="4" t="inlineStr">
        <is>
          <t>ES</t>
        </is>
      </c>
      <c r="E378" s="4" t="inlineStr">
        <is>
          <t>Materiales</t>
        </is>
      </c>
      <c r="F378" s="4" t="inlineStr">
        <is>
          <t>Steel</t>
        </is>
      </c>
      <c r="G378" s="4" t="inlineStr">
        <is>
          <t>MCE</t>
        </is>
      </c>
      <c r="H378" s="4" t="inlineStr">
        <is>
          <t>EUR</t>
        </is>
      </c>
      <c r="I378" s="5" t="n">
        <v>4193.341696</v>
      </c>
      <c r="J378" s="6">
        <f>INDEX(FX!$B:$B,MATCH(H378,FX!$A:$A,0))</f>
        <v/>
      </c>
      <c r="K378" s="5">
        <f>I378*J378</f>
        <v/>
      </c>
      <c r="L378" s="4">
        <f>IF(U378&lt;&gt;"",U378,IF(K378&gt;=Umbrales!$B$2,"Legendaria",IF(K378&gt;=Umbrales!$B$3,"Épica",IF(K378&gt;=Umbrales!$B$4,"Rara",IF(K378&gt;=Umbrales!$B$5,"Poco común","Común")))))</f>
        <v/>
      </c>
      <c r="M378" s="5" t="n">
        <v>5695.66976</v>
      </c>
      <c r="N378" s="5" t="n">
        <v>54.071</v>
      </c>
      <c r="O378" s="5">
        <f>IF(M378="","",M378*J378)</f>
        <v/>
      </c>
      <c r="P378" s="5">
        <f>IF(N378="","",N378*J378)</f>
        <v/>
      </c>
      <c r="Q378" s="7" t="n">
        <v>0.0369</v>
      </c>
      <c r="R378" s="8" t="n">
        <v>52.59375</v>
      </c>
      <c r="S378" s="4" t="inlineStr">
        <is>
          <t>IBEX35</t>
        </is>
      </c>
      <c r="T378" s="9" t="inlineStr">
        <is>
          <t>SI</t>
        </is>
      </c>
      <c r="U378" s="9" t="inlineStr"/>
      <c r="V378" s="10">
        <f>Umbrales!$B$9*(K378/1000)^Umbrales!$B$10</f>
        <v/>
      </c>
    </row>
    <row r="379">
      <c r="A379" s="4" t="inlineStr">
        <is>
          <t>FDR.MC</t>
        </is>
      </c>
      <c r="B379" s="4" t="inlineStr">
        <is>
          <t>Fluidra, S.A.</t>
        </is>
      </c>
      <c r="C379" s="4" t="inlineStr">
        <is>
          <t>Spain</t>
        </is>
      </c>
      <c r="D379" s="4" t="inlineStr">
        <is>
          <t>ES</t>
        </is>
      </c>
      <c r="E379" s="4" t="inlineStr">
        <is>
          <t>Consumo cíclico</t>
        </is>
      </c>
      <c r="F379" s="4" t="inlineStr">
        <is>
          <t>Leisure</t>
        </is>
      </c>
      <c r="G379" s="4" t="inlineStr">
        <is>
          <t>MCE</t>
        </is>
      </c>
      <c r="H379" s="4" t="inlineStr">
        <is>
          <t>EUR</t>
        </is>
      </c>
      <c r="I379" s="5" t="n">
        <v>3249.313536</v>
      </c>
      <c r="J379" s="6">
        <f>INDEX(FX!$B:$B,MATCH(H379,FX!$A:$A,0))</f>
        <v/>
      </c>
      <c r="K379" s="5">
        <f>I379*J379</f>
        <v/>
      </c>
      <c r="L379" s="4">
        <f>IF(U379&lt;&gt;"",U379,IF(K379&gt;=Umbrales!$B$2,"Legendaria",IF(K379&gt;=Umbrales!$B$3,"Épica",IF(K379&gt;=Umbrales!$B$4,"Rara",IF(K379&gt;=Umbrales!$B$5,"Poco común","Común")))))</f>
        <v/>
      </c>
      <c r="M379" s="5" t="n">
        <v>2293.446912</v>
      </c>
      <c r="N379" s="5" t="n">
        <v>166.384</v>
      </c>
      <c r="O379" s="5">
        <f>IF(M379="","",M379*J379)</f>
        <v/>
      </c>
      <c r="P379" s="5">
        <f>IF(N379="","",N379*J379)</f>
        <v/>
      </c>
      <c r="Q379" s="7" t="n">
        <v>0.0382</v>
      </c>
      <c r="R379" s="8" t="n">
        <v>19.885056</v>
      </c>
      <c r="S379" s="4" t="inlineStr">
        <is>
          <t>IBEX35</t>
        </is>
      </c>
      <c r="T379" s="9" t="inlineStr">
        <is>
          <t>SI</t>
        </is>
      </c>
      <c r="U379" s="9" t="inlineStr"/>
      <c r="V379" s="10">
        <f>Umbrales!$B$9*(K379/1000)^Umbrales!$B$10</f>
        <v/>
      </c>
    </row>
    <row r="380">
      <c r="A380" s="4" t="inlineStr">
        <is>
          <t>COL.MC</t>
        </is>
      </c>
      <c r="B380" s="4" t="inlineStr">
        <is>
          <t>Colonial SFL, Socimi S. A.</t>
        </is>
      </c>
      <c r="C380" s="4" t="inlineStr">
        <is>
          <t>Spain</t>
        </is>
      </c>
      <c r="D380" s="4" t="inlineStr">
        <is>
          <t>ES</t>
        </is>
      </c>
      <c r="E380" s="4" t="inlineStr">
        <is>
          <t>Inmobiliario</t>
        </is>
      </c>
      <c r="F380" s="4" t="inlineStr">
        <is>
          <t>REIT - Office</t>
        </is>
      </c>
      <c r="G380" s="4" t="inlineStr">
        <is>
          <t>MCE</t>
        </is>
      </c>
      <c r="H380" s="4" t="inlineStr">
        <is>
          <t>EUR</t>
        </is>
      </c>
      <c r="I380" s="5" t="n">
        <v>3155.500544</v>
      </c>
      <c r="J380" s="6">
        <f>INDEX(FX!$B:$B,MATCH(H380,FX!$A:$A,0))</f>
        <v/>
      </c>
      <c r="K380" s="5">
        <f>I380*J380</f>
        <v/>
      </c>
      <c r="L380" s="4">
        <f>IF(U380&lt;&gt;"",U380,IF(K380&gt;=Umbrales!$B$2,"Legendaria",IF(K380&gt;=Umbrales!$B$3,"Épica",IF(K380&gt;=Umbrales!$B$4,"Rara",IF(K380&gt;=Umbrales!$B$5,"Poco común","Común")))))</f>
        <v/>
      </c>
      <c r="M380" s="5" t="n">
        <v>435.992992</v>
      </c>
      <c r="N380" s="5" t="n">
        <v>325.022016</v>
      </c>
      <c r="O380" s="5">
        <f>IF(M380="","",M380*J380)</f>
        <v/>
      </c>
      <c r="P380" s="5">
        <f>IF(N380="","",N380*J380)</f>
        <v/>
      </c>
      <c r="Q380" s="7" t="n">
        <v>0.0645</v>
      </c>
      <c r="R380" s="8" t="n">
        <v>9.509435</v>
      </c>
      <c r="S380" s="4" t="inlineStr">
        <is>
          <t>IBEX35</t>
        </is>
      </c>
      <c r="T380" s="9" t="inlineStr">
        <is>
          <t>SI</t>
        </is>
      </c>
      <c r="U380" s="9" t="inlineStr"/>
      <c r="V380" s="10">
        <f>Umbrales!$B$9*(K380/1000)^Umbrales!$B$10</f>
        <v/>
      </c>
    </row>
    <row r="381">
      <c r="A381" s="4" t="inlineStr">
        <is>
          <t>SCYR.MC</t>
        </is>
      </c>
      <c r="B381" s="4" t="inlineStr">
        <is>
          <t>Sacyr, S.A.</t>
        </is>
      </c>
      <c r="C381" s="4" t="inlineStr">
        <is>
          <t>Spain</t>
        </is>
      </c>
      <c r="D381" s="4" t="inlineStr">
        <is>
          <t>ES</t>
        </is>
      </c>
      <c r="E381" s="4" t="inlineStr">
        <is>
          <t>Industria</t>
        </is>
      </c>
      <c r="F381" s="4" t="inlineStr">
        <is>
          <t>Engineering &amp; Construction</t>
        </is>
      </c>
      <c r="G381" s="4" t="inlineStr">
        <is>
          <t>MCE</t>
        </is>
      </c>
      <c r="H381" s="4" t="inlineStr">
        <is>
          <t>EUR</t>
        </is>
      </c>
      <c r="I381" s="5" t="n">
        <v>3115.323648</v>
      </c>
      <c r="J381" s="6">
        <f>INDEX(FX!$B:$B,MATCH(H381,FX!$A:$A,0))</f>
        <v/>
      </c>
      <c r="K381" s="5">
        <f>I381*J381</f>
        <v/>
      </c>
      <c r="L381" s="4">
        <f>IF(U381&lt;&gt;"",U381,IF(K381&gt;=Umbrales!$B$2,"Legendaria",IF(K381&gt;=Umbrales!$B$3,"Épica",IF(K381&gt;=Umbrales!$B$4,"Rara",IF(K381&gt;=Umbrales!$B$5,"Poco común","Común")))))</f>
        <v/>
      </c>
      <c r="M381" s="5" t="n">
        <v>4859.82208</v>
      </c>
      <c r="N381" s="5" t="n">
        <v>133.592</v>
      </c>
      <c r="O381" s="5">
        <f>IF(M381="","",M381*J381)</f>
        <v/>
      </c>
      <c r="P381" s="5">
        <f>IF(N381="","",N381*J381)</f>
        <v/>
      </c>
      <c r="Q381" s="7" t="n">
        <v>0.0513</v>
      </c>
      <c r="R381" s="8" t="n">
        <v>23.047058</v>
      </c>
      <c r="S381" s="4" t="inlineStr">
        <is>
          <t>IBEX35</t>
        </is>
      </c>
      <c r="T381" s="9" t="inlineStr">
        <is>
          <t>SI</t>
        </is>
      </c>
      <c r="U381" s="9" t="inlineStr"/>
      <c r="V381" s="10">
        <f>Umbrales!$B$9*(K381/1000)^Umbrales!$B$10</f>
        <v/>
      </c>
    </row>
    <row r="382">
      <c r="A382" s="4" t="inlineStr">
        <is>
          <t>ROVI.MC</t>
        </is>
      </c>
      <c r="B382" s="4" t="inlineStr">
        <is>
          <t>Laboratorios Farmaceuticos Rovi, S.A.</t>
        </is>
      </c>
      <c r="C382" s="4" t="inlineStr">
        <is>
          <t>Spain</t>
        </is>
      </c>
      <c r="D382" s="4" t="inlineStr">
        <is>
          <t>ES</t>
        </is>
      </c>
      <c r="E382" s="4" t="inlineStr">
        <is>
          <t>Salud</t>
        </is>
      </c>
      <c r="F382" s="4" t="inlineStr">
        <is>
          <t>Drug Manufacturers - Specialty &amp; Generic</t>
        </is>
      </c>
      <c r="G382" s="4" t="inlineStr">
        <is>
          <t>MCE</t>
        </is>
      </c>
      <c r="H382" s="4" t="inlineStr">
        <is>
          <t>EUR</t>
        </is>
      </c>
      <c r="I382" s="5" t="n">
        <v>2989.315584</v>
      </c>
      <c r="J382" s="6">
        <f>INDEX(FX!$B:$B,MATCH(H382,FX!$A:$A,0))</f>
        <v/>
      </c>
      <c r="K382" s="5">
        <f>I382*J382</f>
        <v/>
      </c>
      <c r="L382" s="4">
        <f>IF(U382&lt;&gt;"",U382,IF(K382&gt;=Umbrales!$B$2,"Legendaria",IF(K382&gt;=Umbrales!$B$3,"Épica",IF(K382&gt;=Umbrales!$B$4,"Rara",IF(K382&gt;=Umbrales!$B$5,"Poco común","Común")))))</f>
        <v/>
      </c>
      <c r="M382" s="5" t="n">
        <v>773.052992</v>
      </c>
      <c r="N382" s="5" t="n">
        <v>185.182</v>
      </c>
      <c r="O382" s="5">
        <f>IF(M382="","",M382*J382)</f>
        <v/>
      </c>
      <c r="P382" s="5">
        <f>IF(N382="","",N382*J382)</f>
        <v/>
      </c>
      <c r="Q382" s="7" t="n">
        <v>0.0162</v>
      </c>
      <c r="R382" s="8" t="n">
        <v>16.14641</v>
      </c>
      <c r="S382" s="4" t="inlineStr">
        <is>
          <t>IBEX35</t>
        </is>
      </c>
      <c r="T382" s="9" t="inlineStr">
        <is>
          <t>SI</t>
        </is>
      </c>
      <c r="U382" s="9" t="inlineStr"/>
      <c r="V382" s="10">
        <f>Umbrales!$B$9*(K382/1000)^Umbrales!$B$10</f>
        <v/>
      </c>
    </row>
    <row r="383">
      <c r="A383" s="4" t="inlineStr">
        <is>
          <t>SLR.MC</t>
        </is>
      </c>
      <c r="B383" s="4" t="inlineStr">
        <is>
          <t>Solaria Energía y Medio Ambiente, S.A.</t>
        </is>
      </c>
      <c r="C383" s="4" t="inlineStr">
        <is>
          <t>Spain</t>
        </is>
      </c>
      <c r="D383" s="4" t="inlineStr">
        <is>
          <t>ES</t>
        </is>
      </c>
      <c r="E383" s="4" t="inlineStr">
        <is>
          <t>Servicios públicos</t>
        </is>
      </c>
      <c r="F383" s="4" t="inlineStr">
        <is>
          <t>Utilities - Renewable</t>
        </is>
      </c>
      <c r="G383" s="4" t="inlineStr">
        <is>
          <t>MCE</t>
        </is>
      </c>
      <c r="H383" s="4" t="inlineStr">
        <is>
          <t>EUR</t>
        </is>
      </c>
      <c r="I383" s="5" t="n">
        <v>2044.466432</v>
      </c>
      <c r="J383" s="6">
        <f>INDEX(FX!$B:$B,MATCH(H383,FX!$A:$A,0))</f>
        <v/>
      </c>
      <c r="K383" s="5">
        <f>I383*J383</f>
        <v/>
      </c>
      <c r="L383" s="4">
        <f>IF(U383&lt;&gt;"",U383,IF(K383&gt;=Umbrales!$B$2,"Legendaria",IF(K383&gt;=Umbrales!$B$3,"Épica",IF(K383&gt;=Umbrales!$B$4,"Rara",IF(K383&gt;=Umbrales!$B$5,"Poco común","Común")))))</f>
        <v/>
      </c>
      <c r="M383" s="5" t="n">
        <v>371.136992</v>
      </c>
      <c r="N383" s="5" t="n">
        <v>180.26</v>
      </c>
      <c r="O383" s="5">
        <f>IF(M383="","",M383*J383)</f>
        <v/>
      </c>
      <c r="P383" s="5">
        <f>IF(N383="","",N383*J383)</f>
        <v/>
      </c>
      <c r="Q383" s="7" t="n">
        <v>0</v>
      </c>
      <c r="R383" s="8" t="n">
        <v>8.005155</v>
      </c>
      <c r="S383" s="4" t="inlineStr">
        <is>
          <t>IBEX35</t>
        </is>
      </c>
      <c r="T383" s="9" t="inlineStr">
        <is>
          <t>SI</t>
        </is>
      </c>
      <c r="U383" s="9" t="inlineStr"/>
      <c r="V383" s="10">
        <f>Umbrales!$B$9*(K383/1000)^Umbrales!$B$10</f>
        <v/>
      </c>
    </row>
  </sheetData>
  <autoFilter ref="A1:V383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44" customWidth="1" min="3" max="3"/>
  </cols>
  <sheetData>
    <row r="1">
      <c r="A1" s="3" t="inlineStr">
        <is>
          <t>Moneda</t>
        </is>
      </c>
      <c r="B1" s="3" t="inlineStr">
        <is>
          <t>USD por unidad</t>
        </is>
      </c>
      <c r="C1" s="3" t="inlineStr">
        <is>
          <t>Fuente</t>
        </is>
      </c>
    </row>
    <row r="2">
      <c r="A2" s="4" t="inlineStr">
        <is>
          <t>AUD</t>
        </is>
      </c>
      <c r="B2" s="11" t="n">
        <v>0.6930967569351196</v>
      </c>
      <c r="C2" s="4" t="inlineStr">
        <is>
          <t>Yahoo Finance AUDUSD=X, cierre 2026-10-15</t>
        </is>
      </c>
    </row>
    <row r="3">
      <c r="A3" s="4" t="inlineStr">
        <is>
          <t>CHF</t>
        </is>
      </c>
      <c r="B3" s="11" t="n">
        <v>1.205879807472229</v>
      </c>
      <c r="C3" s="4" t="inlineStr">
        <is>
          <t>Yahoo Finance CHFUSD=X, cierre 2026-10-15</t>
        </is>
      </c>
    </row>
    <row r="4">
      <c r="A4" s="4" t="inlineStr">
        <is>
          <t>CNY</t>
        </is>
      </c>
      <c r="B4" s="11" t="n">
        <v>0.1494589596986771</v>
      </c>
      <c r="C4" s="4" t="inlineStr">
        <is>
          <t>Yahoo Finance CNYUSD=X, cierre 2026-10-15</t>
        </is>
      </c>
    </row>
    <row r="5">
      <c r="A5" s="4" t="inlineStr">
        <is>
          <t>DKK</t>
        </is>
      </c>
      <c r="B5" s="11" t="n">
        <v>0.1500861495733261</v>
      </c>
      <c r="C5" s="4" t="inlineStr">
        <is>
          <t>Yahoo Finance DKKUSD=X, cierre 2026-10-15</t>
        </is>
      </c>
    </row>
    <row r="6">
      <c r="A6" s="4" t="inlineStr">
        <is>
          <t>EUR</t>
        </is>
      </c>
      <c r="B6" s="11" t="n">
        <v>1.122208476066589</v>
      </c>
      <c r="C6" s="4" t="inlineStr">
        <is>
          <t>Yahoo Finance EURUSD=X, cierre 2026-10-15</t>
        </is>
      </c>
    </row>
    <row r="7">
      <c r="A7" s="4" t="inlineStr">
        <is>
          <t>GBP</t>
        </is>
      </c>
      <c r="B7" s="11" t="n">
        <v>1.32589066028595</v>
      </c>
      <c r="C7" s="4" t="inlineStr">
        <is>
          <t>Yahoo Finance GBPUSD=X, cierre 2026-10-15</t>
        </is>
      </c>
    </row>
    <row r="8">
      <c r="A8" s="4" t="inlineStr">
        <is>
          <t>HKD</t>
        </is>
      </c>
      <c r="B8" s="11" t="n">
        <v>0.127436101436615</v>
      </c>
      <c r="C8" s="4" t="inlineStr">
        <is>
          <t>Yahoo Finance HKDUSD=X, cierre 2026-10-15</t>
        </is>
      </c>
    </row>
    <row r="9">
      <c r="A9" s="4" t="inlineStr">
        <is>
          <t>INR</t>
        </is>
      </c>
      <c r="B9" s="11" t="n">
        <v>0.01052797771990299</v>
      </c>
      <c r="C9" s="4" t="inlineStr">
        <is>
          <t>Yahoo Finance INRUSD=X, cierre 2026-10-15</t>
        </is>
      </c>
    </row>
    <row r="10">
      <c r="A10" s="4" t="inlineStr">
        <is>
          <t>JPY</t>
        </is>
      </c>
      <c r="B10" s="11" t="n">
        <v>0.006338340230286121</v>
      </c>
      <c r="C10" s="4" t="inlineStr">
        <is>
          <t>Yahoo Finance JPYUSD=X, cierre 2026-10-15</t>
        </is>
      </c>
    </row>
    <row r="11">
      <c r="A11" s="4" t="inlineStr">
        <is>
          <t>KRW</t>
        </is>
      </c>
      <c r="B11" s="11" t="n">
        <v>0.0007440974004566669</v>
      </c>
      <c r="C11" s="4" t="inlineStr">
        <is>
          <t>Yahoo Finance KRWUSD=X, cierre 2026-10-15</t>
        </is>
      </c>
    </row>
    <row r="12">
      <c r="A12" s="4" t="inlineStr">
        <is>
          <t>NOK</t>
        </is>
      </c>
      <c r="B12" s="11" t="n">
        <v>0.1050442233681679</v>
      </c>
      <c r="C12" s="4" t="inlineStr">
        <is>
          <t>Yahoo Finance NOKUSD=X, cierre 2026-10-15</t>
        </is>
      </c>
    </row>
    <row r="13">
      <c r="A13" s="4" t="inlineStr">
        <is>
          <t>SAR</t>
        </is>
      </c>
      <c r="B13" s="11" t="n">
        <v>0.2664535045623779</v>
      </c>
      <c r="C13" s="4" t="inlineStr">
        <is>
          <t>Yahoo Finance SARUSD=X, cierre 2026-10-15</t>
        </is>
      </c>
    </row>
    <row r="14">
      <c r="A14" s="4" t="inlineStr">
        <is>
          <t>SEK</t>
        </is>
      </c>
      <c r="B14" s="11" t="n">
        <v>0.1003036126494408</v>
      </c>
      <c r="C14" s="4" t="inlineStr">
        <is>
          <t>Yahoo Finance SEKUSD=X, cierre 2026-10-15</t>
        </is>
      </c>
    </row>
    <row r="15">
      <c r="A15" s="4" t="inlineStr">
        <is>
          <t>TWD</t>
        </is>
      </c>
      <c r="B15" s="11" t="n">
        <v>0.03090330213308334</v>
      </c>
      <c r="C15" s="4" t="inlineStr">
        <is>
          <t>Yahoo Finance TWDUSD=X, cierre 2026-10-15</t>
        </is>
      </c>
    </row>
    <row r="16">
      <c r="A16" s="4" t="inlineStr">
        <is>
          <t>USD</t>
        </is>
      </c>
      <c r="B16" s="11" t="n">
        <v>1</v>
      </c>
      <c r="C16" s="4" t="inlineStr">
        <is>
          <t>Yahoo Finance USDUSD=X, cierre 2026-10-15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0" customWidth="1" min="3" max="3"/>
    <col width="12" customWidth="1" min="4" max="4"/>
    <col width="12" customWidth="1" min="5" max="5"/>
  </cols>
  <sheetData>
    <row r="1">
      <c r="A1" s="3" t="inlineStr">
        <is>
          <t>Rareza</t>
        </is>
      </c>
      <c r="B1" s="3" t="inlineStr">
        <is>
          <t>Cap. mínima (M USD)</t>
        </is>
      </c>
      <c r="C1" s="3" t="inlineStr">
        <is>
          <t>Probabilidad gacha</t>
        </is>
      </c>
      <c r="D1" s="3" t="inlineStr">
        <is>
          <t>Empresas</t>
        </is>
      </c>
      <c r="E1" s="3" t="inlineStr">
        <is>
          <t>% del total</t>
        </is>
      </c>
    </row>
    <row r="2">
      <c r="A2" s="4" t="inlineStr">
        <is>
          <t>Legendaria</t>
        </is>
      </c>
      <c r="B2" s="12" t="n">
        <v>1200000</v>
      </c>
      <c r="C2" s="13" t="n">
        <v>0.01</v>
      </c>
      <c r="D2" s="4">
        <f>COUNTIFS(Empresas!$L:$L,A2,Empresas!$T:$T,"SI")</f>
        <v/>
      </c>
      <c r="E2" s="14">
        <f>IF(SUM($D$2:$D$6)=0,0,D2/SUM($D$2:$D$6))</f>
        <v/>
      </c>
    </row>
    <row r="3">
      <c r="A3" s="4" t="inlineStr">
        <is>
          <t>Épica</t>
        </is>
      </c>
      <c r="B3" s="12" t="n">
        <v>350000</v>
      </c>
      <c r="C3" s="13" t="n">
        <v>0.05</v>
      </c>
      <c r="D3" s="4">
        <f>COUNTIFS(Empresas!$L:$L,A3,Empresas!$T:$T,"SI")</f>
        <v/>
      </c>
      <c r="E3" s="14">
        <f>IF(SUM($D$2:$D$6)=0,0,D3/SUM($D$2:$D$6))</f>
        <v/>
      </c>
    </row>
    <row r="4">
      <c r="A4" s="4" t="inlineStr">
        <is>
          <t>Rara</t>
        </is>
      </c>
      <c r="B4" s="12" t="n">
        <v>150000</v>
      </c>
      <c r="C4" s="13" t="n">
        <v>0.12</v>
      </c>
      <c r="D4" s="4">
        <f>COUNTIFS(Empresas!$L:$L,A4,Empresas!$T:$T,"SI")</f>
        <v/>
      </c>
      <c r="E4" s="14">
        <f>IF(SUM($D$2:$D$6)=0,0,D4/SUM($D$2:$D$6))</f>
        <v/>
      </c>
    </row>
    <row r="5">
      <c r="A5" s="4" t="inlineStr">
        <is>
          <t>Poco común</t>
        </is>
      </c>
      <c r="B5" s="12" t="n">
        <v>55000</v>
      </c>
      <c r="C5" s="13" t="n">
        <v>0.27</v>
      </c>
      <c r="D5" s="4">
        <f>COUNTIFS(Empresas!$L:$L,A5,Empresas!$T:$T,"SI")</f>
        <v/>
      </c>
      <c r="E5" s="14">
        <f>IF(SUM($D$2:$D$6)=0,0,D5/SUM($D$2:$D$6))</f>
        <v/>
      </c>
    </row>
    <row r="6">
      <c r="A6" s="4" t="inlineStr">
        <is>
          <t>Común</t>
        </is>
      </c>
      <c r="B6" s="12" t="n">
        <v>0</v>
      </c>
      <c r="C6" s="13" t="n">
        <v>0.55</v>
      </c>
      <c r="D6" s="4">
        <f>COUNTIFS(Empresas!$L:$L,A6,Empresas!$T:$T,"SI")</f>
        <v/>
      </c>
      <c r="E6" s="14">
        <f>IF(SUM($D$2:$D$6)=0,0,D6/SUM($D$2:$D$6))</f>
        <v/>
      </c>
    </row>
    <row r="7">
      <c r="A7" s="1" t="inlineStr">
        <is>
          <t>Total</t>
        </is>
      </c>
      <c r="B7" s="4" t="n"/>
      <c r="C7" s="14">
        <f>SUM(C2:C6)</f>
        <v/>
      </c>
      <c r="D7" s="4">
        <f>SUM(D2:D6)</f>
        <v/>
      </c>
      <c r="E7" s="4" t="n"/>
    </row>
    <row r="8">
      <c r="A8" s="4" t="n"/>
      <c r="B8" s="4" t="n"/>
      <c r="C8" s="4" t="n"/>
      <c r="D8" s="4" t="n"/>
      <c r="E8" s="4" t="n"/>
    </row>
    <row r="9">
      <c r="A9" s="4" t="inlineStr">
        <is>
          <t>Coeficiente ingresos</t>
        </is>
      </c>
      <c r="B9" s="9" t="n">
        <v>0.05</v>
      </c>
      <c r="C9" s="4" t="n"/>
      <c r="D9" s="4" t="n"/>
      <c r="E9" s="4" t="n"/>
    </row>
    <row r="10">
      <c r="A10" s="4" t="inlineStr">
        <is>
          <t>Exponente ingresos</t>
        </is>
      </c>
      <c r="B10" s="9" t="n">
        <v>0.75</v>
      </c>
      <c r="C10" s="4" t="n"/>
      <c r="D10" s="4" t="n"/>
      <c r="E10" s="4" t="n"/>
    </row>
    <row r="11">
      <c r="A11" s="4" t="inlineStr">
        <is>
          <t>ingresos/s = coeficiente × (Cap. USD en miles de millones) ^ exponente</t>
        </is>
      </c>
      <c r="B11" s="4" t="n"/>
      <c r="C11" s="4" t="n"/>
      <c r="D11" s="4" t="n"/>
      <c r="E11" s="4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2026-10-15T09:13:38Z</dcterms:created>
  <dcterms:modified xmlns:dcterms="http://purl.org/dc/terms/" xmlns:xsi="http://www.w3.org/2001/XMLSchema-instance" xsi:type="dcterms:W3CDTF">2026-10-15T09:13:39Z</dcterms:modified>
</cp:coreProperties>
</file>
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Umbrales" sheetId="4" state="visible" r:id="rId4"/>
  </sheets>
  <definedNames>
    <definedName name="_xlnm._FilterDatabase" localSheetId="1" hidden="1">'Empresas'!$A$1:$V$1118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%"/>
    <numFmt numFmtId="166" formatCode="0.0000"/>
    <numFmt numFmtId="167" formatCode="0.0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theme="1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0" fontId="4" fillId="0" borderId="0" pivotButton="0" quotePrefix="0" xfId="0"/>
    <xf numFmtId="167" fontId="4" fillId="0" borderId="0" pivotButton="0" quotePrefix="0" xfId="0"/>
    <xf numFmtId="0" fontId="5" fillId="3" borderId="0" pivotButton="0" quotePrefix="0" xfId="0"/>
    <xf numFmtId="2" fontId="4" fillId="0" borderId="0" pivotButton="0" quotePrefix="0" xfId="0"/>
    <xf numFmtId="164" fontId="5" fillId="3" borderId="0" pivotButton="0" quotePrefix="0" xfId="0"/>
    <xf numFmtId="3" fontId="5" fillId="3" borderId="0" pivotButton="0" quotePrefix="0" xfId="0"/>
    <xf numFmtId="165" fontId="5" fillId="3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CapitalDex</author>
  </authors>
  <commentList>
    <comment ref="I1" authorId="0" shapeId="0">
      <text>
        <t>Millones en moneda local. Fuente: Yahoo Finance, campo marketCap.</t>
      </text>
    </comment>
    <comment ref="Q1" authorId="0" shapeId="0">
      <text>
        <t>Fracción (0,02 = 2 %). Fuente: Yahoo Finance, campo dividendYield (que viene en %, dividido entre 100).</t>
      </text>
    </comment>
  </commentList>
</comments>
</file>

<file path=xl/comments/comment2.xml><?xml version="1.0" encoding="utf-8"?>
<comments xmlns="http://schemas.openxmlformats.org/spreadsheetml/2006/main">
  <authors>
    <author>CapitalDex</author>
  </authors>
  <commentList>
    <comment ref="B2" authorId="0" shapeId="0">
      <text>
        <t>Umbrales del GDD (sección 3), ajustados el 15-oct-2026 al reparto real del universo. Objetivo aproximado: 3/6/20/40/30 %.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CapitalDex — Universo de empresas</t>
        </is>
      </c>
    </row>
    <row r="2">
      <c r="A2" s="2" t="inlineStr">
        <is>
          <t>Generado el 2026-10-15 desde Yahoo Finance (yfinance). Datos con retraso; solo para diseño del juego.</t>
        </is>
      </c>
    </row>
    <row r="3">
      <c r="A3" s="2" t="inlineStr"/>
    </row>
    <row r="4">
      <c r="A4" s="1" t="inlineStr">
        <is>
          <t>Celdas editables (texto azul, fondo amarillo):</t>
        </is>
      </c>
    </row>
    <row r="5">
      <c r="A5" s="2" t="inlineStr">
        <is>
          <t xml:space="preserve">  Empresas!Incluir — SI/NO. NO saca la empresa del juego.</t>
        </is>
      </c>
    </row>
    <row r="6">
      <c r="A6" s="2" t="inlineStr">
        <is>
          <t xml:space="preserve">  Empresas!Rareza manual — fuerza una rareza (Legendaria, Épica, Rara, Poco común, Común). Vacío = automática.</t>
        </is>
      </c>
    </row>
    <row r="7">
      <c r="A7" s="2" t="inlineStr">
        <is>
          <t xml:space="preserve">  Umbrales!B2:B6 — capitalización mínima (M USD) de cada rareza.</t>
        </is>
      </c>
    </row>
    <row r="8">
      <c r="A8" s="2" t="inlineStr">
        <is>
          <t xml:space="preserve">  Umbrales!C2:C6 — probabilidad de cada rareza en el gacha (deben sumar 100 %).</t>
        </is>
      </c>
    </row>
    <row r="9">
      <c r="A9" s="2" t="inlineStr">
        <is>
          <t xml:space="preserve">  Umbrales!B9:B10 — coeficiente y exponente de la fórmula de ingresos.</t>
        </is>
      </c>
    </row>
    <row r="10">
      <c r="A10" s="2" t="inlineStr">
        <is>
          <t xml:space="preserve">  FX!B — tipo de cambio a USD.</t>
        </is>
      </c>
    </row>
    <row r="11">
      <c r="A11" s="2" t="inlineStr"/>
    </row>
    <row r="12">
      <c r="A12" s="2" t="inlineStr">
        <is>
          <t>Después de editar, ejecuta:  npm run data   (o python scripts/build_data.py) para regenerar el JSON del juego.</t>
        </is>
      </c>
    </row>
    <row r="13">
      <c r="A13" s="2" t="inlineStr">
        <is>
          <t>Los umbrales y la fórmula de ingresos también están en src/game/balance.ts; mantenlos iguales.</t>
        </is>
      </c>
    </row>
    <row r="14">
      <c r="A14" s="2" t="inlineStr">
        <is>
          <t>Nota: la moneda GBp (peniques) se normaliza a GBP porque Yahoo da la capitalización ya en libras.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8" customWidth="1" min="5" max="5"/>
    <col width="30" customWidth="1" min="6" max="6"/>
    <col width="8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26" customWidth="1" min="19" max="19"/>
    <col width="13" customWidth="1" min="20" max="20"/>
    <col width="14" customWidth="1" min="21" max="21"/>
    <col width="12" customWidth="1" min="22" max="22"/>
  </cols>
  <sheetData>
    <row r="1">
      <c r="A1" s="3" t="inlineStr">
        <is>
          <t>Ticker</t>
        </is>
      </c>
      <c r="B1" s="3" t="inlineStr">
        <is>
          <t>Nombre</t>
        </is>
      </c>
      <c r="C1" s="3" t="inlineStr">
        <is>
          <t>País</t>
        </is>
      </c>
      <c r="D1" s="3" t="inlineStr">
        <is>
          <t>Código país</t>
        </is>
      </c>
      <c r="E1" s="3" t="inlineStr">
        <is>
          <t>Sector</t>
        </is>
      </c>
      <c r="F1" s="3" t="inlineStr">
        <is>
          <t>Industria</t>
        </is>
      </c>
      <c r="G1" s="3" t="inlineStr">
        <is>
          <t>Bolsa</t>
        </is>
      </c>
      <c r="H1" s="3" t="inlineStr">
        <is>
          <t>Moneda</t>
        </is>
      </c>
      <c r="I1" s="3" t="inlineStr">
        <is>
          <t>Cap. local (M)</t>
        </is>
      </c>
      <c r="J1" s="3" t="inlineStr">
        <is>
          <t>Tipo cambio a USD</t>
        </is>
      </c>
      <c r="K1" s="3" t="inlineStr">
        <is>
          <t>Cap. USD (M)</t>
        </is>
      </c>
      <c r="L1" s="3" t="inlineStr">
        <is>
          <t>Rareza</t>
        </is>
      </c>
      <c r="M1" s="3" t="inlineStr">
        <is>
          <t>Ingresos local (M)</t>
        </is>
      </c>
      <c r="N1" s="3" t="inlineStr">
        <is>
          <t>Beneficio local (M)</t>
        </is>
      </c>
      <c r="O1" s="3" t="inlineStr">
        <is>
          <t>Ingresos USD (M)</t>
        </is>
      </c>
      <c r="P1" s="3" t="inlineStr">
        <is>
          <t>Beneficio USD (M)</t>
        </is>
      </c>
      <c r="Q1" s="3" t="inlineStr">
        <is>
          <t>Rent. dividendo</t>
        </is>
      </c>
      <c r="R1" s="3" t="inlineStr">
        <is>
          <t>PER</t>
        </is>
      </c>
      <c r="S1" s="3" t="inlineStr">
        <is>
          <t>Índices</t>
        </is>
      </c>
      <c r="T1" s="3" t="inlineStr">
        <is>
          <t>Incluir</t>
        </is>
      </c>
      <c r="U1" s="3" t="inlineStr">
        <is>
          <t>Rareza manual</t>
        </is>
      </c>
      <c r="V1" s="3" t="inlineStr">
        <is>
          <t>Ingresos/s en juego</t>
        </is>
      </c>
    </row>
    <row r="2">
      <c r="A2" s="4" t="inlineStr">
        <is>
          <t>NVDA</t>
        </is>
      </c>
      <c r="B2" s="4" t="inlineStr">
        <is>
          <t>NVIDIA Corporation</t>
        </is>
      </c>
      <c r="C2" s="4" t="inlineStr">
        <is>
          <t>United States</t>
        </is>
      </c>
      <c r="D2" s="4" t="inlineStr">
        <is>
          <t>US</t>
        </is>
      </c>
      <c r="E2" s="4" t="inlineStr">
        <is>
          <t>Tecnología</t>
        </is>
      </c>
      <c r="F2" s="4" t="inlineStr">
        <is>
          <t>Semiconductors</t>
        </is>
      </c>
      <c r="G2" s="4" t="inlineStr">
        <is>
          <t>NMS</t>
        </is>
      </c>
      <c r="H2" s="4" t="inlineStr">
        <is>
          <t>USD</t>
        </is>
      </c>
      <c r="I2" s="5" t="n">
        <v>5343730.991104</v>
      </c>
      <c r="J2" s="6">
        <f>INDEX(FX!$B:$B,MATCH(H2,FX!$A:$A,0))</f>
        <v/>
      </c>
      <c r="K2" s="5">
        <f>I2*J2</f>
        <v/>
      </c>
      <c r="L2" s="4">
        <f>IF(U2&lt;&gt;"",U2,IF(K2&gt;=Umbrales!$B$2,"Legendaria",IF(K2&gt;=Umbrales!$B$3,"Épica",IF(K2&gt;=Umbrales!$B$4,"Rara",IF(K2&gt;=Umbrales!$B$5,"Poco común","Común")))))</f>
        <v/>
      </c>
      <c r="M2" s="5" t="n">
        <v>302970.011648</v>
      </c>
      <c r="N2" s="5" t="n">
        <v>192880.001024</v>
      </c>
      <c r="O2" s="5">
        <f>IF(M2="","",M2*J2)</f>
        <v/>
      </c>
      <c r="P2" s="5">
        <f>IF(N2="","",N2*J2)</f>
        <v/>
      </c>
      <c r="Q2" s="7" t="n">
        <v>0.0044</v>
      </c>
      <c r="R2" s="8" t="n">
        <v>28.89034</v>
      </c>
      <c r="S2" s="4" t="inlineStr">
        <is>
          <t>DOW30, NASDAQ100, SP500</t>
        </is>
      </c>
      <c r="T2" s="9" t="inlineStr">
        <is>
          <t>SI</t>
        </is>
      </c>
      <c r="U2" s="9" t="inlineStr"/>
      <c r="V2" s="10">
        <f>Umbrales!$B$9*(K2/1000)^Umbrales!$B$10</f>
        <v/>
      </c>
    </row>
    <row r="3">
      <c r="A3" s="4" t="inlineStr">
        <is>
          <t>AAPL</t>
        </is>
      </c>
      <c r="B3" s="4" t="inlineStr">
        <is>
          <t>Apple Inc.</t>
        </is>
      </c>
      <c r="C3" s="4" t="inlineStr">
        <is>
          <t>United States</t>
        </is>
      </c>
      <c r="D3" s="4" t="inlineStr">
        <is>
          <t>US</t>
        </is>
      </c>
      <c r="E3" s="4" t="inlineStr">
        <is>
          <t>Tecnología</t>
        </is>
      </c>
      <c r="F3" s="4" t="inlineStr">
        <is>
          <t>Consumer Electronics</t>
        </is>
      </c>
      <c r="G3" s="4" t="inlineStr">
        <is>
          <t>NMS</t>
        </is>
      </c>
      <c r="H3" s="4" t="inlineStr">
        <is>
          <t>USD</t>
        </is>
      </c>
      <c r="I3" s="5" t="n">
        <v>5005219.725312</v>
      </c>
      <c r="J3" s="6">
        <f>INDEX(FX!$B:$B,MATCH(H3,FX!$A:$A,0))</f>
        <v/>
      </c>
      <c r="K3" s="5">
        <f>I3*J3</f>
        <v/>
      </c>
      <c r="L3" s="4">
        <f>IF(U3&lt;&gt;"",U3,IF(K3&gt;=Umbrales!$B$2,"Legendaria",IF(K3&gt;=Umbrales!$B$3,"Épica",IF(K3&gt;=Umbrales!$B$4,"Rara",IF(K3&gt;=Umbrales!$B$5,"Poco común","Común")))))</f>
        <v/>
      </c>
      <c r="M3" s="5" t="n">
        <v>466822.987776</v>
      </c>
      <c r="N3" s="5" t="n">
        <v>128929.9968</v>
      </c>
      <c r="O3" s="5">
        <f>IF(M3="","",M3*J3)</f>
        <v/>
      </c>
      <c r="P3" s="5">
        <f>IF(N3="","",N3*J3)</f>
        <v/>
      </c>
      <c r="Q3" s="7" t="n">
        <v>0.0032</v>
      </c>
      <c r="R3" s="8" t="n">
        <v>39.150684</v>
      </c>
      <c r="S3" s="4" t="inlineStr">
        <is>
          <t>DOW30, NASDAQ100, SP500</t>
        </is>
      </c>
      <c r="T3" s="9" t="inlineStr">
        <is>
          <t>SI</t>
        </is>
      </c>
      <c r="U3" s="9" t="inlineStr"/>
      <c r="V3" s="10">
        <f>Umbrales!$B$9*(K3/1000)^Umbrales!$B$10</f>
        <v/>
      </c>
    </row>
    <row r="4">
      <c r="A4" s="4" t="inlineStr">
        <is>
          <t>GOOGL</t>
        </is>
      </c>
      <c r="B4" s="4" t="inlineStr">
        <is>
          <t>Alphabet Inc.</t>
        </is>
      </c>
      <c r="C4" s="4" t="inlineStr">
        <is>
          <t>United States</t>
        </is>
      </c>
      <c r="D4" s="4" t="inlineStr">
        <is>
          <t>US</t>
        </is>
      </c>
      <c r="E4" s="4" t="inlineStr">
        <is>
          <t>Comunicación</t>
        </is>
      </c>
      <c r="F4" s="4" t="inlineStr">
        <is>
          <t>Internet Content &amp; Information</t>
        </is>
      </c>
      <c r="G4" s="4" t="inlineStr">
        <is>
          <t>NMS</t>
        </is>
      </c>
      <c r="H4" s="4" t="inlineStr">
        <is>
          <t>USD</t>
        </is>
      </c>
      <c r="I4" s="5" t="n">
        <v>4251614.707712</v>
      </c>
      <c r="J4" s="6">
        <f>INDEX(FX!$B:$B,MATCH(H4,FX!$A:$A,0))</f>
        <v/>
      </c>
      <c r="K4" s="5">
        <f>I4*J4</f>
        <v/>
      </c>
      <c r="L4" s="4">
        <f>IF(U4&lt;&gt;"",U4,IF(K4&gt;=Umbrales!$B$2,"Legendaria",IF(K4&gt;=Umbrales!$B$3,"Épica",IF(K4&gt;=Umbrales!$B$4,"Rara",IF(K4&gt;=Umbrales!$B$5,"Poco común","Común")))))</f>
        <v/>
      </c>
      <c r="M4" s="5" t="n">
        <v>445865.984</v>
      </c>
      <c r="N4" s="5" t="n">
        <v>244118.994944</v>
      </c>
      <c r="O4" s="5">
        <f>IF(M4="","",M4*J4)</f>
        <v/>
      </c>
      <c r="P4" s="5">
        <f>IF(N4="","",N4*J4)</f>
        <v/>
      </c>
      <c r="Q4" s="7" t="n">
        <v>0.0025</v>
      </c>
      <c r="R4" s="8" t="n">
        <v>17.754852</v>
      </c>
      <c r="S4" s="4" t="inlineStr">
        <is>
          <t>NASDAQ100, SP500</t>
        </is>
      </c>
      <c r="T4" s="9" t="inlineStr">
        <is>
          <t>SI</t>
        </is>
      </c>
      <c r="U4" s="9" t="inlineStr"/>
      <c r="V4" s="10">
        <f>Umbrales!$B$9*(K4/1000)^Umbrales!$B$10</f>
        <v/>
      </c>
    </row>
    <row r="5">
      <c r="A5" s="4" t="inlineStr">
        <is>
          <t>GOOG</t>
        </is>
      </c>
      <c r="B5" s="4" t="inlineStr">
        <is>
          <t>Alphabet Inc.</t>
        </is>
      </c>
      <c r="C5" s="4" t="inlineStr">
        <is>
          <t>United States</t>
        </is>
      </c>
      <c r="D5" s="4" t="inlineStr">
        <is>
          <t>US</t>
        </is>
      </c>
      <c r="E5" s="4" t="inlineStr">
        <is>
          <t>Comunicación</t>
        </is>
      </c>
      <c r="F5" s="4" t="inlineStr">
        <is>
          <t>Internet Content &amp; Information</t>
        </is>
      </c>
      <c r="G5" s="4" t="inlineStr">
        <is>
          <t>NMS</t>
        </is>
      </c>
      <c r="H5" s="4" t="inlineStr">
        <is>
          <t>USD</t>
        </is>
      </c>
      <c r="I5" s="5" t="n">
        <v>4216637.095936</v>
      </c>
      <c r="J5" s="6">
        <f>INDEX(FX!$B:$B,MATCH(H5,FX!$A:$A,0))</f>
        <v/>
      </c>
      <c r="K5" s="5">
        <f>I5*J5</f>
        <v/>
      </c>
      <c r="L5" s="4">
        <f>IF(U5&lt;&gt;"",U5,IF(K5&gt;=Umbrales!$B$2,"Legendaria",IF(K5&gt;=Umbrales!$B$3,"Épica",IF(K5&gt;=Umbrales!$B$4,"Rara",IF(K5&gt;=Umbrales!$B$5,"Poco común","Común")))))</f>
        <v/>
      </c>
      <c r="M5" s="5" t="n">
        <v>445865.984</v>
      </c>
      <c r="N5" s="5" t="n">
        <v>244118.994944</v>
      </c>
      <c r="O5" s="5">
        <f>IF(M5="","",M5*J5)</f>
        <v/>
      </c>
      <c r="P5" s="5">
        <f>IF(N5="","",N5*J5)</f>
        <v/>
      </c>
      <c r="Q5" s="7" t="n">
        <v>0.0025</v>
      </c>
      <c r="R5" s="8" t="n">
        <v>17.590816</v>
      </c>
      <c r="S5" s="4" t="inlineStr">
        <is>
          <t>SP500</t>
        </is>
      </c>
      <c r="T5" s="9" t="inlineStr">
        <is>
          <t>SI</t>
        </is>
      </c>
      <c r="U5" s="9" t="inlineStr"/>
      <c r="V5" s="10">
        <f>Umbrales!$B$9*(K5/1000)^Umbrales!$B$10</f>
        <v/>
      </c>
    </row>
    <row r="6">
      <c r="A6" s="4" t="inlineStr">
        <is>
          <t>MSFT</t>
        </is>
      </c>
      <c r="B6" s="4" t="inlineStr">
        <is>
          <t>Microsoft Corporation</t>
        </is>
      </c>
      <c r="C6" s="4" t="inlineStr">
        <is>
          <t>United States</t>
        </is>
      </c>
      <c r="D6" s="4" t="inlineStr">
        <is>
          <t>US</t>
        </is>
      </c>
      <c r="E6" s="4" t="inlineStr">
        <is>
          <t>Tecnología</t>
        </is>
      </c>
      <c r="F6" s="4" t="inlineStr">
        <is>
          <t>Software - Infrastructure</t>
        </is>
      </c>
      <c r="G6" s="4" t="inlineStr">
        <is>
          <t>NMS</t>
        </is>
      </c>
      <c r="H6" s="4" t="inlineStr">
        <is>
          <t>USD</t>
        </is>
      </c>
      <c r="I6" s="5" t="n">
        <v>3962939.63776</v>
      </c>
      <c r="J6" s="6">
        <f>INDEX(FX!$B:$B,MATCH(H6,FX!$A:$A,0))</f>
        <v/>
      </c>
      <c r="K6" s="5">
        <f>I6*J6</f>
        <v/>
      </c>
      <c r="L6" s="4">
        <f>IF(U6&lt;&gt;"",U6,IF(K6&gt;=Umbrales!$B$2,"Legendaria",IF(K6&gt;=Umbrales!$B$3,"Épica",IF(K6&gt;=Umbrales!$B$4,"Rara",IF(K6&gt;=Umbrales!$B$5,"Poco común","Común")))))</f>
        <v/>
      </c>
      <c r="M6" s="5" t="n">
        <v>331839.012864</v>
      </c>
      <c r="N6" s="5" t="n">
        <v>133748.998144</v>
      </c>
      <c r="O6" s="5">
        <f>IF(M6="","",M6*J6)</f>
        <v/>
      </c>
      <c r="P6" s="5">
        <f>IF(N6="","",N6*J6)</f>
        <v/>
      </c>
      <c r="Q6" s="7" t="n">
        <v>0.0072</v>
      </c>
      <c r="R6" s="8" t="n">
        <v>30.067043</v>
      </c>
      <c r="S6" s="4" t="inlineStr">
        <is>
          <t>DOW30, NASDAQ100, SP500</t>
        </is>
      </c>
      <c r="T6" s="9" t="inlineStr">
        <is>
          <t>SI</t>
        </is>
      </c>
      <c r="U6" s="9" t="inlineStr"/>
      <c r="V6" s="10">
        <f>Umbrales!$B$9*(K6/1000)^Umbrales!$B$10</f>
        <v/>
      </c>
    </row>
    <row r="7">
      <c r="A7" s="4" t="inlineStr">
        <is>
          <t>AMZN</t>
        </is>
      </c>
      <c r="B7" s="4" t="inlineStr">
        <is>
          <t>Amazon.com, Inc.</t>
        </is>
      </c>
      <c r="C7" s="4" t="inlineStr">
        <is>
          <t>United States</t>
        </is>
      </c>
      <c r="D7" s="4" t="inlineStr">
        <is>
          <t>US</t>
        </is>
      </c>
      <c r="E7" s="4" t="inlineStr">
        <is>
          <t>Consumo cíclico</t>
        </is>
      </c>
      <c r="F7" s="4" t="inlineStr">
        <is>
          <t>Internet Retail</t>
        </is>
      </c>
      <c r="G7" s="4" t="inlineStr">
        <is>
          <t>NMS</t>
        </is>
      </c>
      <c r="H7" s="4" t="inlineStr">
        <is>
          <t>USD</t>
        </is>
      </c>
      <c r="I7" s="5" t="n">
        <v>2740586.545152</v>
      </c>
      <c r="J7" s="6">
        <f>INDEX(FX!$B:$B,MATCH(H7,FX!$A:$A,0))</f>
        <v/>
      </c>
      <c r="K7" s="5">
        <f>I7*J7</f>
        <v/>
      </c>
      <c r="L7" s="4">
        <f>IF(U7&lt;&gt;"",U7,IF(K7&gt;=Umbrales!$B$2,"Legendaria",IF(K7&gt;=Umbrales!$B$3,"Épica",IF(K7&gt;=Umbrales!$B$4,"Rara",IF(K7&gt;=Umbrales!$B$5,"Poco común","Común")))))</f>
        <v/>
      </c>
      <c r="M7" s="5" t="n">
        <v>775680.032768</v>
      </c>
      <c r="N7" s="5" t="n">
        <v>135281.000448</v>
      </c>
      <c r="O7" s="5">
        <f>IF(M7="","",M7*J7)</f>
        <v/>
      </c>
      <c r="P7" s="5">
        <f>IF(N7="","",N7*J7)</f>
        <v/>
      </c>
      <c r="Q7" s="7" t="n">
        <v>0</v>
      </c>
      <c r="R7" s="8" t="n">
        <v>20.440868</v>
      </c>
      <c r="S7" s="4" t="inlineStr">
        <is>
          <t>DOW30, NASDAQ100, SP500</t>
        </is>
      </c>
      <c r="T7" s="9" t="inlineStr">
        <is>
          <t>SI</t>
        </is>
      </c>
      <c r="U7" s="9" t="inlineStr"/>
      <c r="V7" s="10">
        <f>Umbrales!$B$9*(K7/1000)^Umbrales!$B$10</f>
        <v/>
      </c>
    </row>
    <row r="8">
      <c r="A8" s="4" t="inlineStr">
        <is>
          <t>TSM</t>
        </is>
      </c>
      <c r="B8" s="4" t="inlineStr">
        <is>
          <t>Taiwan Semiconductor Manufacturing Company Limited</t>
        </is>
      </c>
      <c r="C8" s="4" t="inlineStr">
        <is>
          <t>Taiwan</t>
        </is>
      </c>
      <c r="D8" s="4" t="inlineStr">
        <is>
          <t>TW</t>
        </is>
      </c>
      <c r="E8" s="4" t="inlineStr">
        <is>
          <t>Tecnología</t>
        </is>
      </c>
      <c r="F8" s="4" t="inlineStr">
        <is>
          <t>Semiconductors</t>
        </is>
      </c>
      <c r="G8" s="4" t="inlineStr">
        <is>
          <t>NYQ</t>
        </is>
      </c>
      <c r="H8" s="4" t="inlineStr">
        <is>
          <t>USD</t>
        </is>
      </c>
      <c r="I8" s="5" t="n">
        <v>2230183.788544</v>
      </c>
      <c r="J8" s="6">
        <f>INDEX(FX!$B:$B,MATCH(H8,FX!$A:$A,0))</f>
        <v/>
      </c>
      <c r="K8" s="5">
        <f>I8*J8</f>
        <v/>
      </c>
      <c r="L8" s="4">
        <f>IF(U8&lt;&gt;"",U8,IF(K8&gt;=Umbrales!$B$2,"Legendaria",IF(K8&gt;=Umbrales!$B$3,"Épica",IF(K8&gt;=Umbrales!$B$4,"Rara",IF(K8&gt;=Umbrales!$B$5,"Poco común","Común")))))</f>
        <v/>
      </c>
      <c r="M8" s="5" t="n">
        <v>4440492.343296</v>
      </c>
      <c r="N8" s="5" t="n">
        <v>2216808.415232</v>
      </c>
      <c r="O8" s="5">
        <f>IF(M8="","",M8*J8)</f>
        <v/>
      </c>
      <c r="P8" s="5">
        <f>IF(N8="","",N8*J8)</f>
        <v/>
      </c>
      <c r="Q8" s="7" t="n">
        <v>0.008500000000000001</v>
      </c>
      <c r="R8" s="8" t="n">
        <v>32.355156</v>
      </c>
      <c r="S8" s="4" t="inlineStr">
        <is>
          <t>ASIA_TOP</t>
        </is>
      </c>
      <c r="T8" s="9" t="inlineStr">
        <is>
          <t>SI</t>
        </is>
      </c>
      <c r="U8" s="9" t="inlineStr"/>
      <c r="V8" s="10">
        <f>Umbrales!$B$9*(K8/1000)^Umbrales!$B$10</f>
        <v/>
      </c>
    </row>
    <row r="9">
      <c r="A9" s="4" t="inlineStr">
        <is>
          <t>META</t>
        </is>
      </c>
      <c r="B9" s="4" t="inlineStr">
        <is>
          <t>Meta Platforms, Inc.</t>
        </is>
      </c>
      <c r="C9" s="4" t="inlineStr">
        <is>
          <t>United States</t>
        </is>
      </c>
      <c r="D9" s="4" t="inlineStr">
        <is>
          <t>US</t>
        </is>
      </c>
      <c r="E9" s="4" t="inlineStr">
        <is>
          <t>Comunicación</t>
        </is>
      </c>
      <c r="F9" s="4" t="inlineStr">
        <is>
          <t>Internet Content &amp; Information</t>
        </is>
      </c>
      <c r="G9" s="4" t="inlineStr">
        <is>
          <t>NMS</t>
        </is>
      </c>
      <c r="H9" s="4" t="inlineStr">
        <is>
          <t>USD</t>
        </is>
      </c>
      <c r="I9" s="5" t="n">
        <v>1878887.6288</v>
      </c>
      <c r="J9" s="6">
        <f>INDEX(FX!$B:$B,MATCH(H9,FX!$A:$A,0))</f>
        <v/>
      </c>
      <c r="K9" s="5">
        <f>I9*J9</f>
        <v/>
      </c>
      <c r="L9" s="4">
        <f>IF(U9&lt;&gt;"",U9,IF(K9&gt;=Umbrales!$B$2,"Legendaria",IF(K9&gt;=Umbrales!$B$3,"Épica",IF(K9&gt;=Umbrales!$B$4,"Rara",IF(K9&gt;=Umbrales!$B$5,"Poco común","Común")))))</f>
        <v/>
      </c>
      <c r="M9" s="5" t="n">
        <v>228246.994944</v>
      </c>
      <c r="N9" s="5" t="n">
        <v>68097.998848</v>
      </c>
      <c r="O9" s="5">
        <f>IF(M9="","",M9*J9)</f>
        <v/>
      </c>
      <c r="P9" s="5">
        <f>IF(N9="","",N9*J9)</f>
        <v/>
      </c>
      <c r="Q9" s="7" t="n">
        <v>0.0028</v>
      </c>
      <c r="R9" s="8" t="n">
        <v>27.78975</v>
      </c>
      <c r="S9" s="4" t="inlineStr">
        <is>
          <t>NASDAQ100, SP500</t>
        </is>
      </c>
      <c r="T9" s="9" t="inlineStr">
        <is>
          <t>SI</t>
        </is>
      </c>
      <c r="U9" s="9" t="inlineStr"/>
      <c r="V9" s="10">
        <f>Umbrales!$B$9*(K9/1000)^Umbrales!$B$10</f>
        <v/>
      </c>
    </row>
    <row r="10">
      <c r="A10" s="4" t="inlineStr">
        <is>
          <t>AVGO</t>
        </is>
      </c>
      <c r="B10" s="4" t="inlineStr">
        <is>
          <t>Broadcom Inc.</t>
        </is>
      </c>
      <c r="C10" s="4" t="inlineStr">
        <is>
          <t>United States</t>
        </is>
      </c>
      <c r="D10" s="4" t="inlineStr">
        <is>
          <t>US</t>
        </is>
      </c>
      <c r="E10" s="4" t="inlineStr">
        <is>
          <t>Tecnología</t>
        </is>
      </c>
      <c r="F10" s="4" t="inlineStr">
        <is>
          <t>Semiconductors</t>
        </is>
      </c>
      <c r="G10" s="4" t="inlineStr">
        <is>
          <t>NMS</t>
        </is>
      </c>
      <c r="H10" s="4" t="inlineStr">
        <is>
          <t>USD</t>
        </is>
      </c>
      <c r="I10" s="5" t="n">
        <v>1652869.431296</v>
      </c>
      <c r="J10" s="6">
        <f>INDEX(FX!$B:$B,MATCH(H10,FX!$A:$A,0))</f>
        <v/>
      </c>
      <c r="K10" s="5">
        <f>I10*J10</f>
        <v/>
      </c>
      <c r="L10" s="4">
        <f>IF(U10&lt;&gt;"",U10,IF(K10&gt;=Umbrales!$B$2,"Legendaria",IF(K10&gt;=Umbrales!$B$3,"Épica",IF(K10&gt;=Umbrales!$B$4,"Rara",IF(K10&gt;=Umbrales!$B$5,"Poco común","Común")))))</f>
        <v/>
      </c>
      <c r="M10" s="5" t="n">
        <v>89103.998976</v>
      </c>
      <c r="N10" s="5" t="n">
        <v>38264.999936</v>
      </c>
      <c r="O10" s="5">
        <f>IF(M10="","",M10*J10)</f>
        <v/>
      </c>
      <c r="P10" s="5">
        <f>IF(N10="","",N10*J10)</f>
        <v/>
      </c>
      <c r="Q10" s="7" t="n">
        <v>0.0073</v>
      </c>
      <c r="R10" s="8" t="n">
        <v>45.619236</v>
      </c>
      <c r="S10" s="4" t="inlineStr">
        <is>
          <t>NASDAQ100, SP500</t>
        </is>
      </c>
      <c r="T10" s="9" t="inlineStr">
        <is>
          <t>SI</t>
        </is>
      </c>
      <c r="U10" s="9" t="inlineStr"/>
      <c r="V10" s="10">
        <f>Umbrales!$B$9*(K10/1000)^Umbrales!$B$10</f>
        <v/>
      </c>
    </row>
    <row r="11">
      <c r="A11" s="4" t="inlineStr">
        <is>
          <t>2222.SR</t>
        </is>
      </c>
      <c r="B11" s="4" t="inlineStr">
        <is>
          <t>Saudi Arabian Oil Company</t>
        </is>
      </c>
      <c r="C11" s="4" t="inlineStr">
        <is>
          <t>Saudi Arabia</t>
        </is>
      </c>
      <c r="D11" s="4" t="inlineStr">
        <is>
          <t>SA</t>
        </is>
      </c>
      <c r="E11" s="4" t="inlineStr">
        <is>
          <t>Energía</t>
        </is>
      </c>
      <c r="F11" s="4" t="inlineStr">
        <is>
          <t>Oil &amp; Gas Integrated</t>
        </is>
      </c>
      <c r="G11" s="4" t="inlineStr">
        <is>
          <t>SAU</t>
        </is>
      </c>
      <c r="H11" s="4" t="inlineStr">
        <is>
          <t>SAR</t>
        </is>
      </c>
      <c r="I11" s="5" t="n">
        <v>6110580.834304</v>
      </c>
      <c r="J11" s="6">
        <f>INDEX(FX!$B:$B,MATCH(H11,FX!$A:$A,0))</f>
        <v/>
      </c>
      <c r="K11" s="5">
        <f>I11*J11</f>
        <v/>
      </c>
      <c r="L11" s="4">
        <f>IF(U11&lt;&gt;"",U11,IF(K11&gt;=Umbrales!$B$2,"Legendaria",IF(K11&gt;=Umbrales!$B$3,"Épica",IF(K11&gt;=Umbrales!$B$4,"Rara",IF(K11&gt;=Umbrales!$B$5,"Poco común","Común")))))</f>
        <v/>
      </c>
      <c r="M11" s="5" t="n">
        <v>1823482.970112</v>
      </c>
      <c r="N11" s="5" t="n">
        <v>408371.003392</v>
      </c>
      <c r="O11" s="5">
        <f>IF(M11="","",M11*J11)</f>
        <v/>
      </c>
      <c r="P11" s="5">
        <f>IF(N11="","",N11*J11)</f>
        <v/>
      </c>
      <c r="Q11" s="7" t="n">
        <v>0.0535</v>
      </c>
      <c r="R11" s="8" t="n">
        <v>14.686047</v>
      </c>
      <c r="S11" s="4" t="inlineStr">
        <is>
          <t>ASIA_TOP</t>
        </is>
      </c>
      <c r="T11" s="9" t="inlineStr">
        <is>
          <t>SI</t>
        </is>
      </c>
      <c r="U11" s="9" t="inlineStr"/>
      <c r="V11" s="10">
        <f>Umbrales!$B$9*(K11/1000)^Umbrales!$B$10</f>
        <v/>
      </c>
    </row>
    <row r="12">
      <c r="A12" s="4" t="inlineStr">
        <is>
          <t>TSLA</t>
        </is>
      </c>
      <c r="B12" s="4" t="inlineStr">
        <is>
          <t>Tesla, Inc.</t>
        </is>
      </c>
      <c r="C12" s="4" t="inlineStr">
        <is>
          <t>United States</t>
        </is>
      </c>
      <c r="D12" s="4" t="inlineStr">
        <is>
          <t>US</t>
        </is>
      </c>
      <c r="E12" s="4" t="inlineStr">
        <is>
          <t>Consumo cíclico</t>
        </is>
      </c>
      <c r="F12" s="4" t="inlineStr">
        <is>
          <t>Auto Manufacturers</t>
        </is>
      </c>
      <c r="G12" s="4" t="inlineStr">
        <is>
          <t>NMS</t>
        </is>
      </c>
      <c r="H12" s="4" t="inlineStr">
        <is>
          <t>USD</t>
        </is>
      </c>
      <c r="I12" s="5" t="n">
        <v>1450115.858432</v>
      </c>
      <c r="J12" s="6">
        <f>INDEX(FX!$B:$B,MATCH(H12,FX!$A:$A,0))</f>
        <v/>
      </c>
      <c r="K12" s="5">
        <f>I12*J12</f>
        <v/>
      </c>
      <c r="L12" s="4">
        <f>IF(U12&lt;&gt;"",U12,IF(K12&gt;=Umbrales!$B$2,"Legendaria",IF(K12&gt;=Umbrales!$B$3,"Épica",IF(K12&gt;=Umbrales!$B$4,"Rara",IF(K12&gt;=Umbrales!$B$5,"Poco común","Común")))))</f>
        <v/>
      </c>
      <c r="M12" s="5" t="n">
        <v>103619.002368</v>
      </c>
      <c r="N12" s="5" t="n">
        <v>3806.000128</v>
      </c>
      <c r="O12" s="5">
        <f>IF(M12="","",M12*J12)</f>
        <v/>
      </c>
      <c r="P12" s="5">
        <f>IF(N12="","",N12*J12)</f>
        <v/>
      </c>
      <c r="Q12" s="7" t="n">
        <v>0</v>
      </c>
      <c r="R12" s="8" t="n">
        <v>339.96295</v>
      </c>
      <c r="S12" s="4" t="inlineStr">
        <is>
          <t>NASDAQ100, SP500</t>
        </is>
      </c>
      <c r="T12" s="9" t="inlineStr">
        <is>
          <t>SI</t>
        </is>
      </c>
      <c r="U12" s="9" t="inlineStr"/>
      <c r="V12" s="10">
        <f>Umbrales!$B$9*(K12/1000)^Umbrales!$B$10</f>
        <v/>
      </c>
    </row>
    <row r="13">
      <c r="A13" s="4" t="inlineStr">
        <is>
          <t>BRK-B</t>
        </is>
      </c>
      <c r="B13" s="4" t="inlineStr">
        <is>
          <t>Berkshire Hathaway Inc.</t>
        </is>
      </c>
      <c r="C13" s="4" t="inlineStr">
        <is>
          <t>United States</t>
        </is>
      </c>
      <c r="D13" s="4" t="inlineStr">
        <is>
          <t>US</t>
        </is>
      </c>
      <c r="E13" s="4" t="inlineStr">
        <is>
          <t>Finanzas</t>
        </is>
      </c>
      <c r="F13" s="4" t="inlineStr">
        <is>
          <t>Insurance - Diversified</t>
        </is>
      </c>
      <c r="G13" s="4" t="inlineStr">
        <is>
          <t>NYQ</t>
        </is>
      </c>
      <c r="H13" s="4" t="inlineStr">
        <is>
          <t>USD</t>
        </is>
      </c>
      <c r="I13" s="5" t="n">
        <v>1126762.545152</v>
      </c>
      <c r="J13" s="6">
        <f>INDEX(FX!$B:$B,MATCH(H13,FX!$A:$A,0))</f>
        <v/>
      </c>
      <c r="K13" s="5">
        <f>I13*J13</f>
        <v/>
      </c>
      <c r="L13" s="4">
        <f>IF(U13&lt;&gt;"",U13,IF(K13&gt;=Umbrales!$B$2,"Legendaria",IF(K13&gt;=Umbrales!$B$3,"Épica",IF(K13&gt;=Umbrales!$B$4,"Rara",IF(K13&gt;=Umbrales!$B$5,"Poco común","Común")))))</f>
        <v/>
      </c>
      <c r="M13" s="5" t="n">
        <v>384687.013888</v>
      </c>
      <c r="N13" s="5" t="n">
        <v>85768.00358400001</v>
      </c>
      <c r="O13" s="5">
        <f>IF(M13="","",M13*J13)</f>
        <v/>
      </c>
      <c r="P13" s="5">
        <f>IF(N13="","",N13*J13)</f>
        <v/>
      </c>
      <c r="Q13" s="7" t="n">
        <v>0</v>
      </c>
      <c r="R13" s="8" t="n">
        <v>13.093283</v>
      </c>
      <c r="S13" s="4" t="inlineStr">
        <is>
          <t>SP500</t>
        </is>
      </c>
      <c r="T13" s="9" t="inlineStr">
        <is>
          <t>SI</t>
        </is>
      </c>
      <c r="U13" s="9" t="inlineStr"/>
      <c r="V13" s="10">
        <f>Umbrales!$B$9*(K13/1000)^Umbrales!$B$10</f>
        <v/>
      </c>
    </row>
    <row r="14">
      <c r="A14" s="4" t="inlineStr">
        <is>
          <t>LLY</t>
        </is>
      </c>
      <c r="B14" s="4" t="inlineStr">
        <is>
          <t>Eli Lilly and Company</t>
        </is>
      </c>
      <c r="C14" s="4" t="inlineStr">
        <is>
          <t>United States</t>
        </is>
      </c>
      <c r="D14" s="4" t="inlineStr">
        <is>
          <t>US</t>
        </is>
      </c>
      <c r="E14" s="4" t="inlineStr">
        <is>
          <t>Salud</t>
        </is>
      </c>
      <c r="F14" s="4" t="inlineStr">
        <is>
          <t>Drug Manufacturers - General</t>
        </is>
      </c>
      <c r="G14" s="4" t="inlineStr">
        <is>
          <t>NYQ</t>
        </is>
      </c>
      <c r="H14" s="4" t="inlineStr">
        <is>
          <t>USD</t>
        </is>
      </c>
      <c r="I14" s="5" t="n">
        <v>1077418.917888</v>
      </c>
      <c r="J14" s="6">
        <f>INDEX(FX!$B:$B,MATCH(H14,FX!$A:$A,0))</f>
        <v/>
      </c>
      <c r="K14" s="5">
        <f>I14*J14</f>
        <v/>
      </c>
      <c r="L14" s="4">
        <f>IF(U14&lt;&gt;"",U14,IF(K14&gt;=Umbrales!$B$2,"Legendaria",IF(K14&gt;=Umbrales!$B$3,"Épica",IF(K14&gt;=Umbrales!$B$4,"Rara",IF(K14&gt;=Umbrales!$B$5,"Poco común","Común")))))</f>
        <v/>
      </c>
      <c r="M14" s="5" t="n">
        <v>79666.003968</v>
      </c>
      <c r="N14" s="5" t="n">
        <v>26710.99904</v>
      </c>
      <c r="O14" s="5">
        <f>IF(M14="","",M14*J14)</f>
        <v/>
      </c>
      <c r="P14" s="5">
        <f>IF(N14="","",N14*J14)</f>
        <v/>
      </c>
      <c r="Q14" s="7" t="n">
        <v>0.0059</v>
      </c>
      <c r="R14" s="8" t="n">
        <v>39.155815</v>
      </c>
      <c r="S14" s="4" t="inlineStr">
        <is>
          <t>SP500</t>
        </is>
      </c>
      <c r="T14" s="9" t="inlineStr">
        <is>
          <t>SI</t>
        </is>
      </c>
      <c r="U14" s="9" t="inlineStr"/>
      <c r="V14" s="10">
        <f>Umbrales!$B$9*(K14/1000)^Umbrales!$B$10</f>
        <v/>
      </c>
    </row>
    <row r="15">
      <c r="A15" s="4" t="inlineStr">
        <is>
          <t>MU</t>
        </is>
      </c>
      <c r="B15" s="4" t="inlineStr">
        <is>
          <t>Micron Technology, Inc.</t>
        </is>
      </c>
      <c r="C15" s="4" t="inlineStr">
        <is>
          <t>United States</t>
        </is>
      </c>
      <c r="D15" s="4" t="inlineStr">
        <is>
          <t>US</t>
        </is>
      </c>
      <c r="E15" s="4" t="inlineStr">
        <is>
          <t>Tecnología</t>
        </is>
      </c>
      <c r="F15" s="4" t="inlineStr">
        <is>
          <t>Semiconductors</t>
        </is>
      </c>
      <c r="G15" s="4" t="inlineStr">
        <is>
          <t>NMS</t>
        </is>
      </c>
      <c r="H15" s="4" t="inlineStr">
        <is>
          <t>USD</t>
        </is>
      </c>
      <c r="I15" s="5" t="n">
        <v>1034267.918336</v>
      </c>
      <c r="J15" s="6">
        <f>INDEX(FX!$B:$B,MATCH(H15,FX!$A:$A,0))</f>
        <v/>
      </c>
      <c r="K15" s="5">
        <f>I15*J15</f>
        <v/>
      </c>
      <c r="L15" s="4">
        <f>IF(U15&lt;&gt;"",U15,IF(K15&gt;=Umbrales!$B$2,"Legendaria",IF(K15&gt;=Umbrales!$B$3,"Épica",IF(K15&gt;=Umbrales!$B$4,"Rara",IF(K15&gt;=Umbrales!$B$5,"Poco común","Común")))))</f>
        <v/>
      </c>
      <c r="M15" s="5" t="n">
        <v>133188.001792</v>
      </c>
      <c r="N15" s="5" t="n">
        <v>84968.996864</v>
      </c>
      <c r="O15" s="5">
        <f>IF(M15="","",M15*J15)</f>
        <v/>
      </c>
      <c r="P15" s="5">
        <f>IF(N15="","",N15*J15)</f>
        <v/>
      </c>
      <c r="Q15" s="7" t="n">
        <v>0.0005999999999999999</v>
      </c>
      <c r="R15" s="8" t="n">
        <v>12.824495</v>
      </c>
      <c r="S15" s="4" t="inlineStr">
        <is>
          <t>NASDAQ100, SP500</t>
        </is>
      </c>
      <c r="T15" s="9" t="inlineStr">
        <is>
          <t>SI</t>
        </is>
      </c>
      <c r="U15" s="9" t="inlineStr"/>
      <c r="V15" s="10">
        <f>Umbrales!$B$9*(K15/1000)^Umbrales!$B$10</f>
        <v/>
      </c>
    </row>
    <row r="16">
      <c r="A16" s="4" t="inlineStr">
        <is>
          <t>005930.KS</t>
        </is>
      </c>
      <c r="B16" s="4" t="inlineStr">
        <is>
          <t>Samsung Electronics Co., Ltd.</t>
        </is>
      </c>
      <c r="C16" s="4" t="inlineStr">
        <is>
          <t>South Korea</t>
        </is>
      </c>
      <c r="D16" s="4" t="inlineStr">
        <is>
          <t>KR</t>
        </is>
      </c>
      <c r="E16" s="4" t="inlineStr">
        <is>
          <t>Tecnología</t>
        </is>
      </c>
      <c r="F16" s="4" t="inlineStr">
        <is>
          <t>Consumer Electronics</t>
        </is>
      </c>
      <c r="G16" s="4" t="inlineStr">
        <is>
          <t>KSC</t>
        </is>
      </c>
      <c r="H16" s="4" t="inlineStr">
        <is>
          <t>KRW</t>
        </is>
      </c>
      <c r="I16" s="5" t="n">
        <v>1367503762.620416</v>
      </c>
      <c r="J16" s="6">
        <f>INDEX(FX!$B:$B,MATCH(H16,FX!$A:$A,0))</f>
        <v/>
      </c>
      <c r="K16" s="5">
        <f>I16*J16</f>
        <v/>
      </c>
      <c r="L16" s="4">
        <f>IF(U16&lt;&gt;"",U16,IF(K16&gt;=Umbrales!$B$2,"Legendaria",IF(K16&gt;=Umbrales!$B$3,"Épica",IF(K16&gt;=Umbrales!$B$4,"Rara",IF(K16&gt;=Umbrales!$B$5,"Poco común","Común")))))</f>
        <v/>
      </c>
      <c r="M16" s="5" t="n">
        <v>485272047.321088</v>
      </c>
      <c r="N16" s="5" t="n">
        <v>135264684.998656</v>
      </c>
      <c r="O16" s="5">
        <f>IF(M16="","",M16*J16)</f>
        <v/>
      </c>
      <c r="P16" s="5">
        <f>IF(N16="","",N16*J16)</f>
        <v/>
      </c>
      <c r="Q16" s="7" t="n">
        <v>0.0064</v>
      </c>
      <c r="R16" s="8" t="n"/>
      <c r="S16" s="4" t="inlineStr">
        <is>
          <t>ASIA_TOP</t>
        </is>
      </c>
      <c r="T16" s="9" t="inlineStr">
        <is>
          <t>SI</t>
        </is>
      </c>
      <c r="U16" s="9" t="inlineStr"/>
      <c r="V16" s="10">
        <f>Umbrales!$B$9*(K16/1000)^Umbrales!$B$10</f>
        <v/>
      </c>
    </row>
    <row r="17">
      <c r="A17" s="4" t="inlineStr">
        <is>
          <t>AMD</t>
        </is>
      </c>
      <c r="B17" s="4" t="inlineStr">
        <is>
          <t>Advanced Micro Devices, Inc.</t>
        </is>
      </c>
      <c r="C17" s="4" t="inlineStr">
        <is>
          <t>United States</t>
        </is>
      </c>
      <c r="D17" s="4" t="inlineStr">
        <is>
          <t>US</t>
        </is>
      </c>
      <c r="E17" s="4" t="inlineStr">
        <is>
          <t>Tecnología</t>
        </is>
      </c>
      <c r="F17" s="4" t="inlineStr">
        <is>
          <t>Semiconductors</t>
        </is>
      </c>
      <c r="G17" s="4" t="inlineStr">
        <is>
          <t>NMS</t>
        </is>
      </c>
      <c r="H17" s="4" t="inlineStr">
        <is>
          <t>USD</t>
        </is>
      </c>
      <c r="I17" s="5" t="n">
        <v>931849.371648</v>
      </c>
      <c r="J17" s="6">
        <f>INDEX(FX!$B:$B,MATCH(H17,FX!$A:$A,0))</f>
        <v/>
      </c>
      <c r="K17" s="5">
        <f>I17*J17</f>
        <v/>
      </c>
      <c r="L17" s="4">
        <f>IF(U17&lt;&gt;"",U17,IF(K17&gt;=Umbrales!$B$2,"Legendaria",IF(K17&gt;=Umbrales!$B$3,"Épica",IF(K17&gt;=Umbrales!$B$4,"Rara",IF(K17&gt;=Umbrales!$B$5,"Poco común","Común")))))</f>
        <v/>
      </c>
      <c r="M17" s="5" t="n">
        <v>41305.001984</v>
      </c>
      <c r="N17" s="5" t="n">
        <v>6469.000192</v>
      </c>
      <c r="O17" s="5">
        <f>IF(M17="","",M17*J17)</f>
        <v/>
      </c>
      <c r="P17" s="5">
        <f>IF(N17="","",N17*J17)</f>
        <v/>
      </c>
      <c r="Q17" s="7" t="n">
        <v>0</v>
      </c>
      <c r="R17" s="8" t="n">
        <v>145.61734</v>
      </c>
      <c r="S17" s="4" t="inlineStr">
        <is>
          <t>NASDAQ100, SP500</t>
        </is>
      </c>
      <c r="T17" s="9" t="inlineStr">
        <is>
          <t>SI</t>
        </is>
      </c>
      <c r="U17" s="9" t="inlineStr"/>
      <c r="V17" s="10">
        <f>Umbrales!$B$9*(K17/1000)^Umbrales!$B$10</f>
        <v/>
      </c>
    </row>
    <row r="18">
      <c r="A18" s="4" t="inlineStr">
        <is>
          <t>WMT</t>
        </is>
      </c>
      <c r="B18" s="4" t="inlineStr">
        <is>
          <t>Walmart Inc.</t>
        </is>
      </c>
      <c r="C18" s="4" t="inlineStr">
        <is>
          <t>United States</t>
        </is>
      </c>
      <c r="D18" s="4" t="inlineStr">
        <is>
          <t>US</t>
        </is>
      </c>
      <c r="E18" s="4" t="inlineStr">
        <is>
          <t>Consumo básico</t>
        </is>
      </c>
      <c r="F18" s="4" t="inlineStr">
        <is>
          <t>Discount Stores</t>
        </is>
      </c>
      <c r="G18" s="4" t="inlineStr">
        <is>
          <t>NMS</t>
        </is>
      </c>
      <c r="H18" s="4" t="inlineStr">
        <is>
          <t>USD</t>
        </is>
      </c>
      <c r="I18" s="5" t="n">
        <v>921584.009216</v>
      </c>
      <c r="J18" s="6">
        <f>INDEX(FX!$B:$B,MATCH(H18,FX!$A:$A,0))</f>
        <v/>
      </c>
      <c r="K18" s="5">
        <f>I18*J18</f>
        <v/>
      </c>
      <c r="L18" s="4">
        <f>IF(U18&lt;&gt;"",U18,IF(K18&gt;=Umbrales!$B$2,"Legendaria",IF(K18&gt;=Umbrales!$B$3,"Épica",IF(K18&gt;=Umbrales!$B$4,"Rara",IF(K18&gt;=Umbrales!$B$5,"Poco común","Común")))))</f>
        <v/>
      </c>
      <c r="M18" s="5" t="n">
        <v>735839.9774720001</v>
      </c>
      <c r="N18" s="5" t="n">
        <v>22076.000256</v>
      </c>
      <c r="O18" s="5">
        <f>IF(M18="","",M18*J18)</f>
        <v/>
      </c>
      <c r="P18" s="5">
        <f>IF(N18="","",N18*J18)</f>
        <v/>
      </c>
      <c r="Q18" s="7" t="n">
        <v>0.008800000000000001</v>
      </c>
      <c r="R18" s="8" t="n">
        <v>42.08696</v>
      </c>
      <c r="S18" s="4" t="inlineStr">
        <is>
          <t>DOW30, SP500</t>
        </is>
      </c>
      <c r="T18" s="9" t="inlineStr">
        <is>
          <t>SI</t>
        </is>
      </c>
      <c r="U18" s="9" t="inlineStr"/>
      <c r="V18" s="10">
        <f>Umbrales!$B$9*(K18/1000)^Umbrales!$B$10</f>
        <v/>
      </c>
    </row>
    <row r="19">
      <c r="A19" s="4" t="inlineStr">
        <is>
          <t>JPM</t>
        </is>
      </c>
      <c r="B19" s="4" t="inlineStr">
        <is>
          <t>JPMorgan Chase &amp; Co.</t>
        </is>
      </c>
      <c r="C19" s="4" t="inlineStr">
        <is>
          <t>United States</t>
        </is>
      </c>
      <c r="D19" s="4" t="inlineStr">
        <is>
          <t>US</t>
        </is>
      </c>
      <c r="E19" s="4" t="inlineStr">
        <is>
          <t>Finanzas</t>
        </is>
      </c>
      <c r="F19" s="4" t="inlineStr">
        <is>
          <t>Banks - Diversified</t>
        </is>
      </c>
      <c r="G19" s="4" t="inlineStr">
        <is>
          <t>NYQ</t>
        </is>
      </c>
      <c r="H19" s="4" t="inlineStr">
        <is>
          <t>USD</t>
        </is>
      </c>
      <c r="I19" s="5" t="n">
        <v>890369.605632</v>
      </c>
      <c r="J19" s="6">
        <f>INDEX(FX!$B:$B,MATCH(H19,FX!$A:$A,0))</f>
        <v/>
      </c>
      <c r="K19" s="5">
        <f>I19*J19</f>
        <v/>
      </c>
      <c r="L19" s="4">
        <f>IF(U19&lt;&gt;"",U19,IF(K19&gt;=Umbrales!$B$2,"Legendaria",IF(K19&gt;=Umbrales!$B$3,"Épica",IF(K19&gt;=Umbrales!$B$4,"Rara",IF(K19&gt;=Umbrales!$B$5,"Poco común","Común")))))</f>
        <v/>
      </c>
      <c r="M19" s="5" t="n">
        <v>190732.992512</v>
      </c>
      <c r="N19" s="5" t="n">
        <v>64526.999552</v>
      </c>
      <c r="O19" s="5">
        <f>IF(M19="","",M19*J19)</f>
        <v/>
      </c>
      <c r="P19" s="5">
        <f>IF(N19="","",N19*J19)</f>
        <v/>
      </c>
      <c r="Q19" s="7" t="n">
        <v>0.0199</v>
      </c>
      <c r="R19" s="8" t="n">
        <v>13.900497</v>
      </c>
      <c r="S19" s="4" t="inlineStr">
        <is>
          <t>DOW30, SP500</t>
        </is>
      </c>
      <c r="T19" s="9" t="inlineStr">
        <is>
          <t>SI</t>
        </is>
      </c>
      <c r="U19" s="9" t="inlineStr"/>
      <c r="V19" s="10">
        <f>Umbrales!$B$9*(K19/1000)^Umbrales!$B$10</f>
        <v/>
      </c>
    </row>
    <row r="20">
      <c r="A20" s="4" t="inlineStr">
        <is>
          <t>V</t>
        </is>
      </c>
      <c r="B20" s="4" t="inlineStr">
        <is>
          <t>Visa Inc.</t>
        </is>
      </c>
      <c r="C20" s="4" t="inlineStr">
        <is>
          <t>United States</t>
        </is>
      </c>
      <c r="D20" s="4" t="inlineStr">
        <is>
          <t>US</t>
        </is>
      </c>
      <c r="E20" s="4" t="inlineStr">
        <is>
          <t>Finanzas</t>
        </is>
      </c>
      <c r="F20" s="4" t="inlineStr">
        <is>
          <t>Credit Services</t>
        </is>
      </c>
      <c r="G20" s="4" t="inlineStr">
        <is>
          <t>NYQ</t>
        </is>
      </c>
      <c r="H20" s="4" t="inlineStr">
        <is>
          <t>USD</t>
        </is>
      </c>
      <c r="I20" s="5" t="n">
        <v>734853.136384</v>
      </c>
      <c r="J20" s="6">
        <f>INDEX(FX!$B:$B,MATCH(H20,FX!$A:$A,0))</f>
        <v/>
      </c>
      <c r="K20" s="5">
        <f>I20*J20</f>
        <v/>
      </c>
      <c r="L20" s="4">
        <f>IF(U20&lt;&gt;"",U20,IF(K20&gt;=Umbrales!$B$2,"Legendaria",IF(K20&gt;=Umbrales!$B$3,"Épica",IF(K20&gt;=Umbrales!$B$4,"Rara",IF(K20&gt;=Umbrales!$B$5,"Poco común","Común")))))</f>
        <v/>
      </c>
      <c r="M20" s="5" t="n">
        <v>44487.999488</v>
      </c>
      <c r="N20" s="5" t="n">
        <v>22397.999104</v>
      </c>
      <c r="O20" s="5">
        <f>IF(M20="","",M20*J20)</f>
        <v/>
      </c>
      <c r="P20" s="5">
        <f>IF(N20="","",N20*J20)</f>
        <v/>
      </c>
      <c r="Q20" s="7" t="n">
        <v>0.0068</v>
      </c>
      <c r="R20" s="8" t="n">
        <v>33.31319</v>
      </c>
      <c r="S20" s="4" t="inlineStr">
        <is>
          <t>DOW30, SP500</t>
        </is>
      </c>
      <c r="T20" s="9" t="inlineStr">
        <is>
          <t>SI</t>
        </is>
      </c>
      <c r="U20" s="9" t="inlineStr"/>
      <c r="V20" s="10">
        <f>Umbrales!$B$9*(K20/1000)^Umbrales!$B$10</f>
        <v/>
      </c>
    </row>
    <row r="21">
      <c r="A21" s="4" t="inlineStr">
        <is>
          <t>XOM</t>
        </is>
      </c>
      <c r="B21" s="4" t="inlineStr">
        <is>
          <t>ExxonMobil Holdings Corporation</t>
        </is>
      </c>
      <c r="C21" s="4" t="inlineStr">
        <is>
          <t>United States</t>
        </is>
      </c>
      <c r="D21" s="4" t="inlineStr">
        <is>
          <t>US</t>
        </is>
      </c>
      <c r="E21" s="4" t="inlineStr">
        <is>
          <t>Energía</t>
        </is>
      </c>
      <c r="F21" s="4" t="inlineStr">
        <is>
          <t>Oil &amp; Gas Integrated</t>
        </is>
      </c>
      <c r="G21" s="4" t="inlineStr">
        <is>
          <t>NYQ</t>
        </is>
      </c>
      <c r="H21" s="4" t="inlineStr">
        <is>
          <t>USD</t>
        </is>
      </c>
      <c r="I21" s="5" t="n">
        <v>727849.500672</v>
      </c>
      <c r="J21" s="6">
        <f>INDEX(FX!$B:$B,MATCH(H21,FX!$A:$A,0))</f>
        <v/>
      </c>
      <c r="K21" s="5">
        <f>I21*J21</f>
        <v/>
      </c>
      <c r="L21" s="4">
        <f>IF(U21&lt;&gt;"",U21,IF(K21&gt;=Umbrales!$B$2,"Legendaria",IF(K21&gt;=Umbrales!$B$3,"Épica",IF(K21&gt;=Umbrales!$B$4,"Rara",IF(K21&gt;=Umbrales!$B$5,"Poco común","Común")))))</f>
        <v/>
      </c>
      <c r="M21" s="5" t="n">
        <v>361060.007936</v>
      </c>
      <c r="N21" s="5" t="n">
        <v>32757.000192</v>
      </c>
      <c r="O21" s="5">
        <f>IF(M21="","",M21*J21)</f>
        <v/>
      </c>
      <c r="P21" s="5">
        <f>IF(N21="","",N21*J21)</f>
        <v/>
      </c>
      <c r="Q21" s="7" t="n">
        <v>0.0237</v>
      </c>
      <c r="R21" s="8" t="n">
        <v>22.406328</v>
      </c>
      <c r="S21" s="4" t="inlineStr">
        <is>
          <t>SP500</t>
        </is>
      </c>
      <c r="T21" s="9" t="inlineStr">
        <is>
          <t>SI</t>
        </is>
      </c>
      <c r="U21" s="9" t="inlineStr"/>
      <c r="V21" s="10">
        <f>Umbrales!$B$9*(K21/1000)^Umbrales!$B$10</f>
        <v/>
      </c>
    </row>
    <row r="22">
      <c r="A22" s="4" t="inlineStr">
        <is>
          <t>000660.KS</t>
        </is>
      </c>
      <c r="B22" s="4" t="inlineStr">
        <is>
          <t>SK hynix Inc.</t>
        </is>
      </c>
      <c r="C22" s="4" t="inlineStr">
        <is>
          <t>South Korea</t>
        </is>
      </c>
      <c r="D22" s="4" t="inlineStr">
        <is>
          <t>KR</t>
        </is>
      </c>
      <c r="E22" s="4" t="inlineStr">
        <is>
          <t>Tecnología</t>
        </is>
      </c>
      <c r="F22" s="4" t="inlineStr">
        <is>
          <t>Semiconductors</t>
        </is>
      </c>
      <c r="G22" s="4" t="inlineStr">
        <is>
          <t>KSC</t>
        </is>
      </c>
      <c r="H22" s="4" t="inlineStr">
        <is>
          <t>KRW</t>
        </is>
      </c>
      <c r="I22" s="5" t="n">
        <v>897377313.488896</v>
      </c>
      <c r="J22" s="6">
        <f>INDEX(FX!$B:$B,MATCH(H22,FX!$A:$A,0))</f>
        <v/>
      </c>
      <c r="K22" s="5">
        <f>I22*J22</f>
        <v/>
      </c>
      <c r="L22" s="4">
        <f>IF(U22&lt;&gt;"",U22,IF(K22&gt;=Umbrales!$B$2,"Legendaria",IF(K22&gt;=Umbrales!$B$3,"Épica",IF(K22&gt;=Umbrales!$B$4,"Rara",IF(K22&gt;=Umbrales!$B$5,"Poco común","Común")))))</f>
        <v/>
      </c>
      <c r="M22" s="5" t="n">
        <v>189170609.815552</v>
      </c>
      <c r="N22" s="5" t="n">
        <v>161965397.77024</v>
      </c>
      <c r="O22" s="5">
        <f>IF(M22="","",M22*J22)</f>
        <v/>
      </c>
      <c r="P22" s="5">
        <f>IF(N22="","",N22*J22)</f>
        <v/>
      </c>
      <c r="Q22" s="7" t="n">
        <v>0.0011</v>
      </c>
      <c r="R22" s="8" t="n"/>
      <c r="S22" s="4" t="inlineStr">
        <is>
          <t>ASIA_TOP</t>
        </is>
      </c>
      <c r="T22" s="9" t="inlineStr">
        <is>
          <t>SI</t>
        </is>
      </c>
      <c r="U22" s="9" t="inlineStr"/>
      <c r="V22" s="10">
        <f>Umbrales!$B$9*(K22/1000)^Umbrales!$B$10</f>
        <v/>
      </c>
    </row>
    <row r="23">
      <c r="A23" s="4" t="inlineStr">
        <is>
          <t>ASML.AS</t>
        </is>
      </c>
      <c r="B23" s="4" t="inlineStr">
        <is>
          <t>ASML Holding N.V.</t>
        </is>
      </c>
      <c r="C23" s="4" t="inlineStr">
        <is>
          <t>Netherlands</t>
        </is>
      </c>
      <c r="D23" s="4" t="inlineStr">
        <is>
          <t>NL</t>
        </is>
      </c>
      <c r="E23" s="4" t="inlineStr">
        <is>
          <t>Tecnología</t>
        </is>
      </c>
      <c r="F23" s="4" t="inlineStr">
        <is>
          <t>Semiconductor Equipment &amp; Materials</t>
        </is>
      </c>
      <c r="G23" s="4" t="inlineStr">
        <is>
          <t>AMS</t>
        </is>
      </c>
      <c r="H23" s="4" t="inlineStr">
        <is>
          <t>EUR</t>
        </is>
      </c>
      <c r="I23" s="5" t="n">
        <v>553027.1744</v>
      </c>
      <c r="J23" s="6">
        <f>INDEX(FX!$B:$B,MATCH(H23,FX!$A:$A,0))</f>
        <v/>
      </c>
      <c r="K23" s="5">
        <f>I23*J23</f>
        <v/>
      </c>
      <c r="L23" s="4">
        <f>IF(U23&lt;&gt;"",U23,IF(K23&gt;=Umbrales!$B$2,"Legendaria",IF(K23&gt;=Umbrales!$B$3,"Épica",IF(K23&gt;=Umbrales!$B$4,"Rara",IF(K23&gt;=Umbrales!$B$5,"Poco común","Común")))))</f>
        <v/>
      </c>
      <c r="M23" s="5" t="n">
        <v>35327.500288</v>
      </c>
      <c r="N23" s="5" t="n">
        <v>10638.399488</v>
      </c>
      <c r="O23" s="5">
        <f>IF(M23="","",M23*J23)</f>
        <v/>
      </c>
      <c r="P23" s="5">
        <f>IF(N23="","",N23*J23)</f>
        <v/>
      </c>
      <c r="Q23" s="7" t="n">
        <v>0.0052</v>
      </c>
      <c r="R23" s="8" t="n">
        <v>54.51723</v>
      </c>
      <c r="S23" s="4" t="inlineStr">
        <is>
          <t>AEX, EUROSTOXX50, NASDAQ100</t>
        </is>
      </c>
      <c r="T23" s="9" t="inlineStr">
        <is>
          <t>SI</t>
        </is>
      </c>
      <c r="U23" s="9" t="inlineStr"/>
      <c r="V23" s="10">
        <f>Umbrales!$B$9*(K23/1000)^Umbrales!$B$10</f>
        <v/>
      </c>
    </row>
    <row r="24">
      <c r="A24" s="4" t="inlineStr">
        <is>
          <t>JNJ</t>
        </is>
      </c>
      <c r="B24" s="4" t="inlineStr">
        <is>
          <t>Johnson &amp; Johnson</t>
        </is>
      </c>
      <c r="C24" s="4" t="inlineStr">
        <is>
          <t>United States</t>
        </is>
      </c>
      <c r="D24" s="4" t="inlineStr">
        <is>
          <t>US</t>
        </is>
      </c>
      <c r="E24" s="4" t="inlineStr">
        <is>
          <t>Salud</t>
        </is>
      </c>
      <c r="F24" s="4" t="inlineStr">
        <is>
          <t>Drug Manufacturers - General</t>
        </is>
      </c>
      <c r="G24" s="4" t="inlineStr">
        <is>
          <t>NYQ</t>
        </is>
      </c>
      <c r="H24" s="4" t="inlineStr">
        <is>
          <t>USD</t>
        </is>
      </c>
      <c r="I24" s="5" t="n">
        <v>611897.311232</v>
      </c>
      <c r="J24" s="6">
        <f>INDEX(FX!$B:$B,MATCH(H24,FX!$A:$A,0))</f>
        <v/>
      </c>
      <c r="K24" s="5">
        <f>I24*J24</f>
        <v/>
      </c>
      <c r="L24" s="4">
        <f>IF(U24&lt;&gt;"",U24,IF(K24&gt;=Umbrales!$B$2,"Legendaria",IF(K24&gt;=Umbrales!$B$3,"Épica",IF(K24&gt;=Umbrales!$B$4,"Rara",IF(K24&gt;=Umbrales!$B$5,"Poco común","Común")))))</f>
        <v/>
      </c>
      <c r="M24" s="5" t="n">
        <v>97929.003008</v>
      </c>
      <c r="N24" s="5" t="n">
        <v>21037.000704</v>
      </c>
      <c r="O24" s="5">
        <f>IF(M24="","",M24*J24)</f>
        <v/>
      </c>
      <c r="P24" s="5">
        <f>IF(N24="","",N24*J24)</f>
        <v/>
      </c>
      <c r="Q24" s="7" t="n">
        <v>0.0216</v>
      </c>
      <c r="R24" s="8" t="n">
        <v>28.820658</v>
      </c>
      <c r="S24" s="4" t="inlineStr">
        <is>
          <t>DOW30, SP500</t>
        </is>
      </c>
      <c r="T24" s="9" t="inlineStr">
        <is>
          <t>SI</t>
        </is>
      </c>
      <c r="U24" s="9" t="inlineStr"/>
      <c r="V24" s="10">
        <f>Umbrales!$B$9*(K24/1000)^Umbrales!$B$10</f>
        <v/>
      </c>
    </row>
    <row r="25">
      <c r="A25" s="4" t="inlineStr">
        <is>
          <t>MA</t>
        </is>
      </c>
      <c r="B25" s="4" t="inlineStr">
        <is>
          <t>Mastercard Incorporated</t>
        </is>
      </c>
      <c r="C25" s="4" t="inlineStr">
        <is>
          <t>United States</t>
        </is>
      </c>
      <c r="D25" s="4" t="inlineStr">
        <is>
          <t>US</t>
        </is>
      </c>
      <c r="E25" s="4" t="inlineStr">
        <is>
          <t>Finanzas</t>
        </is>
      </c>
      <c r="F25" s="4" t="inlineStr">
        <is>
          <t>Credit Services</t>
        </is>
      </c>
      <c r="G25" s="4" t="inlineStr">
        <is>
          <t>NYQ</t>
        </is>
      </c>
      <c r="H25" s="4" t="inlineStr">
        <is>
          <t>USD</t>
        </is>
      </c>
      <c r="I25" s="5" t="n">
        <v>528444.227584</v>
      </c>
      <c r="J25" s="6">
        <f>INDEX(FX!$B:$B,MATCH(H25,FX!$A:$A,0))</f>
        <v/>
      </c>
      <c r="K25" s="5">
        <f>I25*J25</f>
        <v/>
      </c>
      <c r="L25" s="4">
        <f>IF(U25&lt;&gt;"",U25,IF(K25&gt;=Umbrales!$B$2,"Legendaria",IF(K25&gt;=Umbrales!$B$3,"Épica",IF(K25&gt;=Umbrales!$B$4,"Rara",IF(K25&gt;=Umbrales!$B$5,"Poco común","Común")))))</f>
        <v/>
      </c>
      <c r="M25" s="5" t="n">
        <v>35083.001856</v>
      </c>
      <c r="N25" s="5" t="n">
        <v>16257.000448</v>
      </c>
      <c r="O25" s="5">
        <f>IF(M25="","",M25*J25)</f>
        <v/>
      </c>
      <c r="P25" s="5">
        <f>IF(N25="","",N25*J25)</f>
        <v/>
      </c>
      <c r="Q25" s="7" t="n">
        <v>0.0058</v>
      </c>
      <c r="R25" s="8" t="n">
        <v>33.18152</v>
      </c>
      <c r="S25" s="4" t="inlineStr">
        <is>
          <t>SP500</t>
        </is>
      </c>
      <c r="T25" s="9" t="inlineStr">
        <is>
          <t>SI</t>
        </is>
      </c>
      <c r="U25" s="9" t="inlineStr"/>
      <c r="V25" s="10">
        <f>Umbrales!$B$9*(K25/1000)^Umbrales!$B$10</f>
        <v/>
      </c>
    </row>
    <row r="26">
      <c r="A26" s="4" t="inlineStr">
        <is>
          <t>INTC</t>
        </is>
      </c>
      <c r="B26" s="4" t="inlineStr">
        <is>
          <t>Intel Corporation</t>
        </is>
      </c>
      <c r="C26" s="4" t="inlineStr">
        <is>
          <t>United States</t>
        </is>
      </c>
      <c r="D26" s="4" t="inlineStr">
        <is>
          <t>US</t>
        </is>
      </c>
      <c r="E26" s="4" t="inlineStr">
        <is>
          <t>Tecnología</t>
        </is>
      </c>
      <c r="F26" s="4" t="inlineStr">
        <is>
          <t>Semiconductors</t>
        </is>
      </c>
      <c r="G26" s="4" t="inlineStr">
        <is>
          <t>NMS</t>
        </is>
      </c>
      <c r="H26" s="4" t="inlineStr">
        <is>
          <t>USD</t>
        </is>
      </c>
      <c r="I26" s="5" t="n">
        <v>518672.646144</v>
      </c>
      <c r="J26" s="6">
        <f>INDEX(FX!$B:$B,MATCH(H26,FX!$A:$A,0))</f>
        <v/>
      </c>
      <c r="K26" s="5">
        <f>I26*J26</f>
        <v/>
      </c>
      <c r="L26" s="4">
        <f>IF(U26&lt;&gt;"",U26,IF(K26&gt;=Umbrales!$B$2,"Legendaria",IF(K26&gt;=Umbrales!$B$3,"Épica",IF(K26&gt;=Umbrales!$B$4,"Rara",IF(K26&gt;=Umbrales!$B$5,"Poco común","Común")))))</f>
        <v/>
      </c>
      <c r="M26" s="5" t="n">
        <v>57031.999488</v>
      </c>
      <c r="N26" s="5" t="n">
        <v>-11288.999936</v>
      </c>
      <c r="O26" s="5">
        <f>IF(M26="","",M26*J26)</f>
        <v/>
      </c>
      <c r="P26" s="5">
        <f>IF(N26="","",N26*J26)</f>
        <v/>
      </c>
      <c r="Q26" s="7" t="n">
        <v>0</v>
      </c>
      <c r="R26" s="8" t="n"/>
      <c r="S26" s="4" t="inlineStr">
        <is>
          <t>NASDAQ100, SP500</t>
        </is>
      </c>
      <c r="T26" s="9" t="inlineStr">
        <is>
          <t>SI</t>
        </is>
      </c>
      <c r="U26" s="9" t="inlineStr"/>
      <c r="V26" s="10">
        <f>Umbrales!$B$9*(K26/1000)^Umbrales!$B$10</f>
        <v/>
      </c>
    </row>
    <row r="27">
      <c r="A27" s="4" t="inlineStr">
        <is>
          <t>ABBV</t>
        </is>
      </c>
      <c r="B27" s="4" t="inlineStr">
        <is>
          <t>AbbVie Inc.</t>
        </is>
      </c>
      <c r="C27" s="4" t="inlineStr">
        <is>
          <t>United States</t>
        </is>
      </c>
      <c r="D27" s="4" t="inlineStr">
        <is>
          <t>US</t>
        </is>
      </c>
      <c r="E27" s="4" t="inlineStr">
        <is>
          <t>Salud</t>
        </is>
      </c>
      <c r="F27" s="4" t="inlineStr">
        <is>
          <t>Drug Manufacturers - General</t>
        </is>
      </c>
      <c r="G27" s="4" t="inlineStr">
        <is>
          <t>NYQ</t>
        </is>
      </c>
      <c r="H27" s="4" t="inlineStr">
        <is>
          <t>USD</t>
        </is>
      </c>
      <c r="I27" s="5" t="n">
        <v>500942.4384</v>
      </c>
      <c r="J27" s="6">
        <f>INDEX(FX!$B:$B,MATCH(H27,FX!$A:$A,0))</f>
        <v/>
      </c>
      <c r="K27" s="5">
        <f>I27*J27</f>
        <v/>
      </c>
      <c r="L27" s="4">
        <f>IF(U27&lt;&gt;"",U27,IF(K27&gt;=Umbrales!$B$2,"Legendaria",IF(K27&gt;=Umbrales!$B$3,"Épica",IF(K27&gt;=Umbrales!$B$4,"Rara",IF(K27&gt;=Umbrales!$B$5,"Poco común","Común")))))</f>
        <v/>
      </c>
      <c r="M27" s="5" t="n">
        <v>64385.998848</v>
      </c>
      <c r="N27" s="5" t="n">
        <v>6270.000128</v>
      </c>
      <c r="O27" s="5">
        <f>IF(M27="","",M27*J27)</f>
        <v/>
      </c>
      <c r="P27" s="5">
        <f>IF(N27="","",N27*J27)</f>
        <v/>
      </c>
      <c r="Q27" s="7" t="n">
        <v>0.0252</v>
      </c>
      <c r="R27" s="8" t="n">
        <v>80.0791</v>
      </c>
      <c r="S27" s="4" t="inlineStr">
        <is>
          <t>SP500</t>
        </is>
      </c>
      <c r="T27" s="9" t="inlineStr">
        <is>
          <t>SI</t>
        </is>
      </c>
      <c r="U27" s="9" t="inlineStr"/>
      <c r="V27" s="10">
        <f>Umbrales!$B$9*(K27/1000)^Umbrales!$B$10</f>
        <v/>
      </c>
    </row>
    <row r="28">
      <c r="A28" s="4" t="inlineStr">
        <is>
          <t>PLTR</t>
        </is>
      </c>
      <c r="B28" s="4" t="inlineStr">
        <is>
          <t>Palantir Technologies Inc.</t>
        </is>
      </c>
      <c r="C28" s="4" t="inlineStr">
        <is>
          <t>United States</t>
        </is>
      </c>
      <c r="D28" s="4" t="inlineStr">
        <is>
          <t>US</t>
        </is>
      </c>
      <c r="E28" s="4" t="inlineStr">
        <is>
          <t>Tecnología</t>
        </is>
      </c>
      <c r="F28" s="4" t="inlineStr">
        <is>
          <t>Software - Infrastructure</t>
        </is>
      </c>
      <c r="G28" s="4" t="inlineStr">
        <is>
          <t>NMS</t>
        </is>
      </c>
      <c r="H28" s="4" t="inlineStr">
        <is>
          <t>USD</t>
        </is>
      </c>
      <c r="I28" s="5" t="n">
        <v>482942.64832</v>
      </c>
      <c r="J28" s="6">
        <f>INDEX(FX!$B:$B,MATCH(H28,FX!$A:$A,0))</f>
        <v/>
      </c>
      <c r="K28" s="5">
        <f>I28*J28</f>
        <v/>
      </c>
      <c r="L28" s="4">
        <f>IF(U28&lt;&gt;"",U28,IF(K28&gt;=Umbrales!$B$2,"Legendaria",IF(K28&gt;=Umbrales!$B$3,"Épica",IF(K28&gt;=Umbrales!$B$4,"Rara",IF(K28&gt;=Umbrales!$B$5,"Poco común","Común")))))</f>
        <v/>
      </c>
      <c r="M28" s="5" t="n">
        <v>6155.940864</v>
      </c>
      <c r="N28" s="5" t="n">
        <v>3016.691968</v>
      </c>
      <c r="O28" s="5">
        <f>IF(M28="","",M28*J28)</f>
        <v/>
      </c>
      <c r="P28" s="5">
        <f>IF(N28="","",N28*J28)</f>
        <v/>
      </c>
      <c r="Q28" s="7" t="n">
        <v>0</v>
      </c>
      <c r="R28" s="8" t="n">
        <v>173.25</v>
      </c>
      <c r="S28" s="4" t="inlineStr">
        <is>
          <t>NASDAQ100, SP500</t>
        </is>
      </c>
      <c r="T28" s="9" t="inlineStr">
        <is>
          <t>SI</t>
        </is>
      </c>
      <c r="U28" s="9" t="inlineStr"/>
      <c r="V28" s="10">
        <f>Umbrales!$B$9*(K28/1000)^Umbrales!$B$10</f>
        <v/>
      </c>
    </row>
    <row r="29">
      <c r="A29" s="4" t="inlineStr">
        <is>
          <t>0700.HK</t>
        </is>
      </c>
      <c r="B29" s="4" t="inlineStr">
        <is>
          <t>Tencent Holdings Limited</t>
        </is>
      </c>
      <c r="C29" s="4" t="inlineStr">
        <is>
          <t>China</t>
        </is>
      </c>
      <c r="D29" s="4" t="inlineStr">
        <is>
          <t>CN</t>
        </is>
      </c>
      <c r="E29" s="4" t="inlineStr">
        <is>
          <t>Comunicación</t>
        </is>
      </c>
      <c r="F29" s="4" t="inlineStr">
        <is>
          <t>Internet Content &amp; Information</t>
        </is>
      </c>
      <c r="G29" s="4" t="inlineStr">
        <is>
          <t>HKG</t>
        </is>
      </c>
      <c r="H29" s="4" t="inlineStr">
        <is>
          <t>HKD</t>
        </is>
      </c>
      <c r="I29" s="5" t="n">
        <v>3762314.018816</v>
      </c>
      <c r="J29" s="6">
        <f>INDEX(FX!$B:$B,MATCH(H29,FX!$A:$A,0))</f>
        <v/>
      </c>
      <c r="K29" s="5">
        <f>I29*J29</f>
        <v/>
      </c>
      <c r="L29" s="4">
        <f>IF(U29&lt;&gt;"",U29,IF(K29&gt;=Umbrales!$B$2,"Legendaria",IF(K29&gt;=Umbrales!$B$3,"Épica",IF(K29&gt;=Umbrales!$B$4,"Rara",IF(K29&gt;=Umbrales!$B$5,"Poco común","Común")))))</f>
        <v/>
      </c>
      <c r="M29" s="5" t="n">
        <v>788483.014656</v>
      </c>
      <c r="N29" s="5" t="n">
        <v>235508.006912</v>
      </c>
      <c r="O29" s="5">
        <f>IF(M29="","",M29*J29)</f>
        <v/>
      </c>
      <c r="P29" s="5">
        <f>IF(N29="","",N29*J29)</f>
        <v/>
      </c>
      <c r="Q29" s="7" t="n">
        <v>0.0125</v>
      </c>
      <c r="R29" s="8" t="n">
        <v>14.706089</v>
      </c>
      <c r="S29" s="4" t="inlineStr">
        <is>
          <t>ASIA_TOP, HANGSENG</t>
        </is>
      </c>
      <c r="T29" s="9" t="inlineStr">
        <is>
          <t>SI</t>
        </is>
      </c>
      <c r="U29" s="9" t="inlineStr"/>
      <c r="V29" s="10">
        <f>Umbrales!$B$9*(K29/1000)^Umbrales!$B$10</f>
        <v/>
      </c>
    </row>
    <row r="30">
      <c r="A30" s="4" t="inlineStr">
        <is>
          <t>CSCO</t>
        </is>
      </c>
      <c r="B30" s="4" t="inlineStr">
        <is>
          <t>Cisco Systems, Inc.</t>
        </is>
      </c>
      <c r="C30" s="4" t="inlineStr">
        <is>
          <t>United States</t>
        </is>
      </c>
      <c r="D30" s="4" t="inlineStr">
        <is>
          <t>US</t>
        </is>
      </c>
      <c r="E30" s="4" t="inlineStr">
        <is>
          <t>Tecnología</t>
        </is>
      </c>
      <c r="F30" s="4" t="inlineStr">
        <is>
          <t>Communication Equipment</t>
        </is>
      </c>
      <c r="G30" s="4" t="inlineStr">
        <is>
          <t>NMS</t>
        </is>
      </c>
      <c r="H30" s="4" t="inlineStr">
        <is>
          <t>USD</t>
        </is>
      </c>
      <c r="I30" s="5" t="n">
        <v>448035.586048</v>
      </c>
      <c r="J30" s="6">
        <f>INDEX(FX!$B:$B,MATCH(H30,FX!$A:$A,0))</f>
        <v/>
      </c>
      <c r="K30" s="5">
        <f>I30*J30</f>
        <v/>
      </c>
      <c r="L30" s="4">
        <f>IF(U30&lt;&gt;"",U30,IF(K30&gt;=Umbrales!$B$2,"Legendaria",IF(K30&gt;=Umbrales!$B$3,"Épica",IF(K30&gt;=Umbrales!$B$4,"Rara",IF(K30&gt;=Umbrales!$B$5,"Poco común","Común")))))</f>
        <v/>
      </c>
      <c r="M30" s="5" t="n">
        <v>63324.99968</v>
      </c>
      <c r="N30" s="5" t="n">
        <v>13267.00032</v>
      </c>
      <c r="O30" s="5">
        <f>IF(M30="","",M30*J30)</f>
        <v/>
      </c>
      <c r="P30" s="5">
        <f>IF(N30="","",N30*J30)</f>
        <v/>
      </c>
      <c r="Q30" s="7" t="n">
        <v>0.0146</v>
      </c>
      <c r="R30" s="8" t="n">
        <v>34.541035</v>
      </c>
      <c r="S30" s="4" t="inlineStr">
        <is>
          <t>DOW30, NASDAQ100, SP500</t>
        </is>
      </c>
      <c r="T30" s="9" t="inlineStr">
        <is>
          <t>SI</t>
        </is>
      </c>
      <c r="U30" s="9" t="inlineStr"/>
      <c r="V30" s="10">
        <f>Umbrales!$B$9*(K30/1000)^Umbrales!$B$10</f>
        <v/>
      </c>
    </row>
    <row r="31">
      <c r="A31" s="4" t="inlineStr">
        <is>
          <t>CVX</t>
        </is>
      </c>
      <c r="B31" s="4" t="inlineStr">
        <is>
          <t>Chevron Corporation</t>
        </is>
      </c>
      <c r="C31" s="4" t="inlineStr">
        <is>
          <t>United States</t>
        </is>
      </c>
      <c r="D31" s="4" t="inlineStr">
        <is>
          <t>US</t>
        </is>
      </c>
      <c r="E31" s="4" t="inlineStr">
        <is>
          <t>Energía</t>
        </is>
      </c>
      <c r="F31" s="4" t="inlineStr">
        <is>
          <t>Oil &amp; Gas Integrated</t>
        </is>
      </c>
      <c r="G31" s="4" t="inlineStr">
        <is>
          <t>NYQ</t>
        </is>
      </c>
      <c r="H31" s="4" t="inlineStr">
        <is>
          <t>USD</t>
        </is>
      </c>
      <c r="I31" s="5" t="n">
        <v>435554.38592</v>
      </c>
      <c r="J31" s="6">
        <f>INDEX(FX!$B:$B,MATCH(H31,FX!$A:$A,0))</f>
        <v/>
      </c>
      <c r="K31" s="5">
        <f>I31*J31</f>
        <v/>
      </c>
      <c r="L31" s="4">
        <f>IF(U31&lt;&gt;"",U31,IF(K31&gt;=Umbrales!$B$2,"Legendaria",IF(K31&gt;=Umbrales!$B$3,"Épica",IF(K31&gt;=Umbrales!$B$4,"Rara",IF(K31&gt;=Umbrales!$B$5,"Poco común","Común")))))</f>
        <v/>
      </c>
      <c r="M31" s="5" t="n">
        <v>209383.99744</v>
      </c>
      <c r="N31" s="5" t="n">
        <v>20590.999552</v>
      </c>
      <c r="O31" s="5">
        <f>IF(M31="","",M31*J31)</f>
        <v/>
      </c>
      <c r="P31" s="5">
        <f>IF(N31="","",N31*J31)</f>
        <v/>
      </c>
      <c r="Q31" s="7" t="n">
        <v>0.0327</v>
      </c>
      <c r="R31" s="8" t="n">
        <v>21.370546</v>
      </c>
      <c r="S31" s="4" t="inlineStr">
        <is>
          <t>DOW30, SP500</t>
        </is>
      </c>
      <c r="T31" s="9" t="inlineStr">
        <is>
          <t>SI</t>
        </is>
      </c>
      <c r="U31" s="9" t="inlineStr"/>
      <c r="V31" s="10">
        <f>Umbrales!$B$9*(K31/1000)^Umbrales!$B$10</f>
        <v/>
      </c>
    </row>
    <row r="32">
      <c r="A32" s="4" t="inlineStr">
        <is>
          <t>COST</t>
        </is>
      </c>
      <c r="B32" s="4" t="inlineStr">
        <is>
          <t>Costco Wholesale Corporation</t>
        </is>
      </c>
      <c r="C32" s="4" t="inlineStr">
        <is>
          <t>United States</t>
        </is>
      </c>
      <c r="D32" s="4" t="inlineStr">
        <is>
          <t>US</t>
        </is>
      </c>
      <c r="E32" s="4" t="inlineStr">
        <is>
          <t>Consumo básico</t>
        </is>
      </c>
      <c r="F32" s="4" t="inlineStr">
        <is>
          <t>Discount Stores</t>
        </is>
      </c>
      <c r="G32" s="4" t="inlineStr">
        <is>
          <t>NMS</t>
        </is>
      </c>
      <c r="H32" s="4" t="inlineStr">
        <is>
          <t>USD</t>
        </is>
      </c>
      <c r="I32" s="5" t="n">
        <v>435153.010688</v>
      </c>
      <c r="J32" s="6">
        <f>INDEX(FX!$B:$B,MATCH(H32,FX!$A:$A,0))</f>
        <v/>
      </c>
      <c r="K32" s="5">
        <f>I32*J32</f>
        <v/>
      </c>
      <c r="L32" s="4">
        <f>IF(U32&lt;&gt;"",U32,IF(K32&gt;=Umbrales!$B$2,"Legendaria",IF(K32&gt;=Umbrales!$B$3,"Épica",IF(K32&gt;=Umbrales!$B$4,"Rara",IF(K32&gt;=Umbrales!$B$5,"Poco común","Común")))))</f>
        <v/>
      </c>
      <c r="M32" s="5" t="n">
        <v>303154.003968</v>
      </c>
      <c r="N32" s="5" t="n">
        <v>9226.000384000001</v>
      </c>
      <c r="O32" s="5">
        <f>IF(M32="","",M32*J32)</f>
        <v/>
      </c>
      <c r="P32" s="5">
        <f>IF(N32="","",N32*J32)</f>
        <v/>
      </c>
      <c r="Q32" s="7" t="n">
        <v>0.0062</v>
      </c>
      <c r="R32" s="8" t="n">
        <v>47.302505</v>
      </c>
      <c r="S32" s="4" t="inlineStr">
        <is>
          <t>NASDAQ100, SP500</t>
        </is>
      </c>
      <c r="T32" s="9" t="inlineStr">
        <is>
          <t>SI</t>
        </is>
      </c>
      <c r="U32" s="9" t="inlineStr"/>
      <c r="V32" s="10">
        <f>Umbrales!$B$9*(K32/1000)^Umbrales!$B$10</f>
        <v/>
      </c>
    </row>
    <row r="33">
      <c r="A33" s="4" t="inlineStr">
        <is>
          <t>ORCL</t>
        </is>
      </c>
      <c r="B33" s="4" t="inlineStr">
        <is>
          <t>Oracle Corporation</t>
        </is>
      </c>
      <c r="C33" s="4" t="inlineStr">
        <is>
          <t>United States</t>
        </is>
      </c>
      <c r="D33" s="4" t="inlineStr">
        <is>
          <t>US</t>
        </is>
      </c>
      <c r="E33" s="4" t="inlineStr">
        <is>
          <t>Tecnología</t>
        </is>
      </c>
      <c r="F33" s="4" t="inlineStr">
        <is>
          <t>Software - Infrastructure</t>
        </is>
      </c>
      <c r="G33" s="4" t="inlineStr">
        <is>
          <t>NYQ</t>
        </is>
      </c>
      <c r="H33" s="4" t="inlineStr">
        <is>
          <t>USD</t>
        </is>
      </c>
      <c r="I33" s="5" t="n">
        <v>395762.466816</v>
      </c>
      <c r="J33" s="6">
        <f>INDEX(FX!$B:$B,MATCH(H33,FX!$A:$A,0))</f>
        <v/>
      </c>
      <c r="K33" s="5">
        <f>I33*J33</f>
        <v/>
      </c>
      <c r="L33" s="4">
        <f>IF(U33&lt;&gt;"",U33,IF(K33&gt;=Umbrales!$B$2,"Legendaria",IF(K33&gt;=Umbrales!$B$3,"Épica",IF(K33&gt;=Umbrales!$B$4,"Rara",IF(K33&gt;=Umbrales!$B$5,"Poco común","Común")))))</f>
        <v/>
      </c>
      <c r="M33" s="5" t="n">
        <v>71776.00204799999</v>
      </c>
      <c r="N33" s="5" t="n">
        <v>18736.001024</v>
      </c>
      <c r="O33" s="5">
        <f>IF(M33="","",M33*J33)</f>
        <v/>
      </c>
      <c r="P33" s="5">
        <f>IF(N33="","",N33*J33)</f>
        <v/>
      </c>
      <c r="Q33" s="7" t="n">
        <v>0.014</v>
      </c>
      <c r="R33" s="8" t="n">
        <v>22.43127</v>
      </c>
      <c r="S33" s="4" t="inlineStr">
        <is>
          <t>SP500</t>
        </is>
      </c>
      <c r="T33" s="9" t="inlineStr">
        <is>
          <t>SI</t>
        </is>
      </c>
      <c r="U33" s="9" t="inlineStr"/>
      <c r="V33" s="10">
        <f>Umbrales!$B$9*(K33/1000)^Umbrales!$B$10</f>
        <v/>
      </c>
    </row>
    <row r="34">
      <c r="A34" s="4" t="inlineStr">
        <is>
          <t>KO</t>
        </is>
      </c>
      <c r="B34" s="4" t="inlineStr">
        <is>
          <t>The Coca-Cola Company</t>
        </is>
      </c>
      <c r="C34" s="4" t="inlineStr">
        <is>
          <t>United States</t>
        </is>
      </c>
      <c r="D34" s="4" t="inlineStr">
        <is>
          <t>US</t>
        </is>
      </c>
      <c r="E34" s="4" t="inlineStr">
        <is>
          <t>Consumo básico</t>
        </is>
      </c>
      <c r="F34" s="4" t="inlineStr">
        <is>
          <t>Beverages - Non-Alcoholic</t>
        </is>
      </c>
      <c r="G34" s="4" t="inlineStr">
        <is>
          <t>NYQ</t>
        </is>
      </c>
      <c r="H34" s="4" t="inlineStr">
        <is>
          <t>USD</t>
        </is>
      </c>
      <c r="I34" s="5" t="n">
        <v>394887.954432</v>
      </c>
      <c r="J34" s="6">
        <f>INDEX(FX!$B:$B,MATCH(H34,FX!$A:$A,0))</f>
        <v/>
      </c>
      <c r="K34" s="5">
        <f>I34*J34</f>
        <v/>
      </c>
      <c r="L34" s="4">
        <f>IF(U34&lt;&gt;"",U34,IF(K34&gt;=Umbrales!$B$2,"Legendaria",IF(K34&gt;=Umbrales!$B$3,"Épica",IF(K34&gt;=Umbrales!$B$4,"Rara",IF(K34&gt;=Umbrales!$B$5,"Poco común","Común")))))</f>
        <v/>
      </c>
      <c r="M34" s="5" t="n">
        <v>50128.9984</v>
      </c>
      <c r="N34" s="5" t="n">
        <v>14316.000256</v>
      </c>
      <c r="O34" s="5">
        <f>IF(M34="","",M34*J34)</f>
        <v/>
      </c>
      <c r="P34" s="5">
        <f>IF(N34="","",N34*J34)</f>
        <v/>
      </c>
      <c r="Q34" s="7" t="n">
        <v>0.0235</v>
      </c>
      <c r="R34" s="8" t="n">
        <v>27.561562</v>
      </c>
      <c r="S34" s="4" t="inlineStr">
        <is>
          <t>DOW30, SP500</t>
        </is>
      </c>
      <c r="T34" s="9" t="inlineStr">
        <is>
          <t>SI</t>
        </is>
      </c>
      <c r="U34" s="9" t="inlineStr"/>
      <c r="V34" s="10">
        <f>Umbrales!$B$9*(K34/1000)^Umbrales!$B$10</f>
        <v/>
      </c>
    </row>
    <row r="35">
      <c r="A35" s="4" t="inlineStr">
        <is>
          <t>ROP.SW</t>
        </is>
      </c>
      <c r="B35" s="4" t="inlineStr">
        <is>
          <t>Roche Holding AG</t>
        </is>
      </c>
      <c r="C35" s="4" t="inlineStr">
        <is>
          <t>Switzerland</t>
        </is>
      </c>
      <c r="D35" s="4" t="inlineStr">
        <is>
          <t>CH</t>
        </is>
      </c>
      <c r="E35" s="4" t="inlineStr">
        <is>
          <t>Salud</t>
        </is>
      </c>
      <c r="F35" s="4" t="inlineStr">
        <is>
          <t>Drug Manufacturers - General</t>
        </is>
      </c>
      <c r="G35" s="4" t="inlineStr">
        <is>
          <t>EBS</t>
        </is>
      </c>
      <c r="H35" s="4" t="inlineStr">
        <is>
          <t>CHF</t>
        </is>
      </c>
      <c r="I35" s="5" t="n">
        <v>301735.247872</v>
      </c>
      <c r="J35" s="6">
        <f>INDEX(FX!$B:$B,MATCH(H35,FX!$A:$A,0))</f>
        <v/>
      </c>
      <c r="K35" s="5">
        <f>I35*J35</f>
        <v/>
      </c>
      <c r="L35" s="4">
        <f>IF(U35&lt;&gt;"",U35,IF(K35&gt;=Umbrales!$B$2,"Legendaria",IF(K35&gt;=Umbrales!$B$3,"Épica",IF(K35&gt;=Umbrales!$B$4,"Rara",IF(K35&gt;=Umbrales!$B$5,"Poco común","Común")))))</f>
        <v/>
      </c>
      <c r="M35" s="5" t="n">
        <v>62959.0016</v>
      </c>
      <c r="N35" s="5" t="n">
        <v>12341.000192</v>
      </c>
      <c r="O35" s="5">
        <f>IF(M35="","",M35*J35)</f>
        <v/>
      </c>
      <c r="P35" s="5">
        <f>IF(N35="","",N35*J35)</f>
        <v/>
      </c>
      <c r="Q35" s="7" t="n">
        <v>0.0264</v>
      </c>
      <c r="R35" s="8" t="n">
        <v>24.703197</v>
      </c>
      <c r="S35" s="4" t="inlineStr">
        <is>
          <t>SMI</t>
        </is>
      </c>
      <c r="T35" s="9" t="inlineStr">
        <is>
          <t>SI</t>
        </is>
      </c>
      <c r="U35" s="9" t="inlineStr"/>
      <c r="V35" s="10">
        <f>Umbrales!$B$9*(K35/1000)^Umbrales!$B$10</f>
        <v/>
      </c>
    </row>
    <row r="36">
      <c r="A36" s="4" t="inlineStr">
        <is>
          <t>PG</t>
        </is>
      </c>
      <c r="B36" s="4" t="inlineStr">
        <is>
          <t>The Procter &amp; Gamble Company</t>
        </is>
      </c>
      <c r="C36" s="4" t="inlineStr">
        <is>
          <t>United States</t>
        </is>
      </c>
      <c r="D36" s="4" t="inlineStr">
        <is>
          <t>US</t>
        </is>
      </c>
      <c r="E36" s="4" t="inlineStr">
        <is>
          <t>Consumo básico</t>
        </is>
      </c>
      <c r="F36" s="4" t="inlineStr">
        <is>
          <t>Household &amp; Personal Products</t>
        </is>
      </c>
      <c r="G36" s="4" t="inlineStr">
        <is>
          <t>NYQ</t>
        </is>
      </c>
      <c r="H36" s="4" t="inlineStr">
        <is>
          <t>USD</t>
        </is>
      </c>
      <c r="I36" s="5" t="n">
        <v>363843.518464</v>
      </c>
      <c r="J36" s="6">
        <f>INDEX(FX!$B:$B,MATCH(H36,FX!$A:$A,0))</f>
        <v/>
      </c>
      <c r="K36" s="5">
        <f>I36*J36</f>
        <v/>
      </c>
      <c r="L36" s="4">
        <f>IF(U36&lt;&gt;"",U36,IF(K36&gt;=Umbrales!$B$2,"Legendaria",IF(K36&gt;=Umbrales!$B$3,"Épica",IF(K36&gt;=Umbrales!$B$4,"Rara",IF(K36&gt;=Umbrales!$B$5,"Poco común","Común")))))</f>
        <v/>
      </c>
      <c r="M36" s="5" t="n">
        <v>87031.99641599999</v>
      </c>
      <c r="N36" s="5" t="n">
        <v>15754.000384</v>
      </c>
      <c r="O36" s="5">
        <f>IF(M36="","",M36*J36)</f>
        <v/>
      </c>
      <c r="P36" s="5">
        <f>IF(N36="","",N36*J36)</f>
        <v/>
      </c>
      <c r="Q36" s="7" t="n">
        <v>0.0284</v>
      </c>
      <c r="R36" s="8" t="n">
        <v>23.121122</v>
      </c>
      <c r="S36" s="4" t="inlineStr">
        <is>
          <t>DOW30, SP500</t>
        </is>
      </c>
      <c r="T36" s="9" t="inlineStr">
        <is>
          <t>SI</t>
        </is>
      </c>
      <c r="U36" s="9" t="inlineStr"/>
      <c r="V36" s="10">
        <f>Umbrales!$B$9*(K36/1000)^Umbrales!$B$10</f>
        <v/>
      </c>
    </row>
    <row r="37">
      <c r="A37" s="4" t="inlineStr">
        <is>
          <t>MRK</t>
        </is>
      </c>
      <c r="B37" s="4" t="inlineStr">
        <is>
          <t>Merck &amp; Co., Inc.</t>
        </is>
      </c>
      <c r="C37" s="4" t="inlineStr">
        <is>
          <t>United States</t>
        </is>
      </c>
      <c r="D37" s="4" t="inlineStr">
        <is>
          <t>US</t>
        </is>
      </c>
      <c r="E37" s="4" t="inlineStr">
        <is>
          <t>Salud</t>
        </is>
      </c>
      <c r="F37" s="4" t="inlineStr">
        <is>
          <t>Drug Manufacturers - General</t>
        </is>
      </c>
      <c r="G37" s="4" t="inlineStr">
        <is>
          <t>NYQ</t>
        </is>
      </c>
      <c r="H37" s="4" t="inlineStr">
        <is>
          <t>USD</t>
        </is>
      </c>
      <c r="I37" s="5" t="n">
        <v>363587.076096</v>
      </c>
      <c r="J37" s="6">
        <f>INDEX(FX!$B:$B,MATCH(H37,FX!$A:$A,0))</f>
        <v/>
      </c>
      <c r="K37" s="5">
        <f>I37*J37</f>
        <v/>
      </c>
      <c r="L37" s="4">
        <f>IF(U37&lt;&gt;"",U37,IF(K37&gt;=Umbrales!$B$2,"Legendaria",IF(K37&gt;=Umbrales!$B$3,"Épica",IF(K37&gt;=Umbrales!$B$4,"Rara",IF(K37&gt;=Umbrales!$B$5,"Poco común","Común")))))</f>
        <v/>
      </c>
      <c r="M37" s="5" t="n">
        <v>66568.998912</v>
      </c>
      <c r="N37" s="5" t="n">
        <v>3172.999936</v>
      </c>
      <c r="O37" s="5">
        <f>IF(M37="","",M37*J37)</f>
        <v/>
      </c>
      <c r="P37" s="5">
        <f>IF(N37="","",N37*J37)</f>
        <v/>
      </c>
      <c r="Q37" s="7" t="n">
        <v>0.0239</v>
      </c>
      <c r="R37" s="8" t="n">
        <v>116.96031</v>
      </c>
      <c r="S37" s="4" t="inlineStr">
        <is>
          <t>DOW30, SP500</t>
        </is>
      </c>
      <c r="T37" s="9" t="inlineStr">
        <is>
          <t>SI</t>
        </is>
      </c>
      <c r="U37" s="9" t="inlineStr"/>
      <c r="V37" s="10">
        <f>Umbrales!$B$9*(K37/1000)^Umbrales!$B$10</f>
        <v/>
      </c>
    </row>
    <row r="38">
      <c r="A38" s="4" t="inlineStr">
        <is>
          <t>BAC</t>
        </is>
      </c>
      <c r="B38" s="4" t="inlineStr">
        <is>
          <t>Bank of America Corporation</t>
        </is>
      </c>
      <c r="C38" s="4" t="inlineStr">
        <is>
          <t>United States</t>
        </is>
      </c>
      <c r="D38" s="4" t="inlineStr">
        <is>
          <t>US</t>
        </is>
      </c>
      <c r="E38" s="4" t="inlineStr">
        <is>
          <t>Finanzas</t>
        </is>
      </c>
      <c r="F38" s="4" t="inlineStr">
        <is>
          <t>Banks - Diversified</t>
        </is>
      </c>
      <c r="G38" s="4" t="inlineStr">
        <is>
          <t>NYQ</t>
        </is>
      </c>
      <c r="H38" s="4" t="inlineStr">
        <is>
          <t>USD</t>
        </is>
      </c>
      <c r="I38" s="5" t="n">
        <v>359357.349888</v>
      </c>
      <c r="J38" s="6">
        <f>INDEX(FX!$B:$B,MATCH(H38,FX!$A:$A,0))</f>
        <v/>
      </c>
      <c r="K38" s="5">
        <f>I38*J38</f>
        <v/>
      </c>
      <c r="L38" s="4">
        <f>IF(U38&lt;&gt;"",U38,IF(K38&gt;=Umbrales!$B$2,"Legendaria",IF(K38&gt;=Umbrales!$B$3,"Épica",IF(K38&gt;=Umbrales!$B$4,"Rara",IF(K38&gt;=Umbrales!$B$5,"Poco común","Común")))))</f>
        <v/>
      </c>
      <c r="M38" s="5" t="n">
        <v>113931.001856</v>
      </c>
      <c r="N38" s="5" t="n">
        <v>32124.99968</v>
      </c>
      <c r="O38" s="5">
        <f>IF(M38="","",M38*J38)</f>
        <v/>
      </c>
      <c r="P38" s="5">
        <f>IF(N38="","",N38*J38)</f>
        <v/>
      </c>
      <c r="Q38" s="7" t="n">
        <v>0.0237</v>
      </c>
      <c r="R38" s="8" t="n">
        <v>12.473301</v>
      </c>
      <c r="S38" s="4" t="inlineStr">
        <is>
          <t>SP500</t>
        </is>
      </c>
      <c r="T38" s="9" t="inlineStr">
        <is>
          <t>SI</t>
        </is>
      </c>
      <c r="U38" s="9" t="inlineStr"/>
      <c r="V38" s="10">
        <f>Umbrales!$B$9*(K38/1000)^Umbrales!$B$10</f>
        <v/>
      </c>
    </row>
    <row r="39">
      <c r="A39" s="4" t="inlineStr">
        <is>
          <t>LRCX</t>
        </is>
      </c>
      <c r="B39" s="4" t="inlineStr">
        <is>
          <t>Lam Research Corporation</t>
        </is>
      </c>
      <c r="C39" s="4" t="inlineStr">
        <is>
          <t>United States</t>
        </is>
      </c>
      <c r="D39" s="4" t="inlineStr">
        <is>
          <t>US</t>
        </is>
      </c>
      <c r="E39" s="4" t="inlineStr">
        <is>
          <t>Tecnología</t>
        </is>
      </c>
      <c r="F39" s="4" t="inlineStr">
        <is>
          <t>Semiconductor Equipment &amp; Materials</t>
        </is>
      </c>
      <c r="G39" s="4" t="inlineStr">
        <is>
          <t>NMS</t>
        </is>
      </c>
      <c r="H39" s="4" t="inlineStr">
        <is>
          <t>USD</t>
        </is>
      </c>
      <c r="I39" s="5" t="n">
        <v>359058.702336</v>
      </c>
      <c r="J39" s="6">
        <f>INDEX(FX!$B:$B,MATCH(H39,FX!$A:$A,0))</f>
        <v/>
      </c>
      <c r="K39" s="5">
        <f>I39*J39</f>
        <v/>
      </c>
      <c r="L39" s="4">
        <f>IF(U39&lt;&gt;"",U39,IF(K39&gt;=Umbrales!$B$2,"Legendaria",IF(K39&gt;=Umbrales!$B$3,"Épica",IF(K39&gt;=Umbrales!$B$4,"Rara",IF(K39&gt;=Umbrales!$B$5,"Poco común","Común")))))</f>
        <v/>
      </c>
      <c r="M39" s="5" t="n">
        <v>23232.690176</v>
      </c>
      <c r="N39" s="5" t="n">
        <v>7265.396224</v>
      </c>
      <c r="O39" s="5">
        <f>IF(M39="","",M39*J39)</f>
        <v/>
      </c>
      <c r="P39" s="5">
        <f>IF(N39="","",N39*J39)</f>
        <v/>
      </c>
      <c r="Q39" s="7" t="n">
        <v>0.0044</v>
      </c>
      <c r="R39" s="8" t="n">
        <v>49.8125</v>
      </c>
      <c r="S39" s="4" t="inlineStr">
        <is>
          <t>NASDAQ100, SP500</t>
        </is>
      </c>
      <c r="T39" s="9" t="inlineStr">
        <is>
          <t>SI</t>
        </is>
      </c>
      <c r="U39" s="9" t="inlineStr"/>
      <c r="V39" s="10">
        <f>Umbrales!$B$9*(K39/1000)^Umbrales!$B$10</f>
        <v/>
      </c>
    </row>
    <row r="40">
      <c r="A40" s="4" t="inlineStr">
        <is>
          <t>UNH</t>
        </is>
      </c>
      <c r="B40" s="4" t="inlineStr">
        <is>
          <t>UnitedHealth Group Incorporated</t>
        </is>
      </c>
      <c r="C40" s="4" t="inlineStr">
        <is>
          <t>United States</t>
        </is>
      </c>
      <c r="D40" s="4" t="inlineStr">
        <is>
          <t>US</t>
        </is>
      </c>
      <c r="E40" s="4" t="inlineStr">
        <is>
          <t>Salud</t>
        </is>
      </c>
      <c r="F40" s="4" t="inlineStr">
        <is>
          <t>Healthcare Plans</t>
        </is>
      </c>
      <c r="G40" s="4" t="inlineStr">
        <is>
          <t>NYQ</t>
        </is>
      </c>
      <c r="H40" s="4" t="inlineStr">
        <is>
          <t>USD</t>
        </is>
      </c>
      <c r="I40" s="5" t="n">
        <v>355106.455552</v>
      </c>
      <c r="J40" s="6">
        <f>INDEX(FX!$B:$B,MATCH(H40,FX!$A:$A,0))</f>
        <v/>
      </c>
      <c r="K40" s="5">
        <f>I40*J40</f>
        <v/>
      </c>
      <c r="L40" s="4">
        <f>IF(U40&lt;&gt;"",U40,IF(K40&gt;=Umbrales!$B$2,"Legendaria",IF(K40&gt;=Umbrales!$B$3,"Épica",IF(K40&gt;=Umbrales!$B$4,"Rara",IF(K40&gt;=Umbrales!$B$5,"Poco común","Común")))))</f>
        <v/>
      </c>
      <c r="M40" s="5" t="n">
        <v>450059.010048</v>
      </c>
      <c r="N40" s="5" t="n">
        <v>15884.000256</v>
      </c>
      <c r="O40" s="5">
        <f>IF(M40="","",M40*J40)</f>
        <v/>
      </c>
      <c r="P40" s="5">
        <f>IF(N40="","",N40*J40)</f>
        <v/>
      </c>
      <c r="Q40" s="7" t="n">
        <v>0.0246</v>
      </c>
      <c r="R40" s="8" t="n">
        <v>24.286064</v>
      </c>
      <c r="S40" s="4" t="inlineStr">
        <is>
          <t>DOW30, SP500</t>
        </is>
      </c>
      <c r="T40" s="9" t="inlineStr">
        <is>
          <t>SI</t>
        </is>
      </c>
      <c r="U40" s="9" t="inlineStr"/>
      <c r="V40" s="10">
        <f>Umbrales!$B$9*(K40/1000)^Umbrales!$B$10</f>
        <v/>
      </c>
    </row>
    <row r="41">
      <c r="A41" s="4" t="inlineStr">
        <is>
          <t>AMAT</t>
        </is>
      </c>
      <c r="B41" s="4" t="inlineStr">
        <is>
          <t>Applied Materials, Inc.</t>
        </is>
      </c>
      <c r="C41" s="4" t="inlineStr">
        <is>
          <t>United States</t>
        </is>
      </c>
      <c r="D41" s="4" t="inlineStr">
        <is>
          <t>US</t>
        </is>
      </c>
      <c r="E41" s="4" t="inlineStr">
        <is>
          <t>Tecnología</t>
        </is>
      </c>
      <c r="F41" s="4" t="inlineStr">
        <is>
          <t>Semiconductor Equipment &amp; Materials</t>
        </is>
      </c>
      <c r="G41" s="4" t="inlineStr">
        <is>
          <t>NMS</t>
        </is>
      </c>
      <c r="H41" s="4" t="inlineStr">
        <is>
          <t>USD</t>
        </is>
      </c>
      <c r="I41" s="5" t="n">
        <v>354444.443648</v>
      </c>
      <c r="J41" s="6">
        <f>INDEX(FX!$B:$B,MATCH(H41,FX!$A:$A,0))</f>
        <v/>
      </c>
      <c r="K41" s="5">
        <f>I41*J41</f>
        <v/>
      </c>
      <c r="L41" s="4">
        <f>IF(U41&lt;&gt;"",U41,IF(K41&gt;=Umbrales!$B$2,"Legendaria",IF(K41&gt;=Umbrales!$B$3,"Épica",IF(K41&gt;=Umbrales!$B$4,"Rara",IF(K41&gt;=Umbrales!$B$5,"Poco común","Común")))))</f>
        <v/>
      </c>
      <c r="M41" s="5" t="n">
        <v>30837.000192</v>
      </c>
      <c r="N41" s="5" t="n">
        <v>9267.000319999999</v>
      </c>
      <c r="O41" s="5">
        <f>IF(M41="","",M41*J41)</f>
        <v/>
      </c>
      <c r="P41" s="5">
        <f>IF(N41="","",N41*J41)</f>
        <v/>
      </c>
      <c r="Q41" s="7" t="n">
        <v>0.0046</v>
      </c>
      <c r="R41" s="8" t="n">
        <v>40.056503</v>
      </c>
      <c r="S41" s="4" t="inlineStr">
        <is>
          <t>NASDAQ100, SP500</t>
        </is>
      </c>
      <c r="T41" s="9" t="inlineStr">
        <is>
          <t>SI</t>
        </is>
      </c>
      <c r="U41" s="9" t="inlineStr"/>
      <c r="V41" s="10">
        <f>Umbrales!$B$9*(K41/1000)^Umbrales!$B$10</f>
        <v/>
      </c>
    </row>
    <row r="42">
      <c r="A42" s="4" t="inlineStr">
        <is>
          <t>1398.HK</t>
        </is>
      </c>
      <c r="B42" s="4" t="inlineStr">
        <is>
          <t>Industrial and Commercial Bank of China Limited</t>
        </is>
      </c>
      <c r="C42" s="4" t="inlineStr">
        <is>
          <t>China</t>
        </is>
      </c>
      <c r="D42" s="4" t="inlineStr">
        <is>
          <t>CN</t>
        </is>
      </c>
      <c r="E42" s="4" t="inlineStr">
        <is>
          <t>Finanzas</t>
        </is>
      </c>
      <c r="F42" s="4" t="inlineStr">
        <is>
          <t>Banks - Diversified</t>
        </is>
      </c>
      <c r="G42" s="4" t="inlineStr">
        <is>
          <t>HKG</t>
        </is>
      </c>
      <c r="H42" s="4" t="inlineStr">
        <is>
          <t>HKD</t>
        </is>
      </c>
      <c r="I42" s="5" t="n">
        <v>2742546.333696</v>
      </c>
      <c r="J42" s="6">
        <f>INDEX(FX!$B:$B,MATCH(H42,FX!$A:$A,0))</f>
        <v/>
      </c>
      <c r="K42" s="5">
        <f>I42*J42</f>
        <v/>
      </c>
      <c r="L42" s="4">
        <f>IF(U42&lt;&gt;"",U42,IF(K42&gt;=Umbrales!$B$2,"Legendaria",IF(K42&gt;=Umbrales!$B$3,"Épica",IF(K42&gt;=Umbrales!$B$4,"Rara",IF(K42&gt;=Umbrales!$B$5,"Poco común","Común")))))</f>
        <v/>
      </c>
      <c r="M42" s="5" t="n">
        <v>682491.969536</v>
      </c>
      <c r="N42" s="5" t="n">
        <v>361632.006144</v>
      </c>
      <c r="O42" s="5">
        <f>IF(M42="","",M42*J42)</f>
        <v/>
      </c>
      <c r="P42" s="5">
        <f>IF(N42="","",N42*J42)</f>
        <v/>
      </c>
      <c r="Q42" s="7" t="n">
        <v>0.0491</v>
      </c>
      <c r="R42" s="8" t="n">
        <v>6.809735</v>
      </c>
      <c r="S42" s="4" t="inlineStr">
        <is>
          <t>ASIA_TOP, HANGSENG</t>
        </is>
      </c>
      <c r="T42" s="9" t="inlineStr">
        <is>
          <t>SI</t>
        </is>
      </c>
      <c r="U42" s="9" t="inlineStr"/>
      <c r="V42" s="10">
        <f>Umbrales!$B$9*(K42/1000)^Umbrales!$B$10</f>
        <v/>
      </c>
    </row>
    <row r="43">
      <c r="A43" s="4" t="inlineStr">
        <is>
          <t>CAT</t>
        </is>
      </c>
      <c r="B43" s="4" t="inlineStr">
        <is>
          <t>Caterpillar Inc.</t>
        </is>
      </c>
      <c r="C43" s="4" t="inlineStr">
        <is>
          <t>United States</t>
        </is>
      </c>
      <c r="D43" s="4" t="inlineStr">
        <is>
          <t>US</t>
        </is>
      </c>
      <c r="E43" s="4" t="inlineStr">
        <is>
          <t>Industria</t>
        </is>
      </c>
      <c r="F43" s="4" t="inlineStr">
        <is>
          <t>Farm &amp; Heavy Construction Machinery</t>
        </is>
      </c>
      <c r="G43" s="4" t="inlineStr">
        <is>
          <t>NYQ</t>
        </is>
      </c>
      <c r="H43" s="4" t="inlineStr">
        <is>
          <t>USD</t>
        </is>
      </c>
      <c r="I43" s="5" t="n">
        <v>344287.281152</v>
      </c>
      <c r="J43" s="6">
        <f>INDEX(FX!$B:$B,MATCH(H43,FX!$A:$A,0))</f>
        <v/>
      </c>
      <c r="K43" s="5">
        <f>I43*J43</f>
        <v/>
      </c>
      <c r="L43" s="4">
        <f>IF(U43&lt;&gt;"",U43,IF(K43&gt;=Umbrales!$B$2,"Legendaria",IF(K43&gt;=Umbrales!$B$3,"Épica",IF(K43&gt;=Umbrales!$B$4,"Rara",IF(K43&gt;=Umbrales!$B$5,"Poco común","Común")))))</f>
        <v/>
      </c>
      <c r="M43" s="5" t="n">
        <v>74728.996864</v>
      </c>
      <c r="N43" s="5" t="n">
        <v>10844.000256</v>
      </c>
      <c r="O43" s="5">
        <f>IF(M43="","",M43*J43)</f>
        <v/>
      </c>
      <c r="P43" s="5">
        <f>IF(N43="","",N43*J43)</f>
        <v/>
      </c>
      <c r="Q43" s="7" t="n">
        <v>0.008399999999999999</v>
      </c>
      <c r="R43" s="8" t="n">
        <v>33.273212</v>
      </c>
      <c r="S43" s="4" t="inlineStr">
        <is>
          <t>DOW30, SP500</t>
        </is>
      </c>
      <c r="T43" s="9" t="inlineStr">
        <is>
          <t>SI</t>
        </is>
      </c>
      <c r="U43" s="9" t="inlineStr"/>
      <c r="V43" s="10">
        <f>Umbrales!$B$9*(K43/1000)^Umbrales!$B$10</f>
        <v/>
      </c>
    </row>
    <row r="44">
      <c r="A44" s="4" t="inlineStr">
        <is>
          <t>0939.HK</t>
        </is>
      </c>
      <c r="B44" s="4" t="inlineStr">
        <is>
          <t>China Construction Bank Corporation</t>
        </is>
      </c>
      <c r="C44" s="4" t="inlineStr">
        <is>
          <t>China</t>
        </is>
      </c>
      <c r="D44" s="4" t="inlineStr">
        <is>
          <t>CN</t>
        </is>
      </c>
      <c r="E44" s="4" t="inlineStr">
        <is>
          <t>Finanzas</t>
        </is>
      </c>
      <c r="F44" s="4" t="inlineStr">
        <is>
          <t>Banks - Diversified</t>
        </is>
      </c>
      <c r="G44" s="4" t="inlineStr">
        <is>
          <t>HKG</t>
        </is>
      </c>
      <c r="H44" s="4" t="inlineStr">
        <is>
          <t>HKD</t>
        </is>
      </c>
      <c r="I44" s="5" t="n">
        <v>2609463.95136</v>
      </c>
      <c r="J44" s="6">
        <f>INDEX(FX!$B:$B,MATCH(H44,FX!$A:$A,0))</f>
        <v/>
      </c>
      <c r="K44" s="5">
        <f>I44*J44</f>
        <v/>
      </c>
      <c r="L44" s="4">
        <f>IF(U44&lt;&gt;"",U44,IF(K44&gt;=Umbrales!$B$2,"Legendaria",IF(K44&gt;=Umbrales!$B$3,"Épica",IF(K44&gt;=Umbrales!$B$4,"Rara",IF(K44&gt;=Umbrales!$B$5,"Poco común","Común")))))</f>
        <v/>
      </c>
      <c r="M44" s="5" t="n">
        <v>625606.00064</v>
      </c>
      <c r="N44" s="5" t="n">
        <v>340178.010112</v>
      </c>
      <c r="O44" s="5">
        <f>IF(M44="","",M44*J44)</f>
        <v/>
      </c>
      <c r="P44" s="5">
        <f>IF(N44="","",N44*J44)</f>
        <v/>
      </c>
      <c r="Q44" s="7" t="n">
        <v>0.0445</v>
      </c>
      <c r="R44" s="8" t="n">
        <v>6.8793106</v>
      </c>
      <c r="S44" s="4" t="inlineStr">
        <is>
          <t>HANGSENG</t>
        </is>
      </c>
      <c r="T44" s="9" t="inlineStr">
        <is>
          <t>SI</t>
        </is>
      </c>
      <c r="U44" s="9" t="inlineStr"/>
      <c r="V44" s="10">
        <f>Umbrales!$B$9*(K44/1000)^Umbrales!$B$10</f>
        <v/>
      </c>
    </row>
    <row r="45">
      <c r="A45" s="4" t="inlineStr">
        <is>
          <t>DELL</t>
        </is>
      </c>
      <c r="B45" s="4" t="inlineStr">
        <is>
          <t>Dell Technologies Inc.</t>
        </is>
      </c>
      <c r="C45" s="4" t="inlineStr">
        <is>
          <t>United States</t>
        </is>
      </c>
      <c r="D45" s="4" t="inlineStr">
        <is>
          <t>US</t>
        </is>
      </c>
      <c r="E45" s="4" t="inlineStr">
        <is>
          <t>Tecnología</t>
        </is>
      </c>
      <c r="F45" s="4" t="inlineStr">
        <is>
          <t>Computer Hardware</t>
        </is>
      </c>
      <c r="G45" s="4" t="inlineStr">
        <is>
          <t>NYQ</t>
        </is>
      </c>
      <c r="H45" s="4" t="inlineStr">
        <is>
          <t>USD</t>
        </is>
      </c>
      <c r="I45" s="5" t="n">
        <v>322948.366336</v>
      </c>
      <c r="J45" s="6">
        <f>INDEX(FX!$B:$B,MATCH(H45,FX!$A:$A,0))</f>
        <v/>
      </c>
      <c r="K45" s="5">
        <f>I45*J45</f>
        <v/>
      </c>
      <c r="L45" s="4">
        <f>IF(U45&lt;&gt;"",U45,IF(K45&gt;=Umbrales!$B$2,"Legendaria",IF(K45&gt;=Umbrales!$B$3,"Épica",IF(K45&gt;=Umbrales!$B$4,"Rara",IF(K45&gt;=Umbrales!$B$5,"Poco común","Común")))))</f>
        <v/>
      </c>
      <c r="M45" s="5" t="n">
        <v>151197.007872</v>
      </c>
      <c r="N45" s="5" t="n">
        <v>11377.999872</v>
      </c>
      <c r="O45" s="5">
        <f>IF(M45="","",M45*J45)</f>
        <v/>
      </c>
      <c r="P45" s="5">
        <f>IF(N45="","",N45*J45)</f>
        <v/>
      </c>
      <c r="Q45" s="7" t="n">
        <v>0.0044</v>
      </c>
      <c r="R45" s="8" t="n">
        <v>29.530811</v>
      </c>
      <c r="S45" s="4" t="inlineStr">
        <is>
          <t>SP500</t>
        </is>
      </c>
      <c r="T45" s="9" t="inlineStr">
        <is>
          <t>SI</t>
        </is>
      </c>
      <c r="U45" s="9" t="inlineStr"/>
      <c r="V45" s="10">
        <f>Umbrales!$B$9*(K45/1000)^Umbrales!$B$10</f>
        <v/>
      </c>
    </row>
    <row r="46">
      <c r="A46" s="4" t="inlineStr">
        <is>
          <t>0005.HK</t>
        </is>
      </c>
      <c r="B46" s="4" t="inlineStr">
        <is>
          <t>HSBC Holdings plc</t>
        </is>
      </c>
      <c r="C46" s="4" t="inlineStr">
        <is>
          <t>United Kingdom</t>
        </is>
      </c>
      <c r="D46" s="4" t="inlineStr">
        <is>
          <t>GB</t>
        </is>
      </c>
      <c r="E46" s="4" t="inlineStr">
        <is>
          <t>Finanzas</t>
        </is>
      </c>
      <c r="F46" s="4" t="inlineStr">
        <is>
          <t>Banks - Diversified</t>
        </is>
      </c>
      <c r="G46" s="4" t="inlineStr">
        <is>
          <t>HKG</t>
        </is>
      </c>
      <c r="H46" s="4" t="inlineStr">
        <is>
          <t>HKD</t>
        </is>
      </c>
      <c r="I46" s="5" t="n">
        <v>2529081.688064</v>
      </c>
      <c r="J46" s="6">
        <f>INDEX(FX!$B:$B,MATCH(H46,FX!$A:$A,0))</f>
        <v/>
      </c>
      <c r="K46" s="5">
        <f>I46*J46</f>
        <v/>
      </c>
      <c r="L46" s="4">
        <f>IF(U46&lt;&gt;"",U46,IF(K46&gt;=Umbrales!$B$2,"Legendaria",IF(K46&gt;=Umbrales!$B$3,"Épica",IF(K46&gt;=Umbrales!$B$4,"Rara",IF(K46&gt;=Umbrales!$B$5,"Poco común","Común")))))</f>
        <v/>
      </c>
      <c r="M46" s="5" t="n">
        <v>67432.001536</v>
      </c>
      <c r="N46" s="5" t="n">
        <v>21102.000128</v>
      </c>
      <c r="O46" s="5">
        <f>IF(M46="","",M46*J46)</f>
        <v/>
      </c>
      <c r="P46" s="5">
        <f>IF(N46="","",N46*J46)</f>
        <v/>
      </c>
      <c r="Q46" s="7" t="n">
        <v>0.0396</v>
      </c>
      <c r="R46" s="8" t="n">
        <v>13.519196</v>
      </c>
      <c r="S46" s="4" t="inlineStr">
        <is>
          <t>HANGSENG</t>
        </is>
      </c>
      <c r="T46" s="9" t="inlineStr">
        <is>
          <t>SI</t>
        </is>
      </c>
      <c r="U46" s="9" t="inlineStr"/>
      <c r="V46" s="10">
        <f>Umbrales!$B$9*(K46/1000)^Umbrales!$B$10</f>
        <v/>
      </c>
    </row>
    <row r="47">
      <c r="A47" s="4" t="inlineStr">
        <is>
          <t>HSBA.L</t>
        </is>
      </c>
      <c r="B47" s="4" t="inlineStr">
        <is>
          <t>HSBC Holdings plc</t>
        </is>
      </c>
      <c r="C47" s="4" t="inlineStr">
        <is>
          <t>United Kingdom</t>
        </is>
      </c>
      <c r="D47" s="4" t="inlineStr">
        <is>
          <t>GB</t>
        </is>
      </c>
      <c r="E47" s="4" t="inlineStr">
        <is>
          <t>Finanzas</t>
        </is>
      </c>
      <c r="F47" s="4" t="inlineStr">
        <is>
          <t>Banks - Diversified</t>
        </is>
      </c>
      <c r="G47" s="4" t="inlineStr">
        <is>
          <t>LSE</t>
        </is>
      </c>
      <c r="H47" s="4" t="inlineStr">
        <is>
          <t>GBP</t>
        </is>
      </c>
      <c r="I47" s="5" t="n">
        <v>242443.026432</v>
      </c>
      <c r="J47" s="6">
        <f>INDEX(FX!$B:$B,MATCH(H47,FX!$A:$A,0))</f>
        <v/>
      </c>
      <c r="K47" s="5">
        <f>I47*J47</f>
        <v/>
      </c>
      <c r="L47" s="4">
        <f>IF(U47&lt;&gt;"",U47,IF(K47&gt;=Umbrales!$B$2,"Legendaria",IF(K47&gt;=Umbrales!$B$3,"Épica",IF(K47&gt;=Umbrales!$B$4,"Rara",IF(K47&gt;=Umbrales!$B$5,"Poco común","Común")))))</f>
        <v/>
      </c>
      <c r="M47" s="5" t="n">
        <v>67432.001536</v>
      </c>
      <c r="N47" s="5" t="n">
        <v>21102.000128</v>
      </c>
      <c r="O47" s="5">
        <f>IF(M47="","",M47*J47)</f>
        <v/>
      </c>
      <c r="P47" s="5">
        <f>IF(N47="","",N47*J47)</f>
        <v/>
      </c>
      <c r="Q47" s="7" t="n">
        <v>0.0389</v>
      </c>
      <c r="R47" s="8" t="n">
        <v>13.632693</v>
      </c>
      <c r="S47" s="4" t="inlineStr">
        <is>
          <t>FTSE100, UK_TOP</t>
        </is>
      </c>
      <c r="T47" s="9" t="inlineStr">
        <is>
          <t>SI</t>
        </is>
      </c>
      <c r="U47" s="9" t="inlineStr"/>
      <c r="V47" s="10">
        <f>Umbrales!$B$9*(K47/1000)^Umbrales!$B$10</f>
        <v/>
      </c>
    </row>
    <row r="48">
      <c r="A48" s="4" t="inlineStr">
        <is>
          <t>PM</t>
        </is>
      </c>
      <c r="B48" s="4" t="inlineStr">
        <is>
          <t>Philip Morris International Inc.</t>
        </is>
      </c>
      <c r="C48" s="4" t="inlineStr">
        <is>
          <t>United States</t>
        </is>
      </c>
      <c r="D48" s="4" t="inlineStr">
        <is>
          <t>US</t>
        </is>
      </c>
      <c r="E48" s="4" t="inlineStr">
        <is>
          <t>Consumo básico</t>
        </is>
      </c>
      <c r="F48" s="4" t="inlineStr">
        <is>
          <t>Tobacco</t>
        </is>
      </c>
      <c r="G48" s="4" t="inlineStr">
        <is>
          <t>NYQ</t>
        </is>
      </c>
      <c r="H48" s="4" t="inlineStr">
        <is>
          <t>USD</t>
        </is>
      </c>
      <c r="I48" s="5" t="n">
        <v>320419.725312</v>
      </c>
      <c r="J48" s="6">
        <f>INDEX(FX!$B:$B,MATCH(H48,FX!$A:$A,0))</f>
        <v/>
      </c>
      <c r="K48" s="5">
        <f>I48*J48</f>
        <v/>
      </c>
      <c r="L48" s="4">
        <f>IF(U48&lt;&gt;"",U48,IF(K48&gt;=Umbrales!$B$2,"Legendaria",IF(K48&gt;=Umbrales!$B$3,"Épica",IF(K48&gt;=Umbrales!$B$4,"Rara",IF(K48&gt;=Umbrales!$B$5,"Poco común","Común")))))</f>
        <v/>
      </c>
      <c r="M48" s="5" t="n">
        <v>42545.000448</v>
      </c>
      <c r="N48" s="5" t="n">
        <v>10844.000256</v>
      </c>
      <c r="O48" s="5">
        <f>IF(M48="","",M48*J48)</f>
        <v/>
      </c>
      <c r="P48" s="5">
        <f>IF(N48="","",N48*J48)</f>
        <v/>
      </c>
      <c r="Q48" s="7" t="n">
        <v>0.0321</v>
      </c>
      <c r="R48" s="8" t="n">
        <v>28.632313</v>
      </c>
      <c r="S48" s="4" t="inlineStr">
        <is>
          <t>SP500</t>
        </is>
      </c>
      <c r="T48" s="9" t="inlineStr">
        <is>
          <t>SI</t>
        </is>
      </c>
      <c r="U48" s="9" t="inlineStr"/>
      <c r="V48" s="10">
        <f>Umbrales!$B$9*(K48/1000)^Umbrales!$B$10</f>
        <v/>
      </c>
    </row>
    <row r="49">
      <c r="A49" s="4" t="inlineStr">
        <is>
          <t>GE</t>
        </is>
      </c>
      <c r="B49" s="4" t="inlineStr">
        <is>
          <t>GE Aerospace</t>
        </is>
      </c>
      <c r="C49" s="4" t="inlineStr">
        <is>
          <t>United States</t>
        </is>
      </c>
      <c r="D49" s="4" t="inlineStr">
        <is>
          <t>US</t>
        </is>
      </c>
      <c r="E49" s="4" t="inlineStr">
        <is>
          <t>Industria</t>
        </is>
      </c>
      <c r="F49" s="4" t="inlineStr">
        <is>
          <t>Aerospace &amp; Defense</t>
        </is>
      </c>
      <c r="G49" s="4" t="inlineStr">
        <is>
          <t>NYQ</t>
        </is>
      </c>
      <c r="H49" s="4" t="inlineStr">
        <is>
          <t>USD</t>
        </is>
      </c>
      <c r="I49" s="5" t="n">
        <v>318552.440832</v>
      </c>
      <c r="J49" s="6">
        <f>INDEX(FX!$B:$B,MATCH(H49,FX!$A:$A,0))</f>
        <v/>
      </c>
      <c r="K49" s="5">
        <f>I49*J49</f>
        <v/>
      </c>
      <c r="L49" s="4">
        <f>IF(U49&lt;&gt;"",U49,IF(K49&gt;=Umbrales!$B$2,"Legendaria",IF(K49&gt;=Umbrales!$B$3,"Épica",IF(K49&gt;=Umbrales!$B$4,"Rara",IF(K49&gt;=Umbrales!$B$5,"Poco común","Común")))))</f>
        <v/>
      </c>
      <c r="M49" s="5" t="n">
        <v>50638.999552</v>
      </c>
      <c r="N49" s="5" t="n">
        <v>8963.999744000001</v>
      </c>
      <c r="O49" s="5">
        <f>IF(M49="","",M49*J49)</f>
        <v/>
      </c>
      <c r="P49" s="5">
        <f>IF(N49="","",N49*J49)</f>
        <v/>
      </c>
      <c r="Q49" s="7" t="n">
        <v>0.0061</v>
      </c>
      <c r="R49" s="8" t="n">
        <v>36.29078</v>
      </c>
      <c r="S49" s="4" t="inlineStr">
        <is>
          <t>SP500</t>
        </is>
      </c>
      <c r="T49" s="9" t="inlineStr">
        <is>
          <t>SI</t>
        </is>
      </c>
      <c r="U49" s="9" t="inlineStr"/>
      <c r="V49" s="10">
        <f>Umbrales!$B$9*(K49/1000)^Umbrales!$B$10</f>
        <v/>
      </c>
    </row>
    <row r="50">
      <c r="A50" s="4" t="inlineStr">
        <is>
          <t>PANW</t>
        </is>
      </c>
      <c r="B50" s="4" t="inlineStr">
        <is>
          <t>Palo Alto Networks, Inc.</t>
        </is>
      </c>
      <c r="C50" s="4" t="inlineStr">
        <is>
          <t>United States</t>
        </is>
      </c>
      <c r="D50" s="4" t="inlineStr">
        <is>
          <t>US</t>
        </is>
      </c>
      <c r="E50" s="4" t="inlineStr">
        <is>
          <t>Tecnología</t>
        </is>
      </c>
      <c r="F50" s="4" t="inlineStr">
        <is>
          <t>Software - Infrastructure</t>
        </is>
      </c>
      <c r="G50" s="4" t="inlineStr">
        <is>
          <t>NMS</t>
        </is>
      </c>
      <c r="H50" s="4" t="inlineStr">
        <is>
          <t>USD</t>
        </is>
      </c>
      <c r="I50" s="5" t="n">
        <v>306782.732288</v>
      </c>
      <c r="J50" s="6">
        <f>INDEX(FX!$B:$B,MATCH(H50,FX!$A:$A,0))</f>
        <v/>
      </c>
      <c r="K50" s="5">
        <f>I50*J50</f>
        <v/>
      </c>
      <c r="L50" s="4">
        <f>IF(U50&lt;&gt;"",U50,IF(K50&gt;=Umbrales!$B$2,"Legendaria",IF(K50&gt;=Umbrales!$B$3,"Épica",IF(K50&gt;=Umbrales!$B$4,"Rara",IF(K50&gt;=Umbrales!$B$5,"Poco común","Común")))))</f>
        <v/>
      </c>
      <c r="M50" s="5" t="n">
        <v>11480.000512</v>
      </c>
      <c r="N50" s="5" t="n">
        <v>307</v>
      </c>
      <c r="O50" s="5">
        <f>IF(M50="","",M50*J50)</f>
        <v/>
      </c>
      <c r="P50" s="5">
        <f>IF(N50="","",N50*J50)</f>
        <v/>
      </c>
      <c r="Q50" s="7" t="n">
        <v>0</v>
      </c>
      <c r="R50" s="8" t="n">
        <v>986.9474</v>
      </c>
      <c r="S50" s="4" t="inlineStr">
        <is>
          <t>NASDAQ100, SP500</t>
        </is>
      </c>
      <c r="T50" s="9" t="inlineStr">
        <is>
          <t>SI</t>
        </is>
      </c>
      <c r="U50" s="9" t="inlineStr"/>
      <c r="V50" s="10">
        <f>Umbrales!$B$9*(K50/1000)^Umbrales!$B$10</f>
        <v/>
      </c>
    </row>
    <row r="51">
      <c r="A51" s="4" t="inlineStr">
        <is>
          <t>SHELL.AS</t>
        </is>
      </c>
      <c r="B51" s="4" t="inlineStr">
        <is>
          <t>Shell plc</t>
        </is>
      </c>
      <c r="C51" s="4" t="inlineStr">
        <is>
          <t>United Kingdom</t>
        </is>
      </c>
      <c r="D51" s="4" t="inlineStr">
        <is>
          <t>GB</t>
        </is>
      </c>
      <c r="E51" s="4" t="inlineStr">
        <is>
          <t>Energía</t>
        </is>
      </c>
      <c r="F51" s="4" t="inlineStr">
        <is>
          <t>Oil &amp; Gas Integrated</t>
        </is>
      </c>
      <c r="G51" s="4" t="inlineStr">
        <is>
          <t>AMS</t>
        </is>
      </c>
      <c r="H51" s="4" t="inlineStr">
        <is>
          <t>EUR</t>
        </is>
      </c>
      <c r="I51" s="5" t="n">
        <v>264304.623616</v>
      </c>
      <c r="J51" s="6">
        <f>INDEX(FX!$B:$B,MATCH(H51,FX!$A:$A,0))</f>
        <v/>
      </c>
      <c r="K51" s="5">
        <f>I51*J51</f>
        <v/>
      </c>
      <c r="L51" s="4">
        <f>IF(U51&lt;&gt;"",U51,IF(K51&gt;=Umbrales!$B$2,"Legendaria",IF(K51&gt;=Umbrales!$B$3,"Épica",IF(K51&gt;=Umbrales!$B$4,"Rara",IF(K51&gt;=Umbrales!$B$5,"Poco común","Común")))))</f>
        <v/>
      </c>
      <c r="M51" s="5" t="n">
        <v>296600.993792</v>
      </c>
      <c r="N51" s="5" t="n">
        <v>25970.999296</v>
      </c>
      <c r="O51" s="5">
        <f>IF(M51="","",M51*J51)</f>
        <v/>
      </c>
      <c r="P51" s="5">
        <f>IF(N51="","",N51*J51)</f>
        <v/>
      </c>
      <c r="Q51" s="7" t="n">
        <v>0.0296</v>
      </c>
      <c r="R51" s="8" t="n">
        <v>11.974226</v>
      </c>
      <c r="S51" s="4" t="inlineStr">
        <is>
          <t>AEX</t>
        </is>
      </c>
      <c r="T51" s="9" t="inlineStr">
        <is>
          <t>SI</t>
        </is>
      </c>
      <c r="U51" s="9" t="inlineStr"/>
      <c r="V51" s="10">
        <f>Umbrales!$B$9*(K51/1000)^Umbrales!$B$10</f>
        <v/>
      </c>
    </row>
    <row r="52">
      <c r="A52" s="4" t="inlineStr">
        <is>
          <t>HD</t>
        </is>
      </c>
      <c r="B52" s="4" t="inlineStr">
        <is>
          <t>The Home Depot, Inc.</t>
        </is>
      </c>
      <c r="C52" s="4" t="inlineStr">
        <is>
          <t>United States</t>
        </is>
      </c>
      <c r="D52" s="4" t="inlineStr">
        <is>
          <t>US</t>
        </is>
      </c>
      <c r="E52" s="4" t="inlineStr">
        <is>
          <t>Consumo cíclico</t>
        </is>
      </c>
      <c r="F52" s="4" t="inlineStr">
        <is>
          <t>Home Improvement Retail</t>
        </is>
      </c>
      <c r="G52" s="4" t="inlineStr">
        <is>
          <t>NYQ</t>
        </is>
      </c>
      <c r="H52" s="4" t="inlineStr">
        <is>
          <t>USD</t>
        </is>
      </c>
      <c r="I52" s="5" t="n">
        <v>294827.261952</v>
      </c>
      <c r="J52" s="6">
        <f>INDEX(FX!$B:$B,MATCH(H52,FX!$A:$A,0))</f>
        <v/>
      </c>
      <c r="K52" s="5">
        <f>I52*J52</f>
        <v/>
      </c>
      <c r="L52" s="4">
        <f>IF(U52&lt;&gt;"",U52,IF(K52&gt;=Umbrales!$B$2,"Legendaria",IF(K52&gt;=Umbrales!$B$3,"Épica",IF(K52&gt;=Umbrales!$B$4,"Rara",IF(K52&gt;=Umbrales!$B$5,"Poco común","Común")))))</f>
        <v/>
      </c>
      <c r="M52" s="5" t="n">
        <v>169176.006656</v>
      </c>
      <c r="N52" s="5" t="n">
        <v>14227.00032</v>
      </c>
      <c r="O52" s="5">
        <f>IF(M52="","",M52*J52)</f>
        <v/>
      </c>
      <c r="P52" s="5">
        <f>IF(N52="","",N52*J52)</f>
        <v/>
      </c>
      <c r="Q52" s="7" t="n">
        <v>0.0317</v>
      </c>
      <c r="R52" s="8" t="n">
        <v>20.679497</v>
      </c>
      <c r="S52" s="4" t="inlineStr">
        <is>
          <t>DOW30, SP500</t>
        </is>
      </c>
      <c r="T52" s="9" t="inlineStr">
        <is>
          <t>SI</t>
        </is>
      </c>
      <c r="U52" s="9" t="inlineStr"/>
      <c r="V52" s="10">
        <f>Umbrales!$B$9*(K52/1000)^Umbrales!$B$10</f>
        <v/>
      </c>
    </row>
    <row r="53">
      <c r="A53" s="4" t="inlineStr">
        <is>
          <t>SHEL.L</t>
        </is>
      </c>
      <c r="B53" s="4" t="inlineStr">
        <is>
          <t>Shell plc</t>
        </is>
      </c>
      <c r="C53" s="4" t="inlineStr">
        <is>
          <t>United Kingdom</t>
        </is>
      </c>
      <c r="D53" s="4" t="inlineStr">
        <is>
          <t>GB</t>
        </is>
      </c>
      <c r="E53" s="4" t="inlineStr">
        <is>
          <t>Energía</t>
        </is>
      </c>
      <c r="F53" s="4" t="inlineStr">
        <is>
          <t>Oil &amp; Gas Integrated</t>
        </is>
      </c>
      <c r="G53" s="4" t="inlineStr">
        <is>
          <t>LSE</t>
        </is>
      </c>
      <c r="H53" s="4" t="inlineStr">
        <is>
          <t>GBP</t>
        </is>
      </c>
      <c r="I53" s="5" t="n">
        <v>222007.934976</v>
      </c>
      <c r="J53" s="6">
        <f>INDEX(FX!$B:$B,MATCH(H53,FX!$A:$A,0))</f>
        <v/>
      </c>
      <c r="K53" s="5">
        <f>I53*J53</f>
        <v/>
      </c>
      <c r="L53" s="4">
        <f>IF(U53&lt;&gt;"",U53,IF(K53&gt;=Umbrales!$B$2,"Legendaria",IF(K53&gt;=Umbrales!$B$3,"Épica",IF(K53&gt;=Umbrales!$B$4,"Rara",IF(K53&gt;=Umbrales!$B$5,"Poco común","Común")))))</f>
        <v/>
      </c>
      <c r="M53" s="5" t="n">
        <v>296600.993792</v>
      </c>
      <c r="N53" s="5" t="n">
        <v>25970.999296</v>
      </c>
      <c r="O53" s="5">
        <f>IF(M53="","",M53*J53)</f>
        <v/>
      </c>
      <c r="P53" s="5">
        <f>IF(N53="","",N53*J53)</f>
        <v/>
      </c>
      <c r="Q53" s="7" t="n">
        <v>0.0299</v>
      </c>
      <c r="R53" s="8" t="n">
        <v>11.545858</v>
      </c>
      <c r="S53" s="4" t="inlineStr">
        <is>
          <t>FTSE100, UK_TOP</t>
        </is>
      </c>
      <c r="T53" s="9" t="inlineStr">
        <is>
          <t>SI</t>
        </is>
      </c>
      <c r="U53" s="9" t="inlineStr"/>
      <c r="V53" s="10">
        <f>Umbrales!$B$9*(K53/1000)^Umbrales!$B$10</f>
        <v/>
      </c>
    </row>
    <row r="54">
      <c r="A54" s="4" t="inlineStr">
        <is>
          <t>NFLX</t>
        </is>
      </c>
      <c r="B54" s="4" t="inlineStr">
        <is>
          <t>Netflix, Inc.</t>
        </is>
      </c>
      <c r="C54" s="4" t="inlineStr">
        <is>
          <t>United States</t>
        </is>
      </c>
      <c r="D54" s="4" t="inlineStr">
        <is>
          <t>US</t>
        </is>
      </c>
      <c r="E54" s="4" t="inlineStr">
        <is>
          <t>Comunicación</t>
        </is>
      </c>
      <c r="F54" s="4" t="inlineStr">
        <is>
          <t>Entertainment</t>
        </is>
      </c>
      <c r="G54" s="4" t="inlineStr">
        <is>
          <t>NMS</t>
        </is>
      </c>
      <c r="H54" s="4" t="inlineStr">
        <is>
          <t>USD</t>
        </is>
      </c>
      <c r="I54" s="5" t="n">
        <v>293849.202688</v>
      </c>
      <c r="J54" s="6">
        <f>INDEX(FX!$B:$B,MATCH(H54,FX!$A:$A,0))</f>
        <v/>
      </c>
      <c r="K54" s="5">
        <f>I54*J54</f>
        <v/>
      </c>
      <c r="L54" s="4">
        <f>IF(U54&lt;&gt;"",U54,IF(K54&gt;=Umbrales!$B$2,"Legendaria",IF(K54&gt;=Umbrales!$B$3,"Épica",IF(K54&gt;=Umbrales!$B$4,"Rara",IF(K54&gt;=Umbrales!$B$5,"Poco común","Común")))))</f>
        <v/>
      </c>
      <c r="M54" s="5" t="n">
        <v>48370.765824</v>
      </c>
      <c r="N54" s="5" t="n">
        <v>13649.642496</v>
      </c>
      <c r="O54" s="5">
        <f>IF(M54="","",M54*J54)</f>
        <v/>
      </c>
      <c r="P54" s="5">
        <f>IF(N54="","",N54*J54)</f>
        <v/>
      </c>
      <c r="Q54" s="7" t="n">
        <v>0</v>
      </c>
      <c r="R54" s="8" t="n">
        <v>22.191824</v>
      </c>
      <c r="S54" s="4" t="inlineStr">
        <is>
          <t>NASDAQ100, SP500</t>
        </is>
      </c>
      <c r="T54" s="9" t="inlineStr">
        <is>
          <t>SI</t>
        </is>
      </c>
      <c r="U54" s="9" t="inlineStr"/>
      <c r="V54" s="10">
        <f>Umbrales!$B$9*(K54/1000)^Umbrales!$B$10</f>
        <v/>
      </c>
    </row>
    <row r="55">
      <c r="A55" s="4" t="inlineStr">
        <is>
          <t>MS</t>
        </is>
      </c>
      <c r="B55" s="4" t="inlineStr">
        <is>
          <t>Morgan Stanley</t>
        </is>
      </c>
      <c r="C55" s="4" t="inlineStr">
        <is>
          <t>United States</t>
        </is>
      </c>
      <c r="D55" s="4" t="inlineStr">
        <is>
          <t>US</t>
        </is>
      </c>
      <c r="E55" s="4" t="inlineStr">
        <is>
          <t>Finanzas</t>
        </is>
      </c>
      <c r="F55" s="4" t="inlineStr">
        <is>
          <t>Capital Markets</t>
        </is>
      </c>
      <c r="G55" s="4" t="inlineStr">
        <is>
          <t>NYQ</t>
        </is>
      </c>
      <c r="H55" s="4" t="inlineStr">
        <is>
          <t>USD</t>
        </is>
      </c>
      <c r="I55" s="5" t="n">
        <v>285073.473536</v>
      </c>
      <c r="J55" s="6">
        <f>INDEX(FX!$B:$B,MATCH(H55,FX!$A:$A,0))</f>
        <v/>
      </c>
      <c r="K55" s="5">
        <f>I55*J55</f>
        <v/>
      </c>
      <c r="L55" s="4">
        <f>IF(U55&lt;&gt;"",U55,IF(K55&gt;=Umbrales!$B$2,"Legendaria",IF(K55&gt;=Umbrales!$B$3,"Épica",IF(K55&gt;=Umbrales!$B$4,"Rara",IF(K55&gt;=Umbrales!$B$5,"Poco común","Común")))))</f>
        <v/>
      </c>
      <c r="M55" s="5" t="n">
        <v>77827.99769600001</v>
      </c>
      <c r="N55" s="5" t="n">
        <v>19547.000832</v>
      </c>
      <c r="O55" s="5">
        <f>IF(M55="","",M55*J55)</f>
        <v/>
      </c>
      <c r="P55" s="5">
        <f>IF(N55="","",N55*J55)</f>
        <v/>
      </c>
      <c r="Q55" s="7" t="n">
        <v>0.0246</v>
      </c>
      <c r="R55" s="8" t="n">
        <v>14.6615505</v>
      </c>
      <c r="S55" s="4" t="inlineStr">
        <is>
          <t>SP500</t>
        </is>
      </c>
      <c r="T55" s="9" t="inlineStr">
        <is>
          <t>SI</t>
        </is>
      </c>
      <c r="U55" s="9" t="inlineStr"/>
      <c r="V55" s="10">
        <f>Umbrales!$B$9*(K55/1000)^Umbrales!$B$10</f>
        <v/>
      </c>
    </row>
    <row r="56">
      <c r="A56" s="4" t="inlineStr">
        <is>
          <t>NOVN.SW</t>
        </is>
      </c>
      <c r="B56" s="4" t="inlineStr">
        <is>
          <t>Novartis AG</t>
        </is>
      </c>
      <c r="C56" s="4" t="inlineStr">
        <is>
          <t>Switzerland</t>
        </is>
      </c>
      <c r="D56" s="4" t="inlineStr">
        <is>
          <t>CH</t>
        </is>
      </c>
      <c r="E56" s="4" t="inlineStr">
        <is>
          <t>Salud</t>
        </is>
      </c>
      <c r="F56" s="4" t="inlineStr">
        <is>
          <t>Drug Manufacturers - General</t>
        </is>
      </c>
      <c r="G56" s="4" t="inlineStr">
        <is>
          <t>EBS</t>
        </is>
      </c>
      <c r="H56" s="4" t="inlineStr">
        <is>
          <t>CHF</t>
        </is>
      </c>
      <c r="I56" s="5" t="n">
        <v>235916.73856</v>
      </c>
      <c r="J56" s="6">
        <f>INDEX(FX!$B:$B,MATCH(H56,FX!$A:$A,0))</f>
        <v/>
      </c>
      <c r="K56" s="5">
        <f>I56*J56</f>
        <v/>
      </c>
      <c r="L56" s="4">
        <f>IF(U56&lt;&gt;"",U56,IF(K56&gt;=Umbrales!$B$2,"Legendaria",IF(K56&gt;=Umbrales!$B$3,"Épica",IF(K56&gt;=Umbrales!$B$4,"Rara",IF(K56&gt;=Umbrales!$B$5,"Poco común","Común")))))</f>
        <v/>
      </c>
      <c r="M56" s="5" t="n">
        <v>56692.998144</v>
      </c>
      <c r="N56" s="5" t="n">
        <v>12757.000192</v>
      </c>
      <c r="O56" s="5">
        <f>IF(M56="","",M56*J56)</f>
        <v/>
      </c>
      <c r="P56" s="5">
        <f>IF(N56="","",N56*J56)</f>
        <v/>
      </c>
      <c r="Q56" s="7" t="n">
        <v>0.0302</v>
      </c>
      <c r="R56" s="8" t="n">
        <v>23.641905</v>
      </c>
      <c r="S56" s="4" t="inlineStr">
        <is>
          <t>SMI</t>
        </is>
      </c>
      <c r="T56" s="9" t="inlineStr">
        <is>
          <t>SI</t>
        </is>
      </c>
      <c r="U56" s="9" t="inlineStr"/>
      <c r="V56" s="10">
        <f>Umbrales!$B$9*(K56/1000)^Umbrales!$B$10</f>
        <v/>
      </c>
    </row>
    <row r="57">
      <c r="A57" s="4" t="inlineStr">
        <is>
          <t>RY.TO</t>
        </is>
      </c>
      <c r="B57" s="4" t="inlineStr">
        <is>
          <t>Royal Bank of Canada</t>
        </is>
      </c>
      <c r="C57" s="4" t="inlineStr">
        <is>
          <t>Canada</t>
        </is>
      </c>
      <c r="D57" s="4" t="inlineStr">
        <is>
          <t>CA</t>
        </is>
      </c>
      <c r="E57" s="4" t="inlineStr">
        <is>
          <t>Finanzas</t>
        </is>
      </c>
      <c r="F57" s="4" t="inlineStr">
        <is>
          <t>Banks - Diversified</t>
        </is>
      </c>
      <c r="G57" s="4" t="inlineStr">
        <is>
          <t>TOR</t>
        </is>
      </c>
      <c r="H57" s="4" t="inlineStr">
        <is>
          <t>CAD</t>
        </is>
      </c>
      <c r="I57" s="5" t="n">
        <v>385259.143168</v>
      </c>
      <c r="J57" s="6">
        <f>INDEX(FX!$B:$B,MATCH(H57,FX!$A:$A,0))</f>
        <v/>
      </c>
      <c r="K57" s="5">
        <f>I57*J57</f>
        <v/>
      </c>
      <c r="L57" s="4">
        <f>IF(U57&lt;&gt;"",U57,IF(K57&gt;=Umbrales!$B$2,"Legendaria",IF(K57&gt;=Umbrales!$B$3,"Épica",IF(K57&gt;=Umbrales!$B$4,"Rara",IF(K57&gt;=Umbrales!$B$5,"Poco común","Común")))))</f>
        <v/>
      </c>
      <c r="M57" s="5" t="n">
        <v>67150.99955199999</v>
      </c>
      <c r="N57" s="5" t="n">
        <v>22186.999808</v>
      </c>
      <c r="O57" s="5">
        <f>IF(M57="","",M57*J57)</f>
        <v/>
      </c>
      <c r="P57" s="5">
        <f>IF(N57="","",N57*J57)</f>
        <v/>
      </c>
      <c r="Q57" s="7" t="n">
        <v>0.0254</v>
      </c>
      <c r="R57" s="8" t="n">
        <v>17.623812</v>
      </c>
      <c r="S57" s="4" t="inlineStr">
        <is>
          <t>TSX60</t>
        </is>
      </c>
      <c r="T57" s="9" t="inlineStr">
        <is>
          <t>SI</t>
        </is>
      </c>
      <c r="U57" s="9" t="inlineStr"/>
      <c r="V57" s="10">
        <f>Umbrales!$B$9*(K57/1000)^Umbrales!$B$10</f>
        <v/>
      </c>
    </row>
    <row r="58">
      <c r="A58" s="4" t="inlineStr">
        <is>
          <t>9988.HK</t>
        </is>
      </c>
      <c r="B58" s="4" t="inlineStr">
        <is>
          <t>Alibaba Group Holding Limited</t>
        </is>
      </c>
      <c r="C58" s="4" t="inlineStr">
        <is>
          <t>China</t>
        </is>
      </c>
      <c r="D58" s="4" t="inlineStr">
        <is>
          <t>CN</t>
        </is>
      </c>
      <c r="E58" s="4" t="inlineStr">
        <is>
          <t>Consumo cíclico</t>
        </is>
      </c>
      <c r="F58" s="4" t="inlineStr">
        <is>
          <t>Internet Retail</t>
        </is>
      </c>
      <c r="G58" s="4" t="inlineStr">
        <is>
          <t>HKG</t>
        </is>
      </c>
      <c r="H58" s="4" t="inlineStr">
        <is>
          <t>HKD</t>
        </is>
      </c>
      <c r="I58" s="5" t="n">
        <v>2117568.561152</v>
      </c>
      <c r="J58" s="6">
        <f>INDEX(FX!$B:$B,MATCH(H58,FX!$A:$A,0))</f>
        <v/>
      </c>
      <c r="K58" s="5">
        <f>I58*J58</f>
        <v/>
      </c>
      <c r="L58" s="4">
        <f>IF(U58&lt;&gt;"",U58,IF(K58&gt;=Umbrales!$B$2,"Legendaria",IF(K58&gt;=Umbrales!$B$3,"Épica",IF(K58&gt;=Umbrales!$B$4,"Rara",IF(K58&gt;=Umbrales!$B$5,"Poco común","Común")))))</f>
        <v/>
      </c>
      <c r="M58" s="5" t="n">
        <v>1044970.995712</v>
      </c>
      <c r="N58" s="5" t="n">
        <v>73325.002752</v>
      </c>
      <c r="O58" s="5">
        <f>IF(M58="","",M58*J58)</f>
        <v/>
      </c>
      <c r="P58" s="5">
        <f>IF(N58="","",N58*J58)</f>
        <v/>
      </c>
      <c r="Q58" s="7" t="n">
        <v>0.009300000000000001</v>
      </c>
      <c r="R58" s="8" t="n">
        <v>26.401983</v>
      </c>
      <c r="S58" s="4" t="inlineStr">
        <is>
          <t>ASIA_TOP, HANGSENG</t>
        </is>
      </c>
      <c r="T58" s="9" t="inlineStr">
        <is>
          <t>SI</t>
        </is>
      </c>
      <c r="U58" s="9" t="inlineStr"/>
      <c r="V58" s="10">
        <f>Umbrales!$B$9*(K58/1000)^Umbrales!$B$10</f>
        <v/>
      </c>
    </row>
    <row r="59">
      <c r="A59" s="4" t="inlineStr">
        <is>
          <t>AZN.ST</t>
        </is>
      </c>
      <c r="B59" s="4" t="inlineStr">
        <is>
          <t>AstraZeneca PLC</t>
        </is>
      </c>
      <c r="C59" s="4" t="inlineStr">
        <is>
          <t>United Kingdom</t>
        </is>
      </c>
      <c r="D59" s="4" t="inlineStr">
        <is>
          <t>GB</t>
        </is>
      </c>
      <c r="E59" s="4" t="inlineStr">
        <is>
          <t>Salud</t>
        </is>
      </c>
      <c r="F59" s="4" t="inlineStr">
        <is>
          <t>Drug Manufacturers - General</t>
        </is>
      </c>
      <c r="G59" s="4" t="inlineStr">
        <is>
          <t>STO</t>
        </is>
      </c>
      <c r="H59" s="4" t="inlineStr">
        <is>
          <t>SEK</t>
        </is>
      </c>
      <c r="I59" s="5" t="n">
        <v>2601644.457984</v>
      </c>
      <c r="J59" s="6">
        <f>INDEX(FX!$B:$B,MATCH(H59,FX!$A:$A,0))</f>
        <v/>
      </c>
      <c r="K59" s="5">
        <f>I59*J59</f>
        <v/>
      </c>
      <c r="L59" s="4">
        <f>IF(U59&lt;&gt;"",U59,IF(K59&gt;=Umbrales!$B$2,"Legendaria",IF(K59&gt;=Umbrales!$B$3,"Épica",IF(K59&gt;=Umbrales!$B$4,"Rara",IF(K59&gt;=Umbrales!$B$5,"Poco común","Común")))))</f>
        <v/>
      </c>
      <c r="M59" s="5" t="n">
        <v>61366.001664</v>
      </c>
      <c r="N59" s="5" t="n">
        <v>10446.000128</v>
      </c>
      <c r="O59" s="5">
        <f>IF(M59="","",M59*J59)</f>
        <v/>
      </c>
      <c r="P59" s="5">
        <f>IF(N59="","",N59*J59)</f>
        <v/>
      </c>
      <c r="Q59" s="7" t="n">
        <v>0.0192</v>
      </c>
      <c r="R59" s="8" t="n">
        <v>26.775738</v>
      </c>
      <c r="S59" s="4" t="inlineStr">
        <is>
          <t>OMXS30</t>
        </is>
      </c>
      <c r="T59" s="9" t="inlineStr">
        <is>
          <t>SI</t>
        </is>
      </c>
      <c r="U59" s="9" t="inlineStr"/>
      <c r="V59" s="10">
        <f>Umbrales!$B$9*(K59/1000)^Umbrales!$B$10</f>
        <v/>
      </c>
    </row>
    <row r="60">
      <c r="A60" s="4" t="inlineStr">
        <is>
          <t>SAP.DE</t>
        </is>
      </c>
      <c r="B60" s="4" t="inlineStr">
        <is>
          <t>SAP SE</t>
        </is>
      </c>
      <c r="C60" s="4" t="inlineStr">
        <is>
          <t>Germany</t>
        </is>
      </c>
      <c r="D60" s="4" t="inlineStr">
        <is>
          <t>DE</t>
        </is>
      </c>
      <c r="E60" s="4" t="inlineStr">
        <is>
          <t>Tecnología</t>
        </is>
      </c>
      <c r="F60" s="4" t="inlineStr">
        <is>
          <t>Software - Application</t>
        </is>
      </c>
      <c r="G60" s="4" t="inlineStr">
        <is>
          <t>GER</t>
        </is>
      </c>
      <c r="H60" s="4" t="inlineStr">
        <is>
          <t>EUR</t>
        </is>
      </c>
      <c r="I60" s="5" t="n">
        <v>229340.381184</v>
      </c>
      <c r="J60" s="6">
        <f>INDEX(FX!$B:$B,MATCH(H60,FX!$A:$A,0))</f>
        <v/>
      </c>
      <c r="K60" s="5">
        <f>I60*J60</f>
        <v/>
      </c>
      <c r="L60" s="4">
        <f>IF(U60&lt;&gt;"",U60,IF(K60&gt;=Umbrales!$B$2,"Legendaria",IF(K60&gt;=Umbrales!$B$3,"Épica",IF(K60&gt;=Umbrales!$B$4,"Rara",IF(K60&gt;=Umbrales!$B$5,"Poco común","Común")))))</f>
        <v/>
      </c>
      <c r="M60" s="5" t="n">
        <v>38192.001024</v>
      </c>
      <c r="N60" s="5" t="n">
        <v>7795.999744</v>
      </c>
      <c r="O60" s="5">
        <f>IF(M60="","",M60*J60)</f>
        <v/>
      </c>
      <c r="P60" s="5">
        <f>IF(N60="","",N60*J60)</f>
        <v/>
      </c>
      <c r="Q60" s="7" t="n">
        <v>0.0133</v>
      </c>
      <c r="R60" s="8" t="n">
        <v>28.304842</v>
      </c>
      <c r="S60" s="4" t="inlineStr">
        <is>
          <t>DAX40, EUROSTOXX50</t>
        </is>
      </c>
      <c r="T60" s="9" t="inlineStr">
        <is>
          <t>SI</t>
        </is>
      </c>
      <c r="U60" s="9" t="inlineStr"/>
      <c r="V60" s="10">
        <f>Umbrales!$B$9*(K60/1000)^Umbrales!$B$10</f>
        <v/>
      </c>
    </row>
    <row r="61">
      <c r="A61" s="4" t="inlineStr">
        <is>
          <t>TXN</t>
        </is>
      </c>
      <c r="B61" s="4" t="inlineStr">
        <is>
          <t>Texas Instruments Incorporated</t>
        </is>
      </c>
      <c r="C61" s="4" t="inlineStr">
        <is>
          <t>United States</t>
        </is>
      </c>
      <c r="D61" s="4" t="inlineStr">
        <is>
          <t>US</t>
        </is>
      </c>
      <c r="E61" s="4" t="inlineStr">
        <is>
          <t>Tecnología</t>
        </is>
      </c>
      <c r="F61" s="4" t="inlineStr">
        <is>
          <t>Semiconductors</t>
        </is>
      </c>
      <c r="G61" s="4" t="inlineStr">
        <is>
          <t>NMS</t>
        </is>
      </c>
      <c r="H61" s="4" t="inlineStr">
        <is>
          <t>USD</t>
        </is>
      </c>
      <c r="I61" s="5" t="n">
        <v>256302.956544</v>
      </c>
      <c r="J61" s="6">
        <f>INDEX(FX!$B:$B,MATCH(H61,FX!$A:$A,0))</f>
        <v/>
      </c>
      <c r="K61" s="5">
        <f>I61*J61</f>
        <v/>
      </c>
      <c r="L61" s="4">
        <f>IF(U61&lt;&gt;"",U61,IF(K61&gt;=Umbrales!$B$2,"Legendaria",IF(K61&gt;=Umbrales!$B$3,"Épica",IF(K61&gt;=Umbrales!$B$4,"Rara",IF(K61&gt;=Umbrales!$B$5,"Poco común","Común")))))</f>
        <v/>
      </c>
      <c r="M61" s="5" t="n">
        <v>19452.99968</v>
      </c>
      <c r="N61" s="5" t="n">
        <v>6016.999936</v>
      </c>
      <c r="O61" s="5">
        <f>IF(M61="","",M61*J61)</f>
        <v/>
      </c>
      <c r="P61" s="5">
        <f>IF(N61="","",N61*J61)</f>
        <v/>
      </c>
      <c r="Q61" s="7" t="n">
        <v>0.0211</v>
      </c>
      <c r="R61" s="8" t="n">
        <v>43.78315</v>
      </c>
      <c r="S61" s="4" t="inlineStr">
        <is>
          <t>NASDAQ100, SP500</t>
        </is>
      </c>
      <c r="T61" s="9" t="inlineStr">
        <is>
          <t>SI</t>
        </is>
      </c>
      <c r="U61" s="9" t="inlineStr"/>
      <c r="V61" s="10">
        <f>Umbrales!$B$9*(K61/1000)^Umbrales!$B$10</f>
        <v/>
      </c>
    </row>
    <row r="62">
      <c r="A62" s="4" t="inlineStr">
        <is>
          <t>AZN.L</t>
        </is>
      </c>
      <c r="B62" s="4" t="inlineStr">
        <is>
          <t>AstraZeneca PLC</t>
        </is>
      </c>
      <c r="C62" s="4" t="inlineStr">
        <is>
          <t>United Kingdom</t>
        </is>
      </c>
      <c r="D62" s="4" t="inlineStr">
        <is>
          <t>GB</t>
        </is>
      </c>
      <c r="E62" s="4" t="inlineStr">
        <is>
          <t>Salud</t>
        </is>
      </c>
      <c r="F62" s="4" t="inlineStr">
        <is>
          <t>Drug Manufacturers - General</t>
        </is>
      </c>
      <c r="G62" s="4" t="inlineStr">
        <is>
          <t>LSE</t>
        </is>
      </c>
      <c r="H62" s="4" t="inlineStr">
        <is>
          <t>GBP</t>
        </is>
      </c>
      <c r="I62" s="5" t="n">
        <v>193180.811264</v>
      </c>
      <c r="J62" s="6">
        <f>INDEX(FX!$B:$B,MATCH(H62,FX!$A:$A,0))</f>
        <v/>
      </c>
      <c r="K62" s="5">
        <f>I62*J62</f>
        <v/>
      </c>
      <c r="L62" s="4">
        <f>IF(U62&lt;&gt;"",U62,IF(K62&gt;=Umbrales!$B$2,"Legendaria",IF(K62&gt;=Umbrales!$B$3,"Épica",IF(K62&gt;=Umbrales!$B$4,"Rara",IF(K62&gt;=Umbrales!$B$5,"Poco común","Común")))))</f>
        <v/>
      </c>
      <c r="M62" s="5" t="n">
        <v>61366.001664</v>
      </c>
      <c r="N62" s="5" t="n">
        <v>10446.000128</v>
      </c>
      <c r="O62" s="5">
        <f>IF(M62="","",M62*J62)</f>
        <v/>
      </c>
      <c r="P62" s="5">
        <f>IF(N62="","",N62*J62)</f>
        <v/>
      </c>
      <c r="Q62" s="7" t="n">
        <v>0.0201</v>
      </c>
      <c r="R62" s="8" t="n">
        <v>24.961924</v>
      </c>
      <c r="S62" s="4" t="inlineStr">
        <is>
          <t>FTSE100, NASDAQ100, UK_TOP</t>
        </is>
      </c>
      <c r="T62" s="9" t="inlineStr">
        <is>
          <t>SI</t>
        </is>
      </c>
      <c r="U62" s="9" t="inlineStr"/>
      <c r="V62" s="10">
        <f>Umbrales!$B$9*(K62/1000)^Umbrales!$B$10</f>
        <v/>
      </c>
    </row>
    <row r="63">
      <c r="A63" s="4" t="inlineStr">
        <is>
          <t>GS</t>
        </is>
      </c>
      <c r="B63" s="4" t="inlineStr">
        <is>
          <t>The Goldman Sachs Group, Inc.</t>
        </is>
      </c>
      <c r="C63" s="4" t="inlineStr">
        <is>
          <t>United States</t>
        </is>
      </c>
      <c r="D63" s="4" t="inlineStr">
        <is>
          <t>US</t>
        </is>
      </c>
      <c r="E63" s="4" t="inlineStr">
        <is>
          <t>Finanzas</t>
        </is>
      </c>
      <c r="F63" s="4" t="inlineStr">
        <is>
          <t>Capital Markets</t>
        </is>
      </c>
      <c r="G63" s="4" t="inlineStr">
        <is>
          <t>NYQ</t>
        </is>
      </c>
      <c r="H63" s="4" t="inlineStr">
        <is>
          <t>USD</t>
        </is>
      </c>
      <c r="I63" s="5" t="n">
        <v>255858.11456</v>
      </c>
      <c r="J63" s="6">
        <f>INDEX(FX!$B:$B,MATCH(H63,FX!$A:$A,0))</f>
        <v/>
      </c>
      <c r="K63" s="5">
        <f>I63*J63</f>
        <v/>
      </c>
      <c r="L63" s="4">
        <f>IF(U63&lt;&gt;"",U63,IF(K63&gt;=Umbrales!$B$2,"Legendaria",IF(K63&gt;=Umbrales!$B$3,"Épica",IF(K63&gt;=Umbrales!$B$4,"Rara",IF(K63&gt;=Umbrales!$B$5,"Poco común","Común")))))</f>
        <v/>
      </c>
      <c r="M63" s="5" t="n">
        <v>67569.999872</v>
      </c>
      <c r="N63" s="5" t="n">
        <v>19982.000128</v>
      </c>
      <c r="O63" s="5">
        <f>IF(M63="","",M63*J63)</f>
        <v/>
      </c>
      <c r="P63" s="5">
        <f>IF(N63="","",N63*J63)</f>
        <v/>
      </c>
      <c r="Q63" s="7" t="n">
        <v>0.0224</v>
      </c>
      <c r="R63" s="8" t="n">
        <v>12.634363</v>
      </c>
      <c r="S63" s="4" t="inlineStr">
        <is>
          <t>DOW30, SP500</t>
        </is>
      </c>
      <c r="T63" s="9" t="inlineStr">
        <is>
          <t>SI</t>
        </is>
      </c>
      <c r="U63" s="9" t="inlineStr"/>
      <c r="V63" s="10">
        <f>Umbrales!$B$9*(K63/1000)^Umbrales!$B$10</f>
        <v/>
      </c>
    </row>
    <row r="64">
      <c r="A64" s="4" t="inlineStr">
        <is>
          <t>CRWD</t>
        </is>
      </c>
      <c r="B64" s="4" t="inlineStr">
        <is>
          <t>CrowdStrike Holdings, Inc.</t>
        </is>
      </c>
      <c r="C64" s="4" t="inlineStr">
        <is>
          <t>United States</t>
        </is>
      </c>
      <c r="D64" s="4" t="inlineStr">
        <is>
          <t>US</t>
        </is>
      </c>
      <c r="E64" s="4" t="inlineStr">
        <is>
          <t>Tecnología</t>
        </is>
      </c>
      <c r="F64" s="4" t="inlineStr">
        <is>
          <t>Software - Infrastructure</t>
        </is>
      </c>
      <c r="G64" s="4" t="inlineStr">
        <is>
          <t>NMS</t>
        </is>
      </c>
      <c r="H64" s="4" t="inlineStr">
        <is>
          <t>USD</t>
        </is>
      </c>
      <c r="I64" s="5" t="n">
        <v>255256.707072</v>
      </c>
      <c r="J64" s="6">
        <f>INDEX(FX!$B:$B,MATCH(H64,FX!$A:$A,0))</f>
        <v/>
      </c>
      <c r="K64" s="5">
        <f>I64*J64</f>
        <v/>
      </c>
      <c r="L64" s="4">
        <f>IF(U64&lt;&gt;"",U64,IF(K64&gt;=Umbrales!$B$2,"Legendaria",IF(K64&gt;=Umbrales!$B$3,"Épica",IF(K64&gt;=Umbrales!$B$4,"Rara",IF(K64&gt;=Umbrales!$B$5,"Poco común","Común")))))</f>
        <v/>
      </c>
      <c r="M64" s="5" t="n">
        <v>5396.145152</v>
      </c>
      <c r="N64" s="5" t="n">
        <v>44.995</v>
      </c>
      <c r="O64" s="5">
        <f>IF(M64="","",M64*J64)</f>
        <v/>
      </c>
      <c r="P64" s="5">
        <f>IF(N64="","",N64*J64)</f>
        <v/>
      </c>
      <c r="Q64" s="7" t="n">
        <v>0</v>
      </c>
      <c r="R64" s="8" t="n">
        <v>4985.8</v>
      </c>
      <c r="S64" s="4" t="inlineStr">
        <is>
          <t>NASDAQ100, SP500</t>
        </is>
      </c>
      <c r="T64" s="9" t="inlineStr">
        <is>
          <t>SI</t>
        </is>
      </c>
      <c r="U64" s="9" t="inlineStr"/>
      <c r="V64" s="10">
        <f>Umbrales!$B$9*(K64/1000)^Umbrales!$B$10</f>
        <v/>
      </c>
    </row>
    <row r="65">
      <c r="A65" s="4" t="inlineStr">
        <is>
          <t>ARM</t>
        </is>
      </c>
      <c r="B65" s="4" t="inlineStr">
        <is>
          <t>Arm Holdings plc</t>
        </is>
      </c>
      <c r="C65" s="4" t="inlineStr">
        <is>
          <t>United Kingdom</t>
        </is>
      </c>
      <c r="D65" s="4" t="inlineStr">
        <is>
          <t>GB</t>
        </is>
      </c>
      <c r="E65" s="4" t="inlineStr">
        <is>
          <t>Tecnología</t>
        </is>
      </c>
      <c r="F65" s="4" t="inlineStr">
        <is>
          <t>Semiconductors</t>
        </is>
      </c>
      <c r="G65" s="4" t="inlineStr">
        <is>
          <t>NMS</t>
        </is>
      </c>
      <c r="H65" s="4" t="inlineStr">
        <is>
          <t>USD</t>
        </is>
      </c>
      <c r="I65" s="5" t="n">
        <v>254194.335744</v>
      </c>
      <c r="J65" s="6">
        <f>INDEX(FX!$B:$B,MATCH(H65,FX!$A:$A,0))</f>
        <v/>
      </c>
      <c r="K65" s="5">
        <f>I65*J65</f>
        <v/>
      </c>
      <c r="L65" s="4">
        <f>IF(U65&lt;&gt;"",U65,IF(K65&gt;=Umbrales!$B$2,"Legendaria",IF(K65&gt;=Umbrales!$B$3,"Épica",IF(K65&gt;=Umbrales!$B$4,"Rara",IF(K65&gt;=Umbrales!$B$5,"Poco común","Común")))))</f>
        <v/>
      </c>
      <c r="M65" s="5" t="n">
        <v>5155.999744</v>
      </c>
      <c r="N65" s="5" t="n">
        <v>1044</v>
      </c>
      <c r="O65" s="5">
        <f>IF(M65="","",M65*J65)</f>
        <v/>
      </c>
      <c r="P65" s="5">
        <f>IF(N65="","",N65*J65)</f>
        <v/>
      </c>
      <c r="Q65" s="7" t="n">
        <v>0</v>
      </c>
      <c r="R65" s="8" t="n">
        <v>245.37112</v>
      </c>
      <c r="S65" s="4" t="inlineStr">
        <is>
          <t>NASDAQ100</t>
        </is>
      </c>
      <c r="T65" s="9" t="inlineStr">
        <is>
          <t>SI</t>
        </is>
      </c>
      <c r="U65" s="9" t="inlineStr"/>
      <c r="V65" s="10">
        <f>Umbrales!$B$9*(K65/1000)^Umbrales!$B$10</f>
        <v/>
      </c>
    </row>
    <row r="66">
      <c r="A66" s="4" t="inlineStr">
        <is>
          <t>3988.HK</t>
        </is>
      </c>
      <c r="B66" s="4" t="inlineStr">
        <is>
          <t>Bank of China Limited</t>
        </is>
      </c>
      <c r="C66" s="4" t="inlineStr">
        <is>
          <t>China</t>
        </is>
      </c>
      <c r="D66" s="4" t="inlineStr">
        <is>
          <t>CN</t>
        </is>
      </c>
      <c r="E66" s="4" t="inlineStr">
        <is>
          <t>Finanzas</t>
        </is>
      </c>
      <c r="F66" s="4" t="inlineStr">
        <is>
          <t>Banks - Diversified</t>
        </is>
      </c>
      <c r="G66" s="4" t="inlineStr">
        <is>
          <t>HKG</t>
        </is>
      </c>
      <c r="H66" s="4" t="inlineStr">
        <is>
          <t>HKD</t>
        </is>
      </c>
      <c r="I66" s="5" t="n">
        <v>1984828.276736</v>
      </c>
      <c r="J66" s="6">
        <f>INDEX(FX!$B:$B,MATCH(H66,FX!$A:$A,0))</f>
        <v/>
      </c>
      <c r="K66" s="5">
        <f>I66*J66</f>
        <v/>
      </c>
      <c r="L66" s="4">
        <f>IF(U66&lt;&gt;"",U66,IF(K66&gt;=Umbrales!$B$2,"Legendaria",IF(K66&gt;=Umbrales!$B$3,"Épica",IF(K66&gt;=Umbrales!$B$4,"Rara",IF(K66&gt;=Umbrales!$B$5,"Poco común","Común")))))</f>
        <v/>
      </c>
      <c r="M66" s="5" t="n">
        <v>574081.990656</v>
      </c>
      <c r="N66" s="5" t="n">
        <v>236630.99904</v>
      </c>
      <c r="O66" s="5">
        <f>IF(M66="","",M66*J66)</f>
        <v/>
      </c>
      <c r="P66" s="5">
        <f>IF(N66="","",N66*J66)</f>
        <v/>
      </c>
      <c r="Q66" s="7" t="n">
        <v>0.0412</v>
      </c>
      <c r="R66" s="8" t="n">
        <v>7.512195</v>
      </c>
      <c r="S66" s="4" t="inlineStr">
        <is>
          <t>HANGSENG</t>
        </is>
      </c>
      <c r="T66" s="9" t="inlineStr">
        <is>
          <t>SI</t>
        </is>
      </c>
      <c r="U66" s="9" t="inlineStr"/>
      <c r="V66" s="10">
        <f>Umbrales!$B$9*(K66/1000)^Umbrales!$B$10</f>
        <v/>
      </c>
    </row>
    <row r="67">
      <c r="A67" s="4" t="inlineStr">
        <is>
          <t>RTX</t>
        </is>
      </c>
      <c r="B67" s="4" t="inlineStr">
        <is>
          <t>RTX Corporation</t>
        </is>
      </c>
      <c r="C67" s="4" t="inlineStr">
        <is>
          <t>United States</t>
        </is>
      </c>
      <c r="D67" s="4" t="inlineStr">
        <is>
          <t>US</t>
        </is>
      </c>
      <c r="E67" s="4" t="inlineStr">
        <is>
          <t>Industria</t>
        </is>
      </c>
      <c r="F67" s="4" t="inlineStr">
        <is>
          <t>Aerospace &amp; Defense</t>
        </is>
      </c>
      <c r="G67" s="4" t="inlineStr">
        <is>
          <t>NYQ</t>
        </is>
      </c>
      <c r="H67" s="4" t="inlineStr">
        <is>
          <t>USD</t>
        </is>
      </c>
      <c r="I67" s="5" t="n">
        <v>251316.453376</v>
      </c>
      <c r="J67" s="6">
        <f>INDEX(FX!$B:$B,MATCH(H67,FX!$A:$A,0))</f>
        <v/>
      </c>
      <c r="K67" s="5">
        <f>I67*J67</f>
        <v/>
      </c>
      <c r="L67" s="4">
        <f>IF(U67&lt;&gt;"",U67,IF(K67&gt;=Umbrales!$B$2,"Legendaria",IF(K67&gt;=Umbrales!$B$3,"Épica",IF(K67&gt;=Umbrales!$B$4,"Rara",IF(K67&gt;=Umbrales!$B$5,"Poco común","Común")))))</f>
        <v/>
      </c>
      <c r="M67" s="5" t="n">
        <v>93499.998208</v>
      </c>
      <c r="N67" s="5" t="n">
        <v>7737.999872</v>
      </c>
      <c r="O67" s="5">
        <f>IF(M67="","",M67*J67)</f>
        <v/>
      </c>
      <c r="P67" s="5">
        <f>IF(N67="","",N67*J67)</f>
        <v/>
      </c>
      <c r="Q67" s="7" t="n">
        <v>0.016</v>
      </c>
      <c r="R67" s="8" t="n">
        <v>32.20553</v>
      </c>
      <c r="S67" s="4" t="inlineStr">
        <is>
          <t>SP500</t>
        </is>
      </c>
      <c r="T67" s="9" t="inlineStr">
        <is>
          <t>SI</t>
        </is>
      </c>
      <c r="U67" s="9" t="inlineStr"/>
      <c r="V67" s="10">
        <f>Umbrales!$B$9*(K67/1000)^Umbrales!$B$10</f>
        <v/>
      </c>
    </row>
    <row r="68">
      <c r="A68" s="4" t="inlineStr">
        <is>
          <t>GEV</t>
        </is>
      </c>
      <c r="B68" s="4" t="inlineStr">
        <is>
          <t>GE Vernova Inc.</t>
        </is>
      </c>
      <c r="C68" s="4" t="inlineStr">
        <is>
          <t>United States</t>
        </is>
      </c>
      <c r="D68" s="4" t="inlineStr">
        <is>
          <t>US</t>
        </is>
      </c>
      <c r="E68" s="4" t="inlineStr">
        <is>
          <t>Industria</t>
        </is>
      </c>
      <c r="F68" s="4" t="inlineStr">
        <is>
          <t>Specialty Industrial Machinery</t>
        </is>
      </c>
      <c r="G68" s="4" t="inlineStr">
        <is>
          <t>NYQ</t>
        </is>
      </c>
      <c r="H68" s="4" t="inlineStr">
        <is>
          <t>USD</t>
        </is>
      </c>
      <c r="I68" s="5" t="n">
        <v>250827.65312</v>
      </c>
      <c r="J68" s="6">
        <f>INDEX(FX!$B:$B,MATCH(H68,FX!$A:$A,0))</f>
        <v/>
      </c>
      <c r="K68" s="5">
        <f>I68*J68</f>
        <v/>
      </c>
      <c r="L68" s="4">
        <f>IF(U68&lt;&gt;"",U68,IF(K68&gt;=Umbrales!$B$2,"Legendaria",IF(K68&gt;=Umbrales!$B$3,"Épica",IF(K68&gt;=Umbrales!$B$4,"Rara",IF(K68&gt;=Umbrales!$B$5,"Poco común","Común")))))</f>
        <v/>
      </c>
      <c r="M68" s="5" t="n">
        <v>41366.99904</v>
      </c>
      <c r="N68" s="5" t="n">
        <v>9528.999936</v>
      </c>
      <c r="O68" s="5">
        <f>IF(M68="","",M68*J68)</f>
        <v/>
      </c>
      <c r="P68" s="5">
        <f>IF(N68="","",N68*J68)</f>
        <v/>
      </c>
      <c r="Q68" s="7" t="n">
        <v>0.002</v>
      </c>
      <c r="R68" s="8" t="n">
        <v>27.000574</v>
      </c>
      <c r="S68" s="4" t="inlineStr">
        <is>
          <t>SP500</t>
        </is>
      </c>
      <c r="T68" s="9" t="inlineStr">
        <is>
          <t>SI</t>
        </is>
      </c>
      <c r="U68" s="9" t="inlineStr"/>
      <c r="V68" s="10">
        <f>Umbrales!$B$9*(K68/1000)^Umbrales!$B$10</f>
        <v/>
      </c>
    </row>
    <row r="69">
      <c r="A69" s="4" t="inlineStr">
        <is>
          <t>NESN.SW</t>
        </is>
      </c>
      <c r="B69" s="4" t="inlineStr">
        <is>
          <t>Nestlé S.A.</t>
        </is>
      </c>
      <c r="C69" s="4" t="inlineStr">
        <is>
          <t>Switzerland</t>
        </is>
      </c>
      <c r="D69" s="4" t="inlineStr">
        <is>
          <t>CH</t>
        </is>
      </c>
      <c r="E69" s="4" t="inlineStr">
        <is>
          <t>Consumo básico</t>
        </is>
      </c>
      <c r="F69" s="4" t="inlineStr">
        <is>
          <t>Packaged Foods</t>
        </is>
      </c>
      <c r="G69" s="4" t="inlineStr">
        <is>
          <t>EBS</t>
        </is>
      </c>
      <c r="H69" s="4" t="inlineStr">
        <is>
          <t>CHF</t>
        </is>
      </c>
      <c r="I69" s="5" t="n">
        <v>206420.639744</v>
      </c>
      <c r="J69" s="6">
        <f>INDEX(FX!$B:$B,MATCH(H69,FX!$A:$A,0))</f>
        <v/>
      </c>
      <c r="K69" s="5">
        <f>I69*J69</f>
        <v/>
      </c>
      <c r="L69" s="4">
        <f>IF(U69&lt;&gt;"",U69,IF(K69&gt;=Umbrales!$B$2,"Legendaria",IF(K69&gt;=Umbrales!$B$3,"Épica",IF(K69&gt;=Umbrales!$B$4,"Rara",IF(K69&gt;=Umbrales!$B$5,"Poco común","Común")))))</f>
        <v/>
      </c>
      <c r="M69" s="5" t="n">
        <v>88775.00006400001</v>
      </c>
      <c r="N69" s="5" t="n">
        <v>7440</v>
      </c>
      <c r="O69" s="5">
        <f>IF(M69="","",M69*J69)</f>
        <v/>
      </c>
      <c r="P69" s="5">
        <f>IF(N69="","",N69*J69)</f>
        <v/>
      </c>
      <c r="Q69" s="7" t="n">
        <v>0.0393</v>
      </c>
      <c r="R69" s="8" t="n">
        <v>27.768166</v>
      </c>
      <c r="S69" s="4" t="inlineStr">
        <is>
          <t>SMI</t>
        </is>
      </c>
      <c r="T69" s="9" t="inlineStr">
        <is>
          <t>SI</t>
        </is>
      </c>
      <c r="U69" s="9" t="inlineStr"/>
      <c r="V69" s="10">
        <f>Umbrales!$B$9*(K69/1000)^Umbrales!$B$10</f>
        <v/>
      </c>
    </row>
    <row r="70">
      <c r="A70" s="4" t="inlineStr">
        <is>
          <t>TMO</t>
        </is>
      </c>
      <c r="B70" s="4" t="inlineStr">
        <is>
          <t>Thermo Fisher Scientific Inc.</t>
        </is>
      </c>
      <c r="C70" s="4" t="inlineStr">
        <is>
          <t>United States</t>
        </is>
      </c>
      <c r="D70" s="4" t="inlineStr">
        <is>
          <t>US</t>
        </is>
      </c>
      <c r="E70" s="4" t="inlineStr">
        <is>
          <t>Salud</t>
        </is>
      </c>
      <c r="F70" s="4" t="inlineStr">
        <is>
          <t>Diagnostics &amp; Research</t>
        </is>
      </c>
      <c r="G70" s="4" t="inlineStr">
        <is>
          <t>NYQ</t>
        </is>
      </c>
      <c r="H70" s="4" t="inlineStr">
        <is>
          <t>USD</t>
        </is>
      </c>
      <c r="I70" s="5" t="n">
        <v>248913.887232</v>
      </c>
      <c r="J70" s="6">
        <f>INDEX(FX!$B:$B,MATCH(H70,FX!$A:$A,0))</f>
        <v/>
      </c>
      <c r="K70" s="5">
        <f>I70*J70</f>
        <v/>
      </c>
      <c r="L70" s="4">
        <f>IF(U70&lt;&gt;"",U70,IF(K70&gt;=Umbrales!$B$2,"Legendaria",IF(K70&gt;=Umbrales!$B$3,"Épica",IF(K70&gt;=Umbrales!$B$4,"Rara",IF(K70&gt;=Umbrales!$B$5,"Poco común","Común")))))</f>
        <v/>
      </c>
      <c r="M70" s="5" t="n">
        <v>46336</v>
      </c>
      <c r="N70" s="5" t="n">
        <v>6967.000064</v>
      </c>
      <c r="O70" s="5">
        <f>IF(M70="","",M70*J70)</f>
        <v/>
      </c>
      <c r="P70" s="5">
        <f>IF(N70="","",N70*J70)</f>
        <v/>
      </c>
      <c r="Q70" s="7" t="n">
        <v>0.0028</v>
      </c>
      <c r="R70" s="8" t="n">
        <v>36.23251</v>
      </c>
      <c r="S70" s="4" t="inlineStr">
        <is>
          <t>SP500</t>
        </is>
      </c>
      <c r="T70" s="9" t="inlineStr">
        <is>
          <t>SI</t>
        </is>
      </c>
      <c r="U70" s="9" t="inlineStr"/>
      <c r="V70" s="10">
        <f>Umbrales!$B$9*(K70/1000)^Umbrales!$B$10</f>
        <v/>
      </c>
    </row>
    <row r="71">
      <c r="A71" s="4" t="inlineStr">
        <is>
          <t>ANET</t>
        </is>
      </c>
      <c r="B71" s="4" t="inlineStr">
        <is>
          <t>Arista Networks, Inc.</t>
        </is>
      </c>
      <c r="C71" s="4" t="inlineStr">
        <is>
          <t>United States</t>
        </is>
      </c>
      <c r="D71" s="4" t="inlineStr">
        <is>
          <t>US</t>
        </is>
      </c>
      <c r="E71" s="4" t="inlineStr">
        <is>
          <t>Tecnología</t>
        </is>
      </c>
      <c r="F71" s="4" t="inlineStr">
        <is>
          <t>Computer Hardware</t>
        </is>
      </c>
      <c r="G71" s="4" t="inlineStr">
        <is>
          <t>NYQ</t>
        </is>
      </c>
      <c r="H71" s="4" t="inlineStr">
        <is>
          <t>USD</t>
        </is>
      </c>
      <c r="I71" s="5" t="n">
        <v>246468.52608</v>
      </c>
      <c r="J71" s="6">
        <f>INDEX(FX!$B:$B,MATCH(H71,FX!$A:$A,0))</f>
        <v/>
      </c>
      <c r="K71" s="5">
        <f>I71*J71</f>
        <v/>
      </c>
      <c r="L71" s="4">
        <f>IF(U71&lt;&gt;"",U71,IF(K71&gt;=Umbrales!$B$2,"Legendaria",IF(K71&gt;=Umbrales!$B$3,"Épica",IF(K71&gt;=Umbrales!$B$4,"Rara",IF(K71&gt;=Umbrales!$B$5,"Poco común","Común")))))</f>
        <v/>
      </c>
      <c r="M71" s="5" t="n">
        <v>10540.8</v>
      </c>
      <c r="N71" s="5" t="n">
        <v>4044.600064</v>
      </c>
      <c r="O71" s="5">
        <f>IF(M71="","",M71*J71)</f>
        <v/>
      </c>
      <c r="P71" s="5">
        <f>IF(N71="","",N71*J71)</f>
        <v/>
      </c>
      <c r="Q71" s="7" t="n">
        <v>0</v>
      </c>
      <c r="R71" s="8" t="n">
        <v>61.646687</v>
      </c>
      <c r="S71" s="4" t="inlineStr">
        <is>
          <t>SP500</t>
        </is>
      </c>
      <c r="T71" s="9" t="inlineStr">
        <is>
          <t>SI</t>
        </is>
      </c>
      <c r="U71" s="9" t="inlineStr"/>
      <c r="V71" s="10">
        <f>Umbrales!$B$9*(K71/1000)^Umbrales!$B$10</f>
        <v/>
      </c>
    </row>
    <row r="72">
      <c r="A72" s="4" t="inlineStr">
        <is>
          <t>600519.SS</t>
        </is>
      </c>
      <c r="B72" s="4" t="inlineStr">
        <is>
          <t>Kweichow Moutai Co., Ltd.</t>
        </is>
      </c>
      <c r="C72" s="4" t="inlineStr">
        <is>
          <t>China</t>
        </is>
      </c>
      <c r="D72" s="4" t="inlineStr">
        <is>
          <t>CN</t>
        </is>
      </c>
      <c r="E72" s="4" t="inlineStr">
        <is>
          <t>Consumo básico</t>
        </is>
      </c>
      <c r="F72" s="4" t="inlineStr">
        <is>
          <t>Beverages - Wineries &amp; Distilleries</t>
        </is>
      </c>
      <c r="G72" s="4" t="inlineStr">
        <is>
          <t>SHH</t>
        </is>
      </c>
      <c r="H72" s="4" t="inlineStr">
        <is>
          <t>CNY</t>
        </is>
      </c>
      <c r="I72" s="5" t="n">
        <v>1641319.6288</v>
      </c>
      <c r="J72" s="6">
        <f>INDEX(FX!$B:$B,MATCH(H72,FX!$A:$A,0))</f>
        <v/>
      </c>
      <c r="K72" s="5">
        <f>I72*J72</f>
        <v/>
      </c>
      <c r="L72" s="4">
        <f>IF(U72&lt;&gt;"",U72,IF(K72&gt;=Umbrales!$B$2,"Legendaria",IF(K72&gt;=Umbrales!$B$3,"Épica",IF(K72&gt;=Umbrales!$B$4,"Rara",IF(K72&gt;=Umbrales!$B$5,"Poco común","Común")))))</f>
        <v/>
      </c>
      <c r="M72" s="5" t="n">
        <v>170152.001536</v>
      </c>
      <c r="N72" s="5" t="n">
        <v>81433.98502399999</v>
      </c>
      <c r="O72" s="5">
        <f>IF(M72="","",M72*J72)</f>
        <v/>
      </c>
      <c r="P72" s="5">
        <f>IF(N72="","",N72*J72)</f>
        <v/>
      </c>
      <c r="Q72" s="7" t="n">
        <v>0.0404</v>
      </c>
      <c r="R72" s="8" t="n">
        <v>20.184011</v>
      </c>
      <c r="S72" s="4" t="inlineStr">
        <is>
          <t>ASIA_TOP</t>
        </is>
      </c>
      <c r="T72" s="9" t="inlineStr">
        <is>
          <t>SI</t>
        </is>
      </c>
      <c r="U72" s="9" t="inlineStr"/>
      <c r="V72" s="10">
        <f>Umbrales!$B$9*(K72/1000)^Umbrales!$B$10</f>
        <v/>
      </c>
    </row>
    <row r="73">
      <c r="A73" s="4" t="inlineStr">
        <is>
          <t>8306.T</t>
        </is>
      </c>
      <c r="B73" s="4" t="inlineStr">
        <is>
          <t>Mitsubishi UFJ Financial Group, Inc.</t>
        </is>
      </c>
      <c r="C73" s="4" t="inlineStr">
        <is>
          <t>Japan</t>
        </is>
      </c>
      <c r="D73" s="4" t="inlineStr">
        <is>
          <t>JP</t>
        </is>
      </c>
      <c r="E73" s="4" t="inlineStr">
        <is>
          <t>Finanzas</t>
        </is>
      </c>
      <c r="F73" s="4" t="inlineStr">
        <is>
          <t>Banks - Diversified</t>
        </is>
      </c>
      <c r="G73" s="4" t="inlineStr">
        <is>
          <t>JPX</t>
        </is>
      </c>
      <c r="H73" s="4" t="inlineStr">
        <is>
          <t>JPY</t>
        </is>
      </c>
      <c r="I73" s="5" t="n">
        <v>38415923.93728</v>
      </c>
      <c r="J73" s="6">
        <f>INDEX(FX!$B:$B,MATCH(H73,FX!$A:$A,0))</f>
        <v/>
      </c>
      <c r="K73" s="5">
        <f>I73*J73</f>
        <v/>
      </c>
      <c r="L73" s="4">
        <f>IF(U73&lt;&gt;"",U73,IF(K73&gt;=Umbrales!$B$2,"Legendaria",IF(K73&gt;=Umbrales!$B$3,"Épica",IF(K73&gt;=Umbrales!$B$4,"Rara",IF(K73&gt;=Umbrales!$B$5,"Poco común","Común")))))</f>
        <v/>
      </c>
      <c r="M73" s="5" t="n">
        <v>7260459.237376</v>
      </c>
      <c r="N73" s="5" t="n">
        <v>1992718.024704</v>
      </c>
      <c r="O73" s="5">
        <f>IF(M73="","",M73*J73)</f>
        <v/>
      </c>
      <c r="P73" s="5">
        <f>IF(N73="","",N73*J73)</f>
        <v/>
      </c>
      <c r="Q73" s="7" t="n">
        <v>0.0276</v>
      </c>
      <c r="R73" s="8" t="n">
        <v>14.433121</v>
      </c>
      <c r="S73" s="4" t="inlineStr">
        <is>
          <t>ASIA_TOP</t>
        </is>
      </c>
      <c r="T73" s="9" t="inlineStr">
        <is>
          <t>SI</t>
        </is>
      </c>
      <c r="U73" s="9" t="inlineStr"/>
      <c r="V73" s="10">
        <f>Umbrales!$B$9*(K73/1000)^Umbrales!$B$10</f>
        <v/>
      </c>
    </row>
    <row r="74">
      <c r="A74" s="4" t="inlineStr">
        <is>
          <t>WFC</t>
        </is>
      </c>
      <c r="B74" s="4" t="inlineStr">
        <is>
          <t>Wells Fargo &amp; Company</t>
        </is>
      </c>
      <c r="C74" s="4" t="inlineStr">
        <is>
          <t>United States</t>
        </is>
      </c>
      <c r="D74" s="4" t="inlineStr">
        <is>
          <t>US</t>
        </is>
      </c>
      <c r="E74" s="4" t="inlineStr">
        <is>
          <t>Finanzas</t>
        </is>
      </c>
      <c r="F74" s="4" t="inlineStr">
        <is>
          <t>Banks - Diversified</t>
        </is>
      </c>
      <c r="G74" s="4" t="inlineStr">
        <is>
          <t>NYQ</t>
        </is>
      </c>
      <c r="H74" s="4" t="inlineStr">
        <is>
          <t>USD</t>
        </is>
      </c>
      <c r="I74" s="5" t="n">
        <v>242832.5888</v>
      </c>
      <c r="J74" s="6">
        <f>INDEX(FX!$B:$B,MATCH(H74,FX!$A:$A,0))</f>
        <v/>
      </c>
      <c r="K74" s="5">
        <f>I74*J74</f>
        <v/>
      </c>
      <c r="L74" s="4">
        <f>IF(U74&lt;&gt;"",U74,IF(K74&gt;=Umbrales!$B$2,"Legendaria",IF(K74&gt;=Umbrales!$B$3,"Épica",IF(K74&gt;=Umbrales!$B$4,"Rara",IF(K74&gt;=Umbrales!$B$5,"Poco común","Común")))))</f>
        <v/>
      </c>
      <c r="M74" s="5" t="n">
        <v>83026.00192</v>
      </c>
      <c r="N74" s="5" t="n">
        <v>21614.999552</v>
      </c>
      <c r="O74" s="5">
        <f>IF(M74="","",M74*J74)</f>
        <v/>
      </c>
      <c r="P74" s="5">
        <f>IF(N74="","",N74*J74)</f>
        <v/>
      </c>
      <c r="Q74" s="7" t="n">
        <v>0.024</v>
      </c>
      <c r="R74" s="8" t="n">
        <v>11.758721</v>
      </c>
      <c r="S74" s="4" t="inlineStr">
        <is>
          <t>SP500</t>
        </is>
      </c>
      <c r="T74" s="9" t="inlineStr">
        <is>
          <t>SI</t>
        </is>
      </c>
      <c r="U74" s="9" t="inlineStr"/>
      <c r="V74" s="10">
        <f>Umbrales!$B$9*(K74/1000)^Umbrales!$B$10</f>
        <v/>
      </c>
    </row>
    <row r="75">
      <c r="A75" s="4" t="inlineStr">
        <is>
          <t>OR.PA</t>
        </is>
      </c>
      <c r="B75" s="4" t="inlineStr">
        <is>
          <t>L'Oréal S.A.</t>
        </is>
      </c>
      <c r="C75" s="4" t="inlineStr">
        <is>
          <t>France</t>
        </is>
      </c>
      <c r="D75" s="4" t="inlineStr">
        <is>
          <t>FR</t>
        </is>
      </c>
      <c r="E75" s="4" t="inlineStr">
        <is>
          <t>Consumo básico</t>
        </is>
      </c>
      <c r="F75" s="4" t="inlineStr">
        <is>
          <t>Household &amp; Personal Products</t>
        </is>
      </c>
      <c r="G75" s="4" t="inlineStr">
        <is>
          <t>PAR</t>
        </is>
      </c>
      <c r="H75" s="4" t="inlineStr">
        <is>
          <t>EUR</t>
        </is>
      </c>
      <c r="I75" s="5" t="n">
        <v>212533.772288</v>
      </c>
      <c r="J75" s="6">
        <f>INDEX(FX!$B:$B,MATCH(H75,FX!$A:$A,0))</f>
        <v/>
      </c>
      <c r="K75" s="5">
        <f>I75*J75</f>
        <v/>
      </c>
      <c r="L75" s="4">
        <f>IF(U75&lt;&gt;"",U75,IF(K75&gt;=Umbrales!$B$2,"Legendaria",IF(K75&gt;=Umbrales!$B$3,"Épica",IF(K75&gt;=Umbrales!$B$4,"Rara",IF(K75&gt;=Umbrales!$B$5,"Poco común","Común")))))</f>
        <v/>
      </c>
      <c r="M75" s="5" t="n">
        <v>45354.799104</v>
      </c>
      <c r="N75" s="5" t="n">
        <v>6306.299904</v>
      </c>
      <c r="O75" s="5">
        <f>IF(M75="","",M75*J75)</f>
        <v/>
      </c>
      <c r="P75" s="5">
        <f>IF(N75="","",N75*J75)</f>
        <v/>
      </c>
      <c r="Q75" s="7" t="n">
        <v>0.0186</v>
      </c>
      <c r="R75" s="8" t="n">
        <v>33.887947</v>
      </c>
      <c r="S75" s="4" t="inlineStr">
        <is>
          <t>CAC40, EUROSTOXX50</t>
        </is>
      </c>
      <c r="T75" s="9" t="inlineStr">
        <is>
          <t>SI</t>
        </is>
      </c>
      <c r="U75" s="9" t="inlineStr"/>
      <c r="V75" s="10">
        <f>Umbrales!$B$9*(K75/1000)^Umbrales!$B$10</f>
        <v/>
      </c>
    </row>
    <row r="76">
      <c r="A76" s="4" t="inlineStr">
        <is>
          <t>0857.HK</t>
        </is>
      </c>
      <c r="B76" s="4" t="inlineStr">
        <is>
          <t>PetroChina Company Limited</t>
        </is>
      </c>
      <c r="C76" s="4" t="inlineStr">
        <is>
          <t>China</t>
        </is>
      </c>
      <c r="D76" s="4" t="inlineStr">
        <is>
          <t>CN</t>
        </is>
      </c>
      <c r="E76" s="4" t="inlineStr">
        <is>
          <t>Energía</t>
        </is>
      </c>
      <c r="F76" s="4" t="inlineStr">
        <is>
          <t>Oil &amp; Gas Integrated</t>
        </is>
      </c>
      <c r="G76" s="4" t="inlineStr">
        <is>
          <t>HKG</t>
        </is>
      </c>
      <c r="H76" s="4" t="inlineStr">
        <is>
          <t>HKD</t>
        </is>
      </c>
      <c r="I76" s="5" t="n">
        <v>1844851.5072</v>
      </c>
      <c r="J76" s="6">
        <f>INDEX(FX!$B:$B,MATCH(H76,FX!$A:$A,0))</f>
        <v/>
      </c>
      <c r="K76" s="5">
        <f>I76*J76</f>
        <v/>
      </c>
      <c r="L76" s="4">
        <f>IF(U76&lt;&gt;"",U76,IF(K76&gt;=Umbrales!$B$2,"Legendaria",IF(K76&gt;=Umbrales!$B$3,"Épica",IF(K76&gt;=Umbrales!$B$4,"Rara",IF(K76&gt;=Umbrales!$B$5,"Poco común","Común")))))</f>
        <v/>
      </c>
      <c r="M76" s="5" t="n">
        <v>2941939.089408</v>
      </c>
      <c r="N76" s="5" t="n">
        <v>176069.001216</v>
      </c>
      <c r="O76" s="5">
        <f>IF(M76="","",M76*J76)</f>
        <v/>
      </c>
      <c r="P76" s="5">
        <f>IF(N76="","",N76*J76)</f>
        <v/>
      </c>
      <c r="Q76" s="7" t="n">
        <v>0.0581</v>
      </c>
      <c r="R76" s="8" t="n">
        <v>9.333333</v>
      </c>
      <c r="S76" s="4" t="inlineStr">
        <is>
          <t>HANGSENG</t>
        </is>
      </c>
      <c r="T76" s="9" t="inlineStr">
        <is>
          <t>SI</t>
        </is>
      </c>
      <c r="U76" s="9" t="inlineStr"/>
      <c r="V76" s="10">
        <f>Umbrales!$B$9*(K76/1000)^Umbrales!$B$10</f>
        <v/>
      </c>
    </row>
    <row r="77">
      <c r="A77" s="4" t="inlineStr">
        <is>
          <t>KLAC</t>
        </is>
      </c>
      <c r="B77" s="4" t="inlineStr">
        <is>
          <t>KLA Corporation</t>
        </is>
      </c>
      <c r="C77" s="4" t="inlineStr">
        <is>
          <t>United States</t>
        </is>
      </c>
      <c r="D77" s="4" t="inlineStr">
        <is>
          <t>US</t>
        </is>
      </c>
      <c r="E77" s="4" t="inlineStr">
        <is>
          <t>Tecnología</t>
        </is>
      </c>
      <c r="F77" s="4" t="inlineStr">
        <is>
          <t>Semiconductor Equipment &amp; Materials</t>
        </is>
      </c>
      <c r="G77" s="4" t="inlineStr">
        <is>
          <t>NMS</t>
        </is>
      </c>
      <c r="H77" s="4" t="inlineStr">
        <is>
          <t>USD</t>
        </is>
      </c>
      <c r="I77" s="5" t="n">
        <v>233348.202496</v>
      </c>
      <c r="J77" s="6">
        <f>INDEX(FX!$B:$B,MATCH(H77,FX!$A:$A,0))</f>
        <v/>
      </c>
      <c r="K77" s="5">
        <f>I77*J77</f>
        <v/>
      </c>
      <c r="L77" s="4">
        <f>IF(U77&lt;&gt;"",U77,IF(K77&gt;=Umbrales!$B$2,"Legendaria",IF(K77&gt;=Umbrales!$B$3,"Épica",IF(K77&gt;=Umbrales!$B$4,"Rara",IF(K77&gt;=Umbrales!$B$5,"Poco común","Común")))))</f>
        <v/>
      </c>
      <c r="M77" s="5" t="n">
        <v>13579.475968</v>
      </c>
      <c r="N77" s="5" t="n">
        <v>4830.7712</v>
      </c>
      <c r="O77" s="5">
        <f>IF(M77="","",M77*J77)</f>
        <v/>
      </c>
      <c r="P77" s="5">
        <f>IF(N77="","",N77*J77)</f>
        <v/>
      </c>
      <c r="Q77" s="7" t="n">
        <v>0.005</v>
      </c>
      <c r="R77" s="8" t="n">
        <v>50.227528</v>
      </c>
      <c r="S77" s="4" t="inlineStr">
        <is>
          <t>NASDAQ100, SP500</t>
        </is>
      </c>
      <c r="T77" s="9" t="inlineStr">
        <is>
          <t>SI</t>
        </is>
      </c>
      <c r="U77" s="9" t="inlineStr"/>
      <c r="V77" s="10">
        <f>Umbrales!$B$9*(K77/1000)^Umbrales!$B$10</f>
        <v/>
      </c>
    </row>
    <row r="78">
      <c r="A78" s="4" t="inlineStr">
        <is>
          <t>AMGN</t>
        </is>
      </c>
      <c r="B78" s="4" t="inlineStr">
        <is>
          <t>Amgen Inc.</t>
        </is>
      </c>
      <c r="C78" s="4" t="inlineStr">
        <is>
          <t>United States</t>
        </is>
      </c>
      <c r="D78" s="4" t="inlineStr">
        <is>
          <t>US</t>
        </is>
      </c>
      <c r="E78" s="4" t="inlineStr">
        <is>
          <t>Salud</t>
        </is>
      </c>
      <c r="F78" s="4" t="inlineStr">
        <is>
          <t>Drug Manufacturers - General</t>
        </is>
      </c>
      <c r="G78" s="4" t="inlineStr">
        <is>
          <t>NMS</t>
        </is>
      </c>
      <c r="H78" s="4" t="inlineStr">
        <is>
          <t>USD</t>
        </is>
      </c>
      <c r="I78" s="5" t="n">
        <v>230368.690176</v>
      </c>
      <c r="J78" s="6">
        <f>INDEX(FX!$B:$B,MATCH(H78,FX!$A:$A,0))</f>
        <v/>
      </c>
      <c r="K78" s="5">
        <f>I78*J78</f>
        <v/>
      </c>
      <c r="L78" s="4">
        <f>IF(U78&lt;&gt;"",U78,IF(K78&gt;=Umbrales!$B$2,"Legendaria",IF(K78&gt;=Umbrales!$B$3,"Épica",IF(K78&gt;=Umbrales!$B$4,"Rara",IF(K78&gt;=Umbrales!$B$5,"Poco común","Común")))))</f>
        <v/>
      </c>
      <c r="M78" s="5" t="n">
        <v>38094.999552</v>
      </c>
      <c r="N78" s="5" t="n">
        <v>8743.000064</v>
      </c>
      <c r="O78" s="5">
        <f>IF(M78="","",M78*J78)</f>
        <v/>
      </c>
      <c r="P78" s="5">
        <f>IF(N78="","",N78*J78)</f>
        <v/>
      </c>
      <c r="Q78" s="7" t="n">
        <v>0.0244</v>
      </c>
      <c r="R78" s="8" t="n">
        <v>25.638386</v>
      </c>
      <c r="S78" s="4" t="inlineStr">
        <is>
          <t>DOW30, NASDAQ100, SP500</t>
        </is>
      </c>
      <c r="T78" s="9" t="inlineStr">
        <is>
          <t>SI</t>
        </is>
      </c>
      <c r="U78" s="9" t="inlineStr"/>
      <c r="V78" s="10">
        <f>Umbrales!$B$9*(K78/1000)^Umbrales!$B$10</f>
        <v/>
      </c>
    </row>
    <row r="79">
      <c r="A79" s="4" t="inlineStr">
        <is>
          <t>SIE.DE</t>
        </is>
      </c>
      <c r="B79" s="4" t="inlineStr">
        <is>
          <t>Siemens Aktiengesellschaft</t>
        </is>
      </c>
      <c r="C79" s="4" t="inlineStr">
        <is>
          <t>Germany</t>
        </is>
      </c>
      <c r="D79" s="4" t="inlineStr">
        <is>
          <t>DE</t>
        </is>
      </c>
      <c r="E79" s="4" t="inlineStr">
        <is>
          <t>Industria</t>
        </is>
      </c>
      <c r="F79" s="4" t="inlineStr">
        <is>
          <t>Specialty Industrial Machinery</t>
        </is>
      </c>
      <c r="G79" s="4" t="inlineStr">
        <is>
          <t>GER</t>
        </is>
      </c>
      <c r="H79" s="4" t="inlineStr">
        <is>
          <t>EUR</t>
        </is>
      </c>
      <c r="I79" s="5" t="n">
        <v>204684.836864</v>
      </c>
      <c r="J79" s="6">
        <f>INDEX(FX!$B:$B,MATCH(H79,FX!$A:$A,0))</f>
        <v/>
      </c>
      <c r="K79" s="5">
        <f>I79*J79</f>
        <v/>
      </c>
      <c r="L79" s="4">
        <f>IF(U79&lt;&gt;"",U79,IF(K79&gt;=Umbrales!$B$2,"Legendaria",IF(K79&gt;=Umbrales!$B$3,"Épica",IF(K79&gt;=Umbrales!$B$4,"Rara",IF(K79&gt;=Umbrales!$B$5,"Poco común","Común")))))</f>
        <v/>
      </c>
      <c r="M79" s="5" t="n">
        <v>81113.99731200001</v>
      </c>
      <c r="N79" s="5" t="n">
        <v>7870.000128</v>
      </c>
      <c r="O79" s="5">
        <f>IF(M79="","",M79*J79)</f>
        <v/>
      </c>
      <c r="P79" s="5">
        <f>IF(N79="","",N79*J79)</f>
        <v/>
      </c>
      <c r="Q79" s="7" t="n">
        <v>0.0197</v>
      </c>
      <c r="R79" s="8" t="n">
        <v>26.422924</v>
      </c>
      <c r="S79" s="4" t="inlineStr">
        <is>
          <t>DAX40, EUROSTOXX50</t>
        </is>
      </c>
      <c r="T79" s="9" t="inlineStr">
        <is>
          <t>SI</t>
        </is>
      </c>
      <c r="U79" s="9" t="inlineStr"/>
      <c r="V79" s="10">
        <f>Umbrales!$B$9*(K79/1000)^Umbrales!$B$10</f>
        <v/>
      </c>
    </row>
    <row r="80">
      <c r="A80" s="4" t="inlineStr">
        <is>
          <t>LIN</t>
        </is>
      </c>
      <c r="B80" s="4" t="inlineStr">
        <is>
          <t>Linde plc</t>
        </is>
      </c>
      <c r="C80" s="4" t="inlineStr">
        <is>
          <t>United Kingdom</t>
        </is>
      </c>
      <c r="D80" s="4" t="inlineStr">
        <is>
          <t>GB</t>
        </is>
      </c>
      <c r="E80" s="4" t="inlineStr">
        <is>
          <t>Materiales</t>
        </is>
      </c>
      <c r="F80" s="4" t="inlineStr">
        <is>
          <t>Specialty Chemicals</t>
        </is>
      </c>
      <c r="G80" s="4" t="inlineStr">
        <is>
          <t>NMS</t>
        </is>
      </c>
      <c r="H80" s="4" t="inlineStr">
        <is>
          <t>USD</t>
        </is>
      </c>
      <c r="I80" s="5" t="n">
        <v>227124.936704</v>
      </c>
      <c r="J80" s="6">
        <f>INDEX(FX!$B:$B,MATCH(H80,FX!$A:$A,0))</f>
        <v/>
      </c>
      <c r="K80" s="5">
        <f>I80*J80</f>
        <v/>
      </c>
      <c r="L80" s="4">
        <f>IF(U80&lt;&gt;"",U80,IF(K80&gt;=Umbrales!$B$2,"Legendaria",IF(K80&gt;=Umbrales!$B$3,"Épica",IF(K80&gt;=Umbrales!$B$4,"Rara",IF(K80&gt;=Umbrales!$B$5,"Poco común","Común")))))</f>
        <v/>
      </c>
      <c r="M80" s="5" t="n">
        <v>35448.999936</v>
      </c>
      <c r="N80" s="5" t="n">
        <v>7244.000256</v>
      </c>
      <c r="O80" s="5">
        <f>IF(M80="","",M80*J80)</f>
        <v/>
      </c>
      <c r="P80" s="5">
        <f>IF(N80="","",N80*J80)</f>
        <v/>
      </c>
      <c r="Q80" s="7" t="n">
        <v>0.013</v>
      </c>
      <c r="R80" s="8" t="n">
        <v>31.766602</v>
      </c>
      <c r="S80" s="4" t="inlineStr">
        <is>
          <t>NASDAQ100, SP500</t>
        </is>
      </c>
      <c r="T80" s="9" t="inlineStr">
        <is>
          <t>SI</t>
        </is>
      </c>
      <c r="U80" s="9" t="inlineStr"/>
      <c r="V80" s="10">
        <f>Umbrales!$B$9*(K80/1000)^Umbrales!$B$10</f>
        <v/>
      </c>
    </row>
    <row r="81">
      <c r="A81" s="4" t="inlineStr">
        <is>
          <t>7203.T</t>
        </is>
      </c>
      <c r="B81" s="4" t="inlineStr">
        <is>
          <t>Toyota Motor Corporation</t>
        </is>
      </c>
      <c r="C81" s="4" t="inlineStr">
        <is>
          <t>Japan</t>
        </is>
      </c>
      <c r="D81" s="4" t="inlineStr">
        <is>
          <t>JP</t>
        </is>
      </c>
      <c r="E81" s="4" t="inlineStr">
        <is>
          <t>Consumo cíclico</t>
        </is>
      </c>
      <c r="F81" s="4" t="inlineStr">
        <is>
          <t>Auto Manufacturers</t>
        </is>
      </c>
      <c r="G81" s="4" t="inlineStr">
        <is>
          <t>JPX</t>
        </is>
      </c>
      <c r="H81" s="4" t="inlineStr">
        <is>
          <t>JPY</t>
        </is>
      </c>
      <c r="I81" s="5" t="n">
        <v>35675759.968256</v>
      </c>
      <c r="J81" s="6">
        <f>INDEX(FX!$B:$B,MATCH(H81,FX!$A:$A,0))</f>
        <v/>
      </c>
      <c r="K81" s="5">
        <f>I81*J81</f>
        <v/>
      </c>
      <c r="L81" s="4">
        <f>IF(U81&lt;&gt;"",U81,IF(K81&gt;=Umbrales!$B$2,"Legendaria",IF(K81&gt;=Umbrales!$B$3,"Épica",IF(K81&gt;=Umbrales!$B$4,"Rara",IF(K81&gt;=Umbrales!$B$5,"Poco común","Común")))))</f>
        <v/>
      </c>
      <c r="M81" s="5" t="n">
        <v>51957024.68608</v>
      </c>
      <c r="N81" s="5" t="n">
        <v>4483796.959232</v>
      </c>
      <c r="O81" s="5">
        <f>IF(M81="","",M81*J81)</f>
        <v/>
      </c>
      <c r="P81" s="5">
        <f>IF(N81="","",N81*J81)</f>
        <v/>
      </c>
      <c r="Q81" s="7" t="n">
        <v>0.0332</v>
      </c>
      <c r="R81" s="8" t="n">
        <v>8.620297000000001</v>
      </c>
      <c r="S81" s="4" t="inlineStr">
        <is>
          <t>ASIA_TOP</t>
        </is>
      </c>
      <c r="T81" s="9" t="inlineStr">
        <is>
          <t>SI</t>
        </is>
      </c>
      <c r="U81" s="9" t="inlineStr"/>
      <c r="V81" s="10">
        <f>Umbrales!$B$9*(K81/1000)^Umbrales!$B$10</f>
        <v/>
      </c>
    </row>
    <row r="82">
      <c r="A82" s="4" t="inlineStr">
        <is>
          <t>0941.HK</t>
        </is>
      </c>
      <c r="B82" s="4" t="inlineStr">
        <is>
          <t>China Mobile Limited</t>
        </is>
      </c>
      <c r="C82" s="4" t="inlineStr">
        <is>
          <t>Hong Kong</t>
        </is>
      </c>
      <c r="D82" s="4" t="inlineStr">
        <is>
          <t>HK</t>
        </is>
      </c>
      <c r="E82" s="4" t="inlineStr">
        <is>
          <t>Comunicación</t>
        </is>
      </c>
      <c r="F82" s="4" t="inlineStr">
        <is>
          <t>Telecom Services</t>
        </is>
      </c>
      <c r="G82" s="4" t="inlineStr">
        <is>
          <t>HKG</t>
        </is>
      </c>
      <c r="H82" s="4" t="inlineStr">
        <is>
          <t>HKD</t>
        </is>
      </c>
      <c r="I82" s="5" t="n">
        <v>1756379.348992</v>
      </c>
      <c r="J82" s="6">
        <f>INDEX(FX!$B:$B,MATCH(H82,FX!$A:$A,0))</f>
        <v/>
      </c>
      <c r="K82" s="5">
        <f>I82*J82</f>
        <v/>
      </c>
      <c r="L82" s="4">
        <f>IF(U82&lt;&gt;"",U82,IF(K82&gt;=Umbrales!$B$2,"Legendaria",IF(K82&gt;=Umbrales!$B$3,"Épica",IF(K82&gt;=Umbrales!$B$4,"Rara",IF(K82&gt;=Umbrales!$B$5,"Poco común","Común")))))</f>
        <v/>
      </c>
      <c r="M82" s="5" t="n">
        <v>1044452.999168</v>
      </c>
      <c r="N82" s="5" t="n">
        <v>131794.00192</v>
      </c>
      <c r="O82" s="5">
        <f>IF(M82="","",M82*J82)</f>
        <v/>
      </c>
      <c r="P82" s="5">
        <f>IF(N82="","",N82*J82)</f>
        <v/>
      </c>
      <c r="Q82" s="7" t="n">
        <v>0.067</v>
      </c>
      <c r="R82" s="8" t="n">
        <v>12</v>
      </c>
      <c r="S82" s="4" t="inlineStr">
        <is>
          <t>ASIA_TOP, HANGSENG</t>
        </is>
      </c>
      <c r="T82" s="9" t="inlineStr">
        <is>
          <t>SI</t>
        </is>
      </c>
      <c r="U82" s="9" t="inlineStr"/>
      <c r="V82" s="10">
        <f>Umbrales!$B$9*(K82/1000)^Umbrales!$B$10</f>
        <v/>
      </c>
    </row>
    <row r="83">
      <c r="A83" s="4" t="inlineStr">
        <is>
          <t>SHOP</t>
        </is>
      </c>
      <c r="B83" s="4" t="inlineStr">
        <is>
          <t>Shopify Inc.</t>
        </is>
      </c>
      <c r="C83" s="4" t="inlineStr">
        <is>
          <t>Canada</t>
        </is>
      </c>
      <c r="D83" s="4" t="inlineStr">
        <is>
          <t>CA</t>
        </is>
      </c>
      <c r="E83" s="4" t="inlineStr">
        <is>
          <t>Tecnología</t>
        </is>
      </c>
      <c r="F83" s="4" t="inlineStr">
        <is>
          <t>Software - Application</t>
        </is>
      </c>
      <c r="G83" s="4" t="inlineStr">
        <is>
          <t>NMS</t>
        </is>
      </c>
      <c r="H83" s="4" t="inlineStr">
        <is>
          <t>USD</t>
        </is>
      </c>
      <c r="I83" s="5" t="n">
        <v>221946.085376</v>
      </c>
      <c r="J83" s="6">
        <f>INDEX(FX!$B:$B,MATCH(H83,FX!$A:$A,0))</f>
        <v/>
      </c>
      <c r="K83" s="5">
        <f>I83*J83</f>
        <v/>
      </c>
      <c r="L83" s="4">
        <f>IF(U83&lt;&gt;"",U83,IF(K83&gt;=Umbrales!$B$2,"Legendaria",IF(K83&gt;=Umbrales!$B$3,"Épica",IF(K83&gt;=Umbrales!$B$4,"Rara",IF(K83&gt;=Umbrales!$B$5,"Poco común","Común")))))</f>
        <v/>
      </c>
      <c r="M83" s="5" t="n">
        <v>13269.000192</v>
      </c>
      <c r="N83" s="5" t="n">
        <v>1928</v>
      </c>
      <c r="O83" s="5">
        <f>IF(M83="","",M83*J83)</f>
        <v/>
      </c>
      <c r="P83" s="5">
        <f>IF(N83="","",N83*J83)</f>
        <v/>
      </c>
      <c r="Q83" s="7" t="n">
        <v>0</v>
      </c>
      <c r="R83" s="8" t="n">
        <v>118.965515</v>
      </c>
      <c r="S83" s="4" t="inlineStr">
        <is>
          <t>NASDAQ100</t>
        </is>
      </c>
      <c r="T83" s="9" t="inlineStr">
        <is>
          <t>SI</t>
        </is>
      </c>
      <c r="U83" s="9" t="inlineStr"/>
      <c r="V83" s="10">
        <f>Umbrales!$B$9*(K83/1000)^Umbrales!$B$10</f>
        <v/>
      </c>
    </row>
    <row r="84">
      <c r="A84" s="4" t="inlineStr">
        <is>
          <t>SHOP.TO</t>
        </is>
      </c>
      <c r="B84" s="4" t="inlineStr">
        <is>
          <t>Shopify Inc.</t>
        </is>
      </c>
      <c r="C84" s="4" t="inlineStr">
        <is>
          <t>Canada</t>
        </is>
      </c>
      <c r="D84" s="4" t="inlineStr">
        <is>
          <t>CA</t>
        </is>
      </c>
      <c r="E84" s="4" t="inlineStr">
        <is>
          <t>Tecnología</t>
        </is>
      </c>
      <c r="F84" s="4" t="inlineStr">
        <is>
          <t>Software - Application</t>
        </is>
      </c>
      <c r="G84" s="4" t="inlineStr">
        <is>
          <t>TOR</t>
        </is>
      </c>
      <c r="H84" s="4" t="inlineStr">
        <is>
          <t>CAD</t>
        </is>
      </c>
      <c r="I84" s="5" t="n">
        <v>313838.206976</v>
      </c>
      <c r="J84" s="6">
        <f>INDEX(FX!$B:$B,MATCH(H84,FX!$A:$A,0))</f>
        <v/>
      </c>
      <c r="K84" s="5">
        <f>I84*J84</f>
        <v/>
      </c>
      <c r="L84" s="4">
        <f>IF(U84&lt;&gt;"",U84,IF(K84&gt;=Umbrales!$B$2,"Legendaria",IF(K84&gt;=Umbrales!$B$3,"Épica",IF(K84&gt;=Umbrales!$B$4,"Rara",IF(K84&gt;=Umbrales!$B$5,"Poco común","Común")))))</f>
        <v/>
      </c>
      <c r="M84" s="5" t="n">
        <v>13269.000192</v>
      </c>
      <c r="N84" s="5" t="n">
        <v>1928</v>
      </c>
      <c r="O84" s="5">
        <f>IF(M84="","",M84*J84)</f>
        <v/>
      </c>
      <c r="P84" s="5">
        <f>IF(N84="","",N84*J84)</f>
        <v/>
      </c>
      <c r="Q84" s="7" t="n">
        <v>0</v>
      </c>
      <c r="R84" s="8" t="n">
        <v>121.96</v>
      </c>
      <c r="S84" s="4" t="inlineStr">
        <is>
          <t>TSX60</t>
        </is>
      </c>
      <c r="T84" s="9" t="inlineStr">
        <is>
          <t>SI</t>
        </is>
      </c>
      <c r="U84" s="9" t="inlineStr"/>
      <c r="V84" s="10">
        <f>Umbrales!$B$9*(K84/1000)^Umbrales!$B$10</f>
        <v/>
      </c>
    </row>
    <row r="85">
      <c r="A85" s="4" t="inlineStr">
        <is>
          <t>MRVL</t>
        </is>
      </c>
      <c r="B85" s="4" t="inlineStr">
        <is>
          <t>Marvell Technology, Inc.</t>
        </is>
      </c>
      <c r="C85" s="4" t="inlineStr">
        <is>
          <t>United States</t>
        </is>
      </c>
      <c r="D85" s="4" t="inlineStr">
        <is>
          <t>US</t>
        </is>
      </c>
      <c r="E85" s="4" t="inlineStr">
        <is>
          <t>Tecnología</t>
        </is>
      </c>
      <c r="F85" s="4" t="inlineStr">
        <is>
          <t>Semiconductors</t>
        </is>
      </c>
      <c r="G85" s="4" t="inlineStr">
        <is>
          <t>NMS</t>
        </is>
      </c>
      <c r="H85" s="4" t="inlineStr">
        <is>
          <t>USD</t>
        </is>
      </c>
      <c r="I85" s="5" t="n">
        <v>220434.26816</v>
      </c>
      <c r="J85" s="6">
        <f>INDEX(FX!$B:$B,MATCH(H85,FX!$A:$A,0))</f>
        <v/>
      </c>
      <c r="K85" s="5">
        <f>I85*J85</f>
        <v/>
      </c>
      <c r="L85" s="4">
        <f>IF(U85&lt;&gt;"",U85,IF(K85&gt;=Umbrales!$B$2,"Legendaria",IF(K85&gt;=Umbrales!$B$3,"Épica",IF(K85&gt;=Umbrales!$B$4,"Rara",IF(K85&gt;=Umbrales!$B$5,"Poco común","Común")))))</f>
        <v/>
      </c>
      <c r="M85" s="5" t="n">
        <v>9450.300416</v>
      </c>
      <c r="N85" s="5" t="n">
        <v>2639.899904</v>
      </c>
      <c r="O85" s="5">
        <f>IF(M85="","",M85*J85)</f>
        <v/>
      </c>
      <c r="P85" s="5">
        <f>IF(N85="","",N85*J85)</f>
        <v/>
      </c>
      <c r="Q85" s="7" t="n">
        <v>0.0009</v>
      </c>
      <c r="R85" s="8" t="n">
        <v>77.86666</v>
      </c>
      <c r="S85" s="4" t="inlineStr">
        <is>
          <t>NASDAQ100, SP500</t>
        </is>
      </c>
      <c r="T85" s="9" t="inlineStr">
        <is>
          <t>SI</t>
        </is>
      </c>
      <c r="U85" s="9" t="inlineStr"/>
      <c r="V85" s="10">
        <f>Umbrales!$B$9*(K85/1000)^Umbrales!$B$10</f>
        <v/>
      </c>
    </row>
    <row r="86">
      <c r="A86" s="4" t="inlineStr">
        <is>
          <t>MC.PA</t>
        </is>
      </c>
      <c r="B86" s="4" t="inlineStr">
        <is>
          <t>LVMH Moët Hennessy - Louis Vuitton, Société Européenne</t>
        </is>
      </c>
      <c r="C86" s="4" t="inlineStr">
        <is>
          <t>France</t>
        </is>
      </c>
      <c r="D86" s="4" t="inlineStr">
        <is>
          <t>FR</t>
        </is>
      </c>
      <c r="E86" s="4" t="inlineStr">
        <is>
          <t>Consumo cíclico</t>
        </is>
      </c>
      <c r="F86" s="4" t="inlineStr">
        <is>
          <t>Luxury Goods</t>
        </is>
      </c>
      <c r="G86" s="4" t="inlineStr">
        <is>
          <t>PAR</t>
        </is>
      </c>
      <c r="H86" s="4" t="inlineStr">
        <is>
          <t>EUR</t>
        </is>
      </c>
      <c r="I86" s="5" t="n">
        <v>194006.450176</v>
      </c>
      <c r="J86" s="6">
        <f>INDEX(FX!$B:$B,MATCH(H86,FX!$A:$A,0))</f>
        <v/>
      </c>
      <c r="K86" s="5">
        <f>I86*J86</f>
        <v/>
      </c>
      <c r="L86" s="4">
        <f>IF(U86&lt;&gt;"",U86,IF(K86&gt;=Umbrales!$B$2,"Legendaria",IF(K86&gt;=Umbrales!$B$3,"Épica",IF(K86&gt;=Umbrales!$B$4,"Rara",IF(K86&gt;=Umbrales!$B$5,"Poco común","Común")))))</f>
        <v/>
      </c>
      <c r="M86" s="5" t="n">
        <v>79641.001984</v>
      </c>
      <c r="N86" s="5" t="n">
        <v>10876.99968</v>
      </c>
      <c r="O86" s="5">
        <f>IF(M86="","",M86*J86)</f>
        <v/>
      </c>
      <c r="P86" s="5">
        <f>IF(N86="","",N86*J86)</f>
        <v/>
      </c>
      <c r="Q86" s="7" t="n">
        <v>0.0339</v>
      </c>
      <c r="R86" s="8" t="n">
        <v>17.937555</v>
      </c>
      <c r="S86" s="4" t="inlineStr">
        <is>
          <t>CAC40, EUROSTOXX50</t>
        </is>
      </c>
      <c r="T86" s="9" t="inlineStr">
        <is>
          <t>SI</t>
        </is>
      </c>
      <c r="U86" s="9" t="inlineStr"/>
      <c r="V86" s="10">
        <f>Umbrales!$B$9*(K86/1000)^Umbrales!$B$10</f>
        <v/>
      </c>
    </row>
    <row r="87">
      <c r="A87" s="4" t="inlineStr">
        <is>
          <t>IBM</t>
        </is>
      </c>
      <c r="B87" s="4" t="inlineStr">
        <is>
          <t>International Business Machines Corporation</t>
        </is>
      </c>
      <c r="C87" s="4" t="inlineStr">
        <is>
          <t>United States</t>
        </is>
      </c>
      <c r="D87" s="4" t="inlineStr">
        <is>
          <t>US</t>
        </is>
      </c>
      <c r="E87" s="4" t="inlineStr">
        <is>
          <t>Tecnología</t>
        </is>
      </c>
      <c r="F87" s="4" t="inlineStr">
        <is>
          <t>Information Technology Services</t>
        </is>
      </c>
      <c r="G87" s="4" t="inlineStr">
        <is>
          <t>NYQ</t>
        </is>
      </c>
      <c r="H87" s="4" t="inlineStr">
        <is>
          <t>USD</t>
        </is>
      </c>
      <c r="I87" s="5" t="n">
        <v>214693.593088</v>
      </c>
      <c r="J87" s="6">
        <f>INDEX(FX!$B:$B,MATCH(H87,FX!$A:$A,0))</f>
        <v/>
      </c>
      <c r="K87" s="5">
        <f>I87*J87</f>
        <v/>
      </c>
      <c r="L87" s="4">
        <f>IF(U87&lt;&gt;"",U87,IF(K87&gt;=Umbrales!$B$2,"Legendaria",IF(K87&gt;=Umbrales!$B$3,"Épica",IF(K87&gt;=Umbrales!$B$4,"Rara",IF(K87&gt;=Umbrales!$B$5,"Poco común","Común")))))</f>
        <v/>
      </c>
      <c r="M87" s="5" t="n">
        <v>69094.998016</v>
      </c>
      <c r="N87" s="5" t="n">
        <v>10705.000448</v>
      </c>
      <c r="O87" s="5">
        <f>IF(M87="","",M87*J87)</f>
        <v/>
      </c>
      <c r="P87" s="5">
        <f>IF(N87="","",N87*J87)</f>
        <v/>
      </c>
      <c r="Q87" s="7" t="n">
        <v>0.0293</v>
      </c>
      <c r="R87" s="8" t="n">
        <v>20.511251</v>
      </c>
      <c r="S87" s="4" t="inlineStr">
        <is>
          <t>DOW30, SP500</t>
        </is>
      </c>
      <c r="T87" s="9" t="inlineStr">
        <is>
          <t>SI</t>
        </is>
      </c>
      <c r="U87" s="9" t="inlineStr"/>
      <c r="V87" s="10">
        <f>Umbrales!$B$9*(K87/1000)^Umbrales!$B$10</f>
        <v/>
      </c>
    </row>
    <row r="88">
      <c r="A88" s="4" t="inlineStr">
        <is>
          <t>AXP</t>
        </is>
      </c>
      <c r="B88" s="4" t="inlineStr">
        <is>
          <t>American Express Company</t>
        </is>
      </c>
      <c r="C88" s="4" t="inlineStr">
        <is>
          <t>United States</t>
        </is>
      </c>
      <c r="D88" s="4" t="inlineStr">
        <is>
          <t>US</t>
        </is>
      </c>
      <c r="E88" s="4" t="inlineStr">
        <is>
          <t>Finanzas</t>
        </is>
      </c>
      <c r="F88" s="4" t="inlineStr">
        <is>
          <t>Credit Services</t>
        </is>
      </c>
      <c r="G88" s="4" t="inlineStr">
        <is>
          <t>NYQ</t>
        </is>
      </c>
      <c r="H88" s="4" t="inlineStr">
        <is>
          <t>USD</t>
        </is>
      </c>
      <c r="I88" s="5" t="n">
        <v>207286.35392</v>
      </c>
      <c r="J88" s="6">
        <f>INDEX(FX!$B:$B,MATCH(H88,FX!$A:$A,0))</f>
        <v/>
      </c>
      <c r="K88" s="5">
        <f>I88*J88</f>
        <v/>
      </c>
      <c r="L88" s="4">
        <f>IF(U88&lt;&gt;"",U88,IF(K88&gt;=Umbrales!$B$2,"Legendaria",IF(K88&gt;=Umbrales!$B$3,"Épica",IF(K88&gt;=Umbrales!$B$4,"Rara",IF(K88&gt;=Umbrales!$B$5,"Poco común","Común")))))</f>
        <v/>
      </c>
      <c r="M88" s="5" t="n">
        <v>70912.99942399999</v>
      </c>
      <c r="N88" s="5" t="n">
        <v>11310.999552</v>
      </c>
      <c r="O88" s="5">
        <f>IF(M88="","",M88*J88)</f>
        <v/>
      </c>
      <c r="P88" s="5">
        <f>IF(N88="","",N88*J88)</f>
        <v/>
      </c>
      <c r="Q88" s="7" t="n">
        <v>0.0123</v>
      </c>
      <c r="R88" s="8" t="n">
        <v>18.796694</v>
      </c>
      <c r="S88" s="4" t="inlineStr">
        <is>
          <t>DOW30, SP500</t>
        </is>
      </c>
      <c r="T88" s="9" t="inlineStr">
        <is>
          <t>SI</t>
        </is>
      </c>
      <c r="U88" s="9" t="inlineStr"/>
      <c r="V88" s="10">
        <f>Umbrales!$B$9*(K88/1000)^Umbrales!$B$10</f>
        <v/>
      </c>
    </row>
    <row r="89">
      <c r="A89" s="4" t="inlineStr">
        <is>
          <t>C</t>
        </is>
      </c>
      <c r="B89" s="4" t="inlineStr">
        <is>
          <t>Citigroup Inc.</t>
        </is>
      </c>
      <c r="C89" s="4" t="inlineStr">
        <is>
          <t>United States</t>
        </is>
      </c>
      <c r="D89" s="4" t="inlineStr">
        <is>
          <t>US</t>
        </is>
      </c>
      <c r="E89" s="4" t="inlineStr">
        <is>
          <t>Finanzas</t>
        </is>
      </c>
      <c r="F89" s="4" t="inlineStr">
        <is>
          <t>Banks - Diversified</t>
        </is>
      </c>
      <c r="G89" s="4" t="inlineStr">
        <is>
          <t>NYQ</t>
        </is>
      </c>
      <c r="H89" s="4" t="inlineStr">
        <is>
          <t>USD</t>
        </is>
      </c>
      <c r="I89" s="5" t="n">
        <v>205100.187648</v>
      </c>
      <c r="J89" s="6">
        <f>INDEX(FX!$B:$B,MATCH(H89,FX!$A:$A,0))</f>
        <v/>
      </c>
      <c r="K89" s="5">
        <f>I89*J89</f>
        <v/>
      </c>
      <c r="L89" s="4">
        <f>IF(U89&lt;&gt;"",U89,IF(K89&gt;=Umbrales!$B$2,"Legendaria",IF(K89&gt;=Umbrales!$B$3,"Épica",IF(K89&gt;=Umbrales!$B$4,"Rara",IF(K89&gt;=Umbrales!$B$5,"Poco común","Común")))))</f>
        <v/>
      </c>
      <c r="M89" s="5" t="n">
        <v>81711.99692799999</v>
      </c>
      <c r="N89" s="5" t="n">
        <v>16460.000256</v>
      </c>
      <c r="O89" s="5">
        <f>IF(M89="","",M89*J89)</f>
        <v/>
      </c>
      <c r="P89" s="5">
        <f>IF(N89="","",N89*J89)</f>
        <v/>
      </c>
      <c r="Q89" s="7" t="n">
        <v>0.0203</v>
      </c>
      <c r="R89" s="8" t="n">
        <v>12.142006</v>
      </c>
      <c r="S89" s="4" t="inlineStr">
        <is>
          <t>SP500</t>
        </is>
      </c>
      <c r="T89" s="9" t="inlineStr">
        <is>
          <t>SI</t>
        </is>
      </c>
      <c r="U89" s="9" t="inlineStr"/>
      <c r="V89" s="10">
        <f>Umbrales!$B$9*(K89/1000)^Umbrales!$B$10</f>
        <v/>
      </c>
    </row>
    <row r="90">
      <c r="A90" s="4" t="inlineStr">
        <is>
          <t>BHP.AX</t>
        </is>
      </c>
      <c r="B90" s="4" t="inlineStr">
        <is>
          <t>BHP Group Limited</t>
        </is>
      </c>
      <c r="C90" s="4" t="inlineStr">
        <is>
          <t>Australia</t>
        </is>
      </c>
      <c r="D90" s="4" t="inlineStr">
        <is>
          <t>AU</t>
        </is>
      </c>
      <c r="E90" s="4" t="inlineStr">
        <is>
          <t>Materiales</t>
        </is>
      </c>
      <c r="F90" s="4" t="inlineStr">
        <is>
          <t>Other Industrial Metals &amp; Mining</t>
        </is>
      </c>
      <c r="G90" s="4" t="inlineStr">
        <is>
          <t>ASX</t>
        </is>
      </c>
      <c r="H90" s="4" t="inlineStr">
        <is>
          <t>AUD</t>
        </is>
      </c>
      <c r="I90" s="5" t="n">
        <v>294811.303936</v>
      </c>
      <c r="J90" s="6">
        <f>INDEX(FX!$B:$B,MATCH(H90,FX!$A:$A,0))</f>
        <v/>
      </c>
      <c r="K90" s="5">
        <f>I90*J90</f>
        <v/>
      </c>
      <c r="L90" s="4">
        <f>IF(U90&lt;&gt;"",U90,IF(K90&gt;=Umbrales!$B$2,"Legendaria",IF(K90&gt;=Umbrales!$B$3,"Épica",IF(K90&gt;=Umbrales!$B$4,"Rara",IF(K90&gt;=Umbrales!$B$5,"Poco común","Común")))))</f>
        <v/>
      </c>
      <c r="M90" s="5" t="n">
        <v>58759.999488</v>
      </c>
      <c r="N90" s="5" t="n">
        <v>9832.999936</v>
      </c>
      <c r="O90" s="5">
        <f>IF(M90="","",M90*J90)</f>
        <v/>
      </c>
      <c r="P90" s="5">
        <f>IF(N90="","",N90*J90)</f>
        <v/>
      </c>
      <c r="Q90" s="7" t="n">
        <v>0.0397</v>
      </c>
      <c r="R90" s="8" t="n">
        <v>20.4947</v>
      </c>
      <c r="S90" s="4" t="inlineStr">
        <is>
          <t>ASIA_TOP, ASX50</t>
        </is>
      </c>
      <c r="T90" s="9" t="inlineStr">
        <is>
          <t>SI</t>
        </is>
      </c>
      <c r="U90" s="9" t="inlineStr"/>
      <c r="V90" s="10">
        <f>Umbrales!$B$9*(K90/1000)^Umbrales!$B$10</f>
        <v/>
      </c>
    </row>
    <row r="91">
      <c r="A91" s="4" t="inlineStr">
        <is>
          <t>APH</t>
        </is>
      </c>
      <c r="B91" s="4" t="inlineStr">
        <is>
          <t>Amphenol Corporation</t>
        </is>
      </c>
      <c r="C91" s="4" t="inlineStr">
        <is>
          <t>United States</t>
        </is>
      </c>
      <c r="D91" s="4" t="inlineStr">
        <is>
          <t>US</t>
        </is>
      </c>
      <c r="E91" s="4" t="inlineStr">
        <is>
          <t>Tecnología</t>
        </is>
      </c>
      <c r="F91" s="4" t="inlineStr">
        <is>
          <t>Electronic Components</t>
        </is>
      </c>
      <c r="G91" s="4" t="inlineStr">
        <is>
          <t>NYQ</t>
        </is>
      </c>
      <c r="H91" s="4" t="inlineStr">
        <is>
          <t>USD</t>
        </is>
      </c>
      <c r="I91" s="5" t="n">
        <v>203910.807552</v>
      </c>
      <c r="J91" s="6">
        <f>INDEX(FX!$B:$B,MATCH(H91,FX!$A:$A,0))</f>
        <v/>
      </c>
      <c r="K91" s="5">
        <f>I91*J91</f>
        <v/>
      </c>
      <c r="L91" s="4">
        <f>IF(U91&lt;&gt;"",U91,IF(K91&gt;=Umbrales!$B$2,"Legendaria",IF(K91&gt;=Umbrales!$B$3,"Épica",IF(K91&gt;=Umbrales!$B$4,"Rara",IF(K91&gt;=Umbrales!$B$5,"Poco común","Común")))))</f>
        <v/>
      </c>
      <c r="M91" s="5" t="n">
        <v>29011.59936</v>
      </c>
      <c r="N91" s="5" t="n">
        <v>5143.399936</v>
      </c>
      <c r="O91" s="5">
        <f>IF(M91="","",M91*J91)</f>
        <v/>
      </c>
      <c r="P91" s="5">
        <f>IF(N91="","",N91*J91)</f>
        <v/>
      </c>
      <c r="Q91" s="7" t="n">
        <v>0.0058</v>
      </c>
      <c r="R91" s="8" t="n">
        <v>42.844563</v>
      </c>
      <c r="S91" s="4" t="inlineStr">
        <is>
          <t>SP500</t>
        </is>
      </c>
      <c r="T91" s="9" t="inlineStr">
        <is>
          <t>SI</t>
        </is>
      </c>
      <c r="U91" s="9" t="inlineStr"/>
      <c r="V91" s="10">
        <f>Umbrales!$B$9*(K91/1000)^Umbrales!$B$10</f>
        <v/>
      </c>
    </row>
    <row r="92">
      <c r="A92" s="4" t="inlineStr">
        <is>
          <t>TTE.PA</t>
        </is>
      </c>
      <c r="B92" s="4" t="inlineStr">
        <is>
          <t>TotalEnergies SE</t>
        </is>
      </c>
      <c r="C92" s="4" t="inlineStr">
        <is>
          <t>France</t>
        </is>
      </c>
      <c r="D92" s="4" t="inlineStr">
        <is>
          <t>FR</t>
        </is>
      </c>
      <c r="E92" s="4" t="inlineStr">
        <is>
          <t>Energía</t>
        </is>
      </c>
      <c r="F92" s="4" t="inlineStr">
        <is>
          <t>Oil &amp; Gas Integrated</t>
        </is>
      </c>
      <c r="G92" s="4" t="inlineStr">
        <is>
          <t>PAR</t>
        </is>
      </c>
      <c r="H92" s="4" t="inlineStr">
        <is>
          <t>EUR</t>
        </is>
      </c>
      <c r="I92" s="5" t="n">
        <v>178282.463232</v>
      </c>
      <c r="J92" s="6">
        <f>INDEX(FX!$B:$B,MATCH(H92,FX!$A:$A,0))</f>
        <v/>
      </c>
      <c r="K92" s="5">
        <f>I92*J92</f>
        <v/>
      </c>
      <c r="L92" s="4">
        <f>IF(U92&lt;&gt;"",U92,IF(K92&gt;=Umbrales!$B$2,"Legendaria",IF(K92&gt;=Umbrales!$B$3,"Épica",IF(K92&gt;=Umbrales!$B$4,"Rara",IF(K92&gt;=Umbrales!$B$5,"Poco común","Común")))))</f>
        <v/>
      </c>
      <c r="M92" s="5" t="n">
        <v>196381.999104</v>
      </c>
      <c r="N92" s="5" t="n">
        <v>17837.000704</v>
      </c>
      <c r="O92" s="5">
        <f>IF(M92="","",M92*J92)</f>
        <v/>
      </c>
      <c r="P92" s="5">
        <f>IF(N92="","",N92*J92)</f>
        <v/>
      </c>
      <c r="Q92" s="7" t="n">
        <v>0.0451</v>
      </c>
      <c r="R92" s="8" t="n">
        <v>11.804379</v>
      </c>
      <c r="S92" s="4" t="inlineStr">
        <is>
          <t>CAC40, EUROSTOXX50</t>
        </is>
      </c>
      <c r="T92" s="9" t="inlineStr">
        <is>
          <t>SI</t>
        </is>
      </c>
      <c r="U92" s="9" t="inlineStr"/>
      <c r="V92" s="10">
        <f>Umbrales!$B$9*(K92/1000)^Umbrales!$B$10</f>
        <v/>
      </c>
    </row>
    <row r="93">
      <c r="A93" s="4" t="inlineStr">
        <is>
          <t>SAN.MC</t>
        </is>
      </c>
      <c r="B93" s="4" t="inlineStr">
        <is>
          <t>Banco Santander, S.A.</t>
        </is>
      </c>
      <c r="C93" s="4" t="inlineStr">
        <is>
          <t>Spain</t>
        </is>
      </c>
      <c r="D93" s="4" t="inlineStr">
        <is>
          <t>ES</t>
        </is>
      </c>
      <c r="E93" s="4" t="inlineStr">
        <is>
          <t>Finanzas</t>
        </is>
      </c>
      <c r="F93" s="4" t="inlineStr">
        <is>
          <t>Banks - Diversified</t>
        </is>
      </c>
      <c r="G93" s="4" t="inlineStr">
        <is>
          <t>MCE</t>
        </is>
      </c>
      <c r="H93" s="4" t="inlineStr">
        <is>
          <t>EUR</t>
        </is>
      </c>
      <c r="I93" s="5" t="n">
        <v>174499.67616</v>
      </c>
      <c r="J93" s="6">
        <f>INDEX(FX!$B:$B,MATCH(H93,FX!$A:$A,0))</f>
        <v/>
      </c>
      <c r="K93" s="5">
        <f>I93*J93</f>
        <v/>
      </c>
      <c r="L93" s="4">
        <f>IF(U93&lt;&gt;"",U93,IF(K93&gt;=Umbrales!$B$2,"Legendaria",IF(K93&gt;=Umbrales!$B$3,"Épica",IF(K93&gt;=Umbrales!$B$4,"Rara",IF(K93&gt;=Umbrales!$B$5,"Poco común","Común")))))</f>
        <v/>
      </c>
      <c r="M93" s="5" t="n">
        <v>48533.000192</v>
      </c>
      <c r="N93" s="5" t="n">
        <v>12899.999744</v>
      </c>
      <c r="O93" s="5">
        <f>IF(M93="","",M93*J93)</f>
        <v/>
      </c>
      <c r="P93" s="5">
        <f>IF(N93="","",N93*J93)</f>
        <v/>
      </c>
      <c r="Q93" s="7" t="n">
        <v>0.0209</v>
      </c>
      <c r="R93" s="8" t="n">
        <v>13.715909</v>
      </c>
      <c r="S93" s="4" t="inlineStr">
        <is>
          <t>EUROSTOXX50, IBEX35</t>
        </is>
      </c>
      <c r="T93" s="9" t="inlineStr">
        <is>
          <t>SI</t>
        </is>
      </c>
      <c r="U93" s="9" t="inlineStr"/>
      <c r="V93" s="10">
        <f>Umbrales!$B$9*(K93/1000)^Umbrales!$B$10</f>
        <v/>
      </c>
    </row>
    <row r="94">
      <c r="A94" s="4" t="inlineStr">
        <is>
          <t>ADI</t>
        </is>
      </c>
      <c r="B94" s="4" t="inlineStr">
        <is>
          <t>Analog Devices, Inc.</t>
        </is>
      </c>
      <c r="C94" s="4" t="inlineStr">
        <is>
          <t>United States</t>
        </is>
      </c>
      <c r="D94" s="4" t="inlineStr">
        <is>
          <t>US</t>
        </is>
      </c>
      <c r="E94" s="4" t="inlineStr">
        <is>
          <t>Tecnología</t>
        </is>
      </c>
      <c r="F94" s="4" t="inlineStr">
        <is>
          <t>Semiconductors</t>
        </is>
      </c>
      <c r="G94" s="4" t="inlineStr">
        <is>
          <t>NMS</t>
        </is>
      </c>
      <c r="H94" s="4" t="inlineStr">
        <is>
          <t>USD</t>
        </is>
      </c>
      <c r="I94" s="5" t="n">
        <v>195556.098048</v>
      </c>
      <c r="J94" s="6">
        <f>INDEX(FX!$B:$B,MATCH(H94,FX!$A:$A,0))</f>
        <v/>
      </c>
      <c r="K94" s="5">
        <f>I94*J94</f>
        <v/>
      </c>
      <c r="L94" s="4">
        <f>IF(U94&lt;&gt;"",U94,IF(K94&gt;=Umbrales!$B$2,"Legendaria",IF(K94&gt;=Umbrales!$B$3,"Épica",IF(K94&gt;=Umbrales!$B$4,"Rara",IF(K94&gt;=Umbrales!$B$5,"Poco común","Común")))))</f>
        <v/>
      </c>
      <c r="M94" s="5" t="n">
        <v>13881.744384</v>
      </c>
      <c r="N94" s="5" t="n">
        <v>4135.003904</v>
      </c>
      <c r="O94" s="5">
        <f>IF(M94="","",M94*J94)</f>
        <v/>
      </c>
      <c r="P94" s="5">
        <f>IF(N94="","",N94*J94)</f>
        <v/>
      </c>
      <c r="Q94" s="7" t="n">
        <v>0.0106</v>
      </c>
      <c r="R94" s="8" t="n">
        <v>49.27595</v>
      </c>
      <c r="S94" s="4" t="inlineStr">
        <is>
          <t>NASDAQ100, SP500</t>
        </is>
      </c>
      <c r="T94" s="9" t="inlineStr">
        <is>
          <t>SI</t>
        </is>
      </c>
      <c r="U94" s="9" t="inlineStr"/>
      <c r="V94" s="10">
        <f>Umbrales!$B$9*(K94/1000)^Umbrales!$B$10</f>
        <v/>
      </c>
    </row>
    <row r="95">
      <c r="A95" s="4" t="inlineStr">
        <is>
          <t>SNDK</t>
        </is>
      </c>
      <c r="B95" s="4" t="inlineStr">
        <is>
          <t>Sandisk Corporation</t>
        </is>
      </c>
      <c r="C95" s="4" t="inlineStr">
        <is>
          <t>United States</t>
        </is>
      </c>
      <c r="D95" s="4" t="inlineStr">
        <is>
          <t>US</t>
        </is>
      </c>
      <c r="E95" s="4" t="inlineStr">
        <is>
          <t>Tecnología</t>
        </is>
      </c>
      <c r="F95" s="4" t="inlineStr">
        <is>
          <t>Computer Hardware</t>
        </is>
      </c>
      <c r="G95" s="4" t="inlineStr">
        <is>
          <t>NMS</t>
        </is>
      </c>
      <c r="H95" s="4" t="inlineStr">
        <is>
          <t>USD</t>
        </is>
      </c>
      <c r="I95" s="5" t="n">
        <v>194486.419456</v>
      </c>
      <c r="J95" s="6">
        <f>INDEX(FX!$B:$B,MATCH(H95,FX!$A:$A,0))</f>
        <v/>
      </c>
      <c r="K95" s="5">
        <f>I95*J95</f>
        <v/>
      </c>
      <c r="L95" s="4">
        <f>IF(U95&lt;&gt;"",U95,IF(K95&gt;=Umbrales!$B$2,"Legendaria",IF(K95&gt;=Umbrales!$B$3,"Épica",IF(K95&gt;=Umbrales!$B$4,"Rara",IF(K95&gt;=Umbrales!$B$5,"Poco común","Común")))))</f>
        <v/>
      </c>
      <c r="M95" s="5" t="n">
        <v>20248.000512</v>
      </c>
      <c r="N95" s="5" t="n">
        <v>11432.999936</v>
      </c>
      <c r="O95" s="5">
        <f>IF(M95="","",M95*J95)</f>
        <v/>
      </c>
      <c r="P95" s="5">
        <f>IF(N95="","",N95*J95)</f>
        <v/>
      </c>
      <c r="Q95" s="7" t="n">
        <v>0</v>
      </c>
      <c r="R95" s="8" t="n">
        <v>19.270657</v>
      </c>
      <c r="S95" s="4" t="inlineStr">
        <is>
          <t>SP500</t>
        </is>
      </c>
      <c r="T95" s="9" t="inlineStr">
        <is>
          <t>SI</t>
        </is>
      </c>
      <c r="U95" s="9" t="inlineStr"/>
      <c r="V95" s="10">
        <f>Umbrales!$B$9*(K95/1000)^Umbrales!$B$10</f>
        <v/>
      </c>
    </row>
    <row r="96">
      <c r="A96" s="4" t="inlineStr">
        <is>
          <t>TD.TO</t>
        </is>
      </c>
      <c r="B96" s="4" t="inlineStr">
        <is>
          <t>The Toronto-Dominion Bank</t>
        </is>
      </c>
      <c r="C96" s="4" t="inlineStr">
        <is>
          <t>Canada</t>
        </is>
      </c>
      <c r="D96" s="4" t="inlineStr">
        <is>
          <t>CA</t>
        </is>
      </c>
      <c r="E96" s="4" t="inlineStr">
        <is>
          <t>Finanzas</t>
        </is>
      </c>
      <c r="F96" s="4" t="inlineStr">
        <is>
          <t>Banks - Diversified</t>
        </is>
      </c>
      <c r="G96" s="4" t="inlineStr">
        <is>
          <t>TOR</t>
        </is>
      </c>
      <c r="H96" s="4" t="inlineStr">
        <is>
          <t>CAD</t>
        </is>
      </c>
      <c r="I96" s="5" t="n">
        <v>275636.87936</v>
      </c>
      <c r="J96" s="6">
        <f>INDEX(FX!$B:$B,MATCH(H96,FX!$A:$A,0))</f>
        <v/>
      </c>
      <c r="K96" s="5">
        <f>I96*J96</f>
        <v/>
      </c>
      <c r="L96" s="4">
        <f>IF(U96&lt;&gt;"",U96,IF(K96&gt;=Umbrales!$B$2,"Legendaria",IF(K96&gt;=Umbrales!$B$3,"Épica",IF(K96&gt;=Umbrales!$B$4,"Rara",IF(K96&gt;=Umbrales!$B$5,"Poco común","Común")))))</f>
        <v/>
      </c>
      <c r="M96" s="5" t="n">
        <v>60821.999616</v>
      </c>
      <c r="N96" s="5" t="n">
        <v>15601.000448</v>
      </c>
      <c r="O96" s="5">
        <f>IF(M96="","",M96*J96)</f>
        <v/>
      </c>
      <c r="P96" s="5">
        <f>IF(N96="","",N96*J96)</f>
        <v/>
      </c>
      <c r="Q96" s="7" t="n">
        <v>0.0267</v>
      </c>
      <c r="R96" s="8" t="n">
        <v>18.091103</v>
      </c>
      <c r="S96" s="4" t="inlineStr">
        <is>
          <t>TSX60</t>
        </is>
      </c>
      <c r="T96" s="9" t="inlineStr">
        <is>
          <t>SI</t>
        </is>
      </c>
      <c r="U96" s="9" t="inlineStr"/>
      <c r="V96" s="10">
        <f>Umbrales!$B$9*(K96/1000)^Umbrales!$B$10</f>
        <v/>
      </c>
    </row>
    <row r="97">
      <c r="A97" s="4" t="inlineStr">
        <is>
          <t>CRM</t>
        </is>
      </c>
      <c r="B97" s="4" t="inlineStr">
        <is>
          <t>Salesforce, Inc.</t>
        </is>
      </c>
      <c r="C97" s="4" t="inlineStr">
        <is>
          <t>United States</t>
        </is>
      </c>
      <c r="D97" s="4" t="inlineStr">
        <is>
          <t>US</t>
        </is>
      </c>
      <c r="E97" s="4" t="inlineStr">
        <is>
          <t>Tecnología</t>
        </is>
      </c>
      <c r="F97" s="4" t="inlineStr">
        <is>
          <t>Software - Application</t>
        </is>
      </c>
      <c r="G97" s="4" t="inlineStr">
        <is>
          <t>NYQ</t>
        </is>
      </c>
      <c r="H97" s="4" t="inlineStr">
        <is>
          <t>USD</t>
        </is>
      </c>
      <c r="I97" s="5" t="n">
        <v>194186.8544</v>
      </c>
      <c r="J97" s="6">
        <f>INDEX(FX!$B:$B,MATCH(H97,FX!$A:$A,0))</f>
        <v/>
      </c>
      <c r="K97" s="5">
        <f>I97*J97</f>
        <v/>
      </c>
      <c r="L97" s="4">
        <f>IF(U97&lt;&gt;"",U97,IF(K97&gt;=Umbrales!$B$2,"Legendaria",IF(K97&gt;=Umbrales!$B$3,"Épica",IF(K97&gt;=Umbrales!$B$4,"Rara",IF(K97&gt;=Umbrales!$B$5,"Poco común","Común")))))</f>
        <v/>
      </c>
      <c r="M97" s="5" t="n">
        <v>43938.000896</v>
      </c>
      <c r="N97" s="5" t="n">
        <v>9662.000128</v>
      </c>
      <c r="O97" s="5">
        <f>IF(M97="","",M97*J97)</f>
        <v/>
      </c>
      <c r="P97" s="5">
        <f>IF(N97="","",N97*J97)</f>
        <v/>
      </c>
      <c r="Q97" s="7" t="n">
        <v>0.0074</v>
      </c>
      <c r="R97" s="8" t="n">
        <v>21.587374</v>
      </c>
      <c r="S97" s="4" t="inlineStr">
        <is>
          <t>DOW30, SP500</t>
        </is>
      </c>
      <c r="T97" s="9" t="inlineStr">
        <is>
          <t>SI</t>
        </is>
      </c>
      <c r="U97" s="9" t="inlineStr"/>
      <c r="V97" s="10">
        <f>Umbrales!$B$9*(K97/1000)^Umbrales!$B$10</f>
        <v/>
      </c>
    </row>
    <row r="98">
      <c r="A98" s="4" t="inlineStr">
        <is>
          <t>ITX.MC</t>
        </is>
      </c>
      <c r="B98" s="4" t="inlineStr">
        <is>
          <t>Industria de Diseño Textil, S.A.</t>
        </is>
      </c>
      <c r="C98" s="4" t="inlineStr">
        <is>
          <t>Spain</t>
        </is>
      </c>
      <c r="D98" s="4" t="inlineStr">
        <is>
          <t>ES</t>
        </is>
      </c>
      <c r="E98" s="4" t="inlineStr">
        <is>
          <t>Consumo cíclico</t>
        </is>
      </c>
      <c r="F98" s="4" t="inlineStr">
        <is>
          <t>Apparel Retail</t>
        </is>
      </c>
      <c r="G98" s="4" t="inlineStr">
        <is>
          <t>MCE</t>
        </is>
      </c>
      <c r="H98" s="4" t="inlineStr">
        <is>
          <t>EUR</t>
        </is>
      </c>
      <c r="I98" s="5" t="n">
        <v>172322.308096</v>
      </c>
      <c r="J98" s="6">
        <f>INDEX(FX!$B:$B,MATCH(H98,FX!$A:$A,0))</f>
        <v/>
      </c>
      <c r="K98" s="5">
        <f>I98*J98</f>
        <v/>
      </c>
      <c r="L98" s="4">
        <f>IF(U98&lt;&gt;"",U98,IF(K98&gt;=Umbrales!$B$2,"Legendaria",IF(K98&gt;=Umbrales!$B$3,"Épica",IF(K98&gt;=Umbrales!$B$4,"Rara",IF(K98&gt;=Umbrales!$B$5,"Poco común","Común")))))</f>
        <v/>
      </c>
      <c r="M98" s="5" t="n">
        <v>41261.99808</v>
      </c>
      <c r="N98" s="5" t="n">
        <v>6408.999936</v>
      </c>
      <c r="O98" s="5">
        <f>IF(M98="","",M98*J98)</f>
        <v/>
      </c>
      <c r="P98" s="5">
        <f>IF(N98="","",N98*J98)</f>
        <v/>
      </c>
      <c r="Q98" s="7" t="n">
        <v>0.012</v>
      </c>
      <c r="R98" s="8" t="n">
        <v>26.85437</v>
      </c>
      <c r="S98" s="4" t="inlineStr">
        <is>
          <t>EUROSTOXX50, IBEX35</t>
        </is>
      </c>
      <c r="T98" s="9" t="inlineStr">
        <is>
          <t>SI</t>
        </is>
      </c>
      <c r="U98" s="9" t="inlineStr"/>
      <c r="V98" s="10">
        <f>Umbrales!$B$9*(K98/1000)^Umbrales!$B$10</f>
        <v/>
      </c>
    </row>
    <row r="99">
      <c r="A99" s="4" t="inlineStr">
        <is>
          <t>GILD</t>
        </is>
      </c>
      <c r="B99" s="4" t="inlineStr">
        <is>
          <t>Gilead Sciences, Inc.</t>
        </is>
      </c>
      <c r="C99" s="4" t="inlineStr">
        <is>
          <t>United States</t>
        </is>
      </c>
      <c r="D99" s="4" t="inlineStr">
        <is>
          <t>US</t>
        </is>
      </c>
      <c r="E99" s="4" t="inlineStr">
        <is>
          <t>Salud</t>
        </is>
      </c>
      <c r="F99" s="4" t="inlineStr">
        <is>
          <t>Drug Manufacturers - General</t>
        </is>
      </c>
      <c r="G99" s="4" t="inlineStr">
        <is>
          <t>NMS</t>
        </is>
      </c>
      <c r="H99" s="4" t="inlineStr">
        <is>
          <t>USD</t>
        </is>
      </c>
      <c r="I99" s="5" t="n">
        <v>190382.718976</v>
      </c>
      <c r="J99" s="6">
        <f>INDEX(FX!$B:$B,MATCH(H99,FX!$A:$A,0))</f>
        <v/>
      </c>
      <c r="K99" s="5">
        <f>I99*J99</f>
        <v/>
      </c>
      <c r="L99" s="4">
        <f>IF(U99&lt;&gt;"",U99,IF(K99&gt;=Umbrales!$B$2,"Legendaria",IF(K99&gt;=Umbrales!$B$3,"Épica",IF(K99&gt;=Umbrales!$B$4,"Rara",IF(K99&gt;=Umbrales!$B$5,"Poco común","Común")))))</f>
        <v/>
      </c>
      <c r="M99" s="5" t="n">
        <v>30456.999936</v>
      </c>
      <c r="N99" s="5" t="n">
        <v>-3240</v>
      </c>
      <c r="O99" s="5">
        <f>IF(M99="","",M99*J99)</f>
        <v/>
      </c>
      <c r="P99" s="5">
        <f>IF(N99="","",N99*J99)</f>
        <v/>
      </c>
      <c r="Q99" s="7" t="n">
        <v>0.0222</v>
      </c>
      <c r="R99" s="8" t="n"/>
      <c r="S99" s="4" t="inlineStr">
        <is>
          <t>NASDAQ100, SP500</t>
        </is>
      </c>
      <c r="T99" s="9" t="inlineStr">
        <is>
          <t>SI</t>
        </is>
      </c>
      <c r="U99" s="9" t="inlineStr"/>
      <c r="V99" s="10">
        <f>Umbrales!$B$9*(K99/1000)^Umbrales!$B$10</f>
        <v/>
      </c>
    </row>
    <row r="100">
      <c r="A100" s="4" t="inlineStr">
        <is>
          <t>DIS</t>
        </is>
      </c>
      <c r="B100" s="4" t="inlineStr">
        <is>
          <t>The Walt Disney Company</t>
        </is>
      </c>
      <c r="C100" s="4" t="inlineStr">
        <is>
          <t>United States</t>
        </is>
      </c>
      <c r="D100" s="4" t="inlineStr">
        <is>
          <t>US</t>
        </is>
      </c>
      <c r="E100" s="4" t="inlineStr">
        <is>
          <t>Comunicación</t>
        </is>
      </c>
      <c r="F100" s="4" t="inlineStr">
        <is>
          <t>Entertainment</t>
        </is>
      </c>
      <c r="G100" s="4" t="inlineStr">
        <is>
          <t>NYQ</t>
        </is>
      </c>
      <c r="H100" s="4" t="inlineStr">
        <is>
          <t>USD</t>
        </is>
      </c>
      <c r="I100" s="5" t="n">
        <v>188191.588352</v>
      </c>
      <c r="J100" s="6">
        <f>INDEX(FX!$B:$B,MATCH(H100,FX!$A:$A,0))</f>
        <v/>
      </c>
      <c r="K100" s="5">
        <f>I100*J100</f>
        <v/>
      </c>
      <c r="L100" s="4">
        <f>IF(U100&lt;&gt;"",U100,IF(K100&gt;=Umbrales!$B$2,"Legendaria",IF(K100&gt;=Umbrales!$B$3,"Épica",IF(K100&gt;=Umbrales!$B$4,"Rara",IF(K100&gt;=Umbrales!$B$5,"Poco común","Común")))))</f>
        <v/>
      </c>
      <c r="M100" s="5" t="n">
        <v>98860.998656</v>
      </c>
      <c r="N100" s="5" t="n">
        <v>8600.000512000001</v>
      </c>
      <c r="O100" s="5">
        <f>IF(M100="","",M100*J100)</f>
        <v/>
      </c>
      <c r="P100" s="5">
        <f>IF(N100="","",N100*J100)</f>
        <v/>
      </c>
      <c r="Q100" s="7" t="n">
        <v>0.0138</v>
      </c>
      <c r="R100" s="8" t="n">
        <v>22.379877</v>
      </c>
      <c r="S100" s="4" t="inlineStr">
        <is>
          <t>DOW30, SP500</t>
        </is>
      </c>
      <c r="T100" s="9" t="inlineStr">
        <is>
          <t>SI</t>
        </is>
      </c>
      <c r="U100" s="9" t="inlineStr"/>
      <c r="V100" s="10">
        <f>Umbrales!$B$9*(K100/1000)^Umbrales!$B$10</f>
        <v/>
      </c>
    </row>
    <row r="101">
      <c r="A101" s="4" t="inlineStr">
        <is>
          <t>VZ</t>
        </is>
      </c>
      <c r="B101" s="4" t="inlineStr">
        <is>
          <t>Verizon Communications Inc.</t>
        </is>
      </c>
      <c r="C101" s="4" t="inlineStr">
        <is>
          <t>United States</t>
        </is>
      </c>
      <c r="D101" s="4" t="inlineStr">
        <is>
          <t>US</t>
        </is>
      </c>
      <c r="E101" s="4" t="inlineStr">
        <is>
          <t>Comunicación</t>
        </is>
      </c>
      <c r="F101" s="4" t="inlineStr">
        <is>
          <t>Telecom Services</t>
        </is>
      </c>
      <c r="G101" s="4" t="inlineStr">
        <is>
          <t>NYQ</t>
        </is>
      </c>
      <c r="H101" s="4" t="inlineStr">
        <is>
          <t>USD</t>
        </is>
      </c>
      <c r="I101" s="5" t="n">
        <v>184555.1104</v>
      </c>
      <c r="J101" s="6">
        <f>INDEX(FX!$B:$B,MATCH(H101,FX!$A:$A,0))</f>
        <v/>
      </c>
      <c r="K101" s="5">
        <f>I101*J101</f>
        <v/>
      </c>
      <c r="L101" s="4">
        <f>IF(U101&lt;&gt;"",U101,IF(K101&gt;=Umbrales!$B$2,"Legendaria",IF(K101&gt;=Umbrales!$B$3,"Épica",IF(K101&gt;=Umbrales!$B$4,"Rara",IF(K101&gt;=Umbrales!$B$5,"Poco común","Común")))))</f>
        <v/>
      </c>
      <c r="M101" s="5" t="n">
        <v>138894.999552</v>
      </c>
      <c r="N101" s="5" t="n">
        <v>16172.000256</v>
      </c>
      <c r="O101" s="5">
        <f>IF(M101="","",M101*J101)</f>
        <v/>
      </c>
      <c r="P101" s="5">
        <f>IF(N101="","",N101*J101)</f>
        <v/>
      </c>
      <c r="Q101" s="7" t="n">
        <v>0.065</v>
      </c>
      <c r="R101" s="8" t="n">
        <v>11.331632</v>
      </c>
      <c r="S101" s="4" t="inlineStr">
        <is>
          <t>DOW30, SP500</t>
        </is>
      </c>
      <c r="T101" s="9" t="inlineStr">
        <is>
          <t>SI</t>
        </is>
      </c>
      <c r="U101" s="9" t="inlineStr"/>
      <c r="V101" s="10">
        <f>Umbrales!$B$9*(K101/1000)^Umbrales!$B$10</f>
        <v/>
      </c>
    </row>
    <row r="102">
      <c r="A102" s="4" t="inlineStr">
        <is>
          <t>QCOM</t>
        </is>
      </c>
      <c r="B102" s="4" t="inlineStr">
        <is>
          <t>QUALCOMM Incorporated</t>
        </is>
      </c>
      <c r="C102" s="4" t="inlineStr">
        <is>
          <t>United States</t>
        </is>
      </c>
      <c r="D102" s="4" t="inlineStr">
        <is>
          <t>US</t>
        </is>
      </c>
      <c r="E102" s="4" t="inlineStr">
        <is>
          <t>Tecnología</t>
        </is>
      </c>
      <c r="F102" s="4" t="inlineStr">
        <is>
          <t>Semiconductors</t>
        </is>
      </c>
      <c r="G102" s="4" t="inlineStr">
        <is>
          <t>NMS</t>
        </is>
      </c>
      <c r="H102" s="4" t="inlineStr">
        <is>
          <t>USD</t>
        </is>
      </c>
      <c r="I102" s="5" t="n">
        <v>184330.452992</v>
      </c>
      <c r="J102" s="6">
        <f>INDEX(FX!$B:$B,MATCH(H102,FX!$A:$A,0))</f>
        <v/>
      </c>
      <c r="K102" s="5">
        <f>I102*J102</f>
        <v/>
      </c>
      <c r="L102" s="4">
        <f>IF(U102&lt;&gt;"",U102,IF(K102&gt;=Umbrales!$B$2,"Legendaria",IF(K102&gt;=Umbrales!$B$3,"Épica",IF(K102&gt;=Umbrales!$B$4,"Rara",IF(K102&gt;=Umbrales!$B$5,"Poco común","Común")))))</f>
        <v/>
      </c>
      <c r="M102" s="5" t="n">
        <v>44068.999168</v>
      </c>
      <c r="N102" s="5" t="n">
        <v>9260.000255999999</v>
      </c>
      <c r="O102" s="5">
        <f>IF(M102="","",M102*J102)</f>
        <v/>
      </c>
      <c r="P102" s="5">
        <f>IF(N102="","",N102*J102)</f>
        <v/>
      </c>
      <c r="Q102" s="7" t="n">
        <v>0.0208</v>
      </c>
      <c r="R102" s="8" t="n">
        <v>20.476868</v>
      </c>
      <c r="S102" s="4" t="inlineStr">
        <is>
          <t>NASDAQ100, SP500</t>
        </is>
      </c>
      <c r="T102" s="9" t="inlineStr">
        <is>
          <t>SI</t>
        </is>
      </c>
      <c r="U102" s="9" t="inlineStr"/>
      <c r="V102" s="10">
        <f>Umbrales!$B$9*(K102/1000)^Umbrales!$B$10</f>
        <v/>
      </c>
    </row>
    <row r="103">
      <c r="A103" s="4" t="inlineStr">
        <is>
          <t>ALV.DE</t>
        </is>
      </c>
      <c r="B103" s="4" t="inlineStr">
        <is>
          <t>Allianz SE</t>
        </is>
      </c>
      <c r="C103" s="4" t="inlineStr">
        <is>
          <t>Germany</t>
        </is>
      </c>
      <c r="D103" s="4" t="inlineStr">
        <is>
          <t>DE</t>
        </is>
      </c>
      <c r="E103" s="4" t="inlineStr">
        <is>
          <t>Finanzas</t>
        </is>
      </c>
      <c r="F103" s="4" t="inlineStr">
        <is>
          <t>Insurance - Diversified</t>
        </is>
      </c>
      <c r="G103" s="4" t="inlineStr">
        <is>
          <t>GER</t>
        </is>
      </c>
      <c r="H103" s="4" t="inlineStr">
        <is>
          <t>EUR</t>
        </is>
      </c>
      <c r="I103" s="5" t="n">
        <v>164193.026048</v>
      </c>
      <c r="J103" s="6">
        <f>INDEX(FX!$B:$B,MATCH(H103,FX!$A:$A,0))</f>
        <v/>
      </c>
      <c r="K103" s="5">
        <f>I103*J103</f>
        <v/>
      </c>
      <c r="L103" s="4">
        <f>IF(U103&lt;&gt;"",U103,IF(K103&gt;=Umbrales!$B$2,"Legendaria",IF(K103&gt;=Umbrales!$B$3,"Épica",IF(K103&gt;=Umbrales!$B$4,"Rara",IF(K103&gt;=Umbrales!$B$5,"Poco común","Común")))))</f>
        <v/>
      </c>
      <c r="M103" s="5" t="n">
        <v>119421.001728</v>
      </c>
      <c r="N103" s="5" t="n">
        <v>11612.000256</v>
      </c>
      <c r="O103" s="5">
        <f>IF(M103="","",M103*J103)</f>
        <v/>
      </c>
      <c r="P103" s="5">
        <f>IF(N103="","",N103*J103)</f>
        <v/>
      </c>
      <c r="Q103" s="7" t="n">
        <v>0.04099999999999999</v>
      </c>
      <c r="R103" s="8" t="n">
        <v>13.987076</v>
      </c>
      <c r="S103" s="4" t="inlineStr">
        <is>
          <t>DAX40, EUROSTOXX50</t>
        </is>
      </c>
      <c r="T103" s="9" t="inlineStr">
        <is>
          <t>SI</t>
        </is>
      </c>
      <c r="U103" s="9" t="inlineStr"/>
      <c r="V103" s="10">
        <f>Umbrales!$B$9*(K103/1000)^Umbrales!$B$10</f>
        <v/>
      </c>
    </row>
    <row r="104">
      <c r="A104" s="4" t="inlineStr">
        <is>
          <t>CBA.AX</t>
        </is>
      </c>
      <c r="B104" s="4" t="inlineStr">
        <is>
          <t>Commonwealth Bank of Australia</t>
        </is>
      </c>
      <c r="C104" s="4" t="inlineStr">
        <is>
          <t>Australia</t>
        </is>
      </c>
      <c r="D104" s="4" t="inlineStr">
        <is>
          <t>AU</t>
        </is>
      </c>
      <c r="E104" s="4" t="inlineStr">
        <is>
          <t>Finanzas</t>
        </is>
      </c>
      <c r="F104" s="4" t="inlineStr">
        <is>
          <t>Banks - Diversified</t>
        </is>
      </c>
      <c r="G104" s="4" t="inlineStr">
        <is>
          <t>ASX</t>
        </is>
      </c>
      <c r="H104" s="4" t="inlineStr">
        <is>
          <t>AUD</t>
        </is>
      </c>
      <c r="I104" s="5" t="n">
        <v>261102.125056</v>
      </c>
      <c r="J104" s="6">
        <f>INDEX(FX!$B:$B,MATCH(H104,FX!$A:$A,0))</f>
        <v/>
      </c>
      <c r="K104" s="5">
        <f>I104*J104</f>
        <v/>
      </c>
      <c r="L104" s="4">
        <f>IF(U104&lt;&gt;"",U104,IF(K104&gt;=Umbrales!$B$2,"Legendaria",IF(K104&gt;=Umbrales!$B$3,"Épica",IF(K104&gt;=Umbrales!$B$4,"Rara",IF(K104&gt;=Umbrales!$B$5,"Poco común","Común")))))</f>
        <v/>
      </c>
      <c r="M104" s="5" t="n">
        <v>29365.000192</v>
      </c>
      <c r="N104" s="5" t="n">
        <v>10910.999552</v>
      </c>
      <c r="O104" s="5">
        <f>IF(M104="","",M104*J104)</f>
        <v/>
      </c>
      <c r="P104" s="5">
        <f>IF(N104="","",N104*J104)</f>
        <v/>
      </c>
      <c r="Q104" s="7" t="n">
        <v>0.0334</v>
      </c>
      <c r="R104" s="8" t="n">
        <v>23.949385</v>
      </c>
      <c r="S104" s="4" t="inlineStr">
        <is>
          <t>ASIA_TOP, ASX50</t>
        </is>
      </c>
      <c r="T104" s="9" t="inlineStr">
        <is>
          <t>SI</t>
        </is>
      </c>
      <c r="U104" s="9" t="inlineStr"/>
      <c r="V104" s="10">
        <f>Umbrales!$B$9*(K104/1000)^Umbrales!$B$10</f>
        <v/>
      </c>
    </row>
    <row r="105">
      <c r="A105" s="4" t="inlineStr">
        <is>
          <t>ABT</t>
        </is>
      </c>
      <c r="B105" s="4" t="inlineStr">
        <is>
          <t>Abbott Laboratories</t>
        </is>
      </c>
      <c r="C105" s="4" t="inlineStr">
        <is>
          <t>United States</t>
        </is>
      </c>
      <c r="D105" s="4" t="inlineStr">
        <is>
          <t>US</t>
        </is>
      </c>
      <c r="E105" s="4" t="inlineStr">
        <is>
          <t>Salud</t>
        </is>
      </c>
      <c r="F105" s="4" t="inlineStr">
        <is>
          <t>Medical Devices</t>
        </is>
      </c>
      <c r="G105" s="4" t="inlineStr">
        <is>
          <t>NYQ</t>
        </is>
      </c>
      <c r="H105" s="4" t="inlineStr">
        <is>
          <t>USD</t>
        </is>
      </c>
      <c r="I105" s="5" t="n">
        <v>179354.50112</v>
      </c>
      <c r="J105" s="6">
        <f>INDEX(FX!$B:$B,MATCH(H105,FX!$A:$A,0))</f>
        <v/>
      </c>
      <c r="K105" s="5">
        <f>I105*J105</f>
        <v/>
      </c>
      <c r="L105" s="4">
        <f>IF(U105&lt;&gt;"",U105,IF(K105&gt;=Umbrales!$B$2,"Legendaria",IF(K105&gt;=Umbrales!$B$3,"Épica",IF(K105&gt;=Umbrales!$B$4,"Rara",IF(K105&gt;=Umbrales!$B$5,"Poco común","Común")))))</f>
        <v/>
      </c>
      <c r="M105" s="5" t="n">
        <v>46584.999936</v>
      </c>
      <c r="N105" s="5" t="n">
        <v>5400.999936</v>
      </c>
      <c r="O105" s="5">
        <f>IF(M105="","",M105*J105)</f>
        <v/>
      </c>
      <c r="P105" s="5">
        <f>IF(N105="","",N105*J105)</f>
        <v/>
      </c>
      <c r="Q105" s="7" t="n">
        <v>0.0246</v>
      </c>
      <c r="R105" s="8" t="n">
        <v>33.109325</v>
      </c>
      <c r="S105" s="4" t="inlineStr">
        <is>
          <t>SP500</t>
        </is>
      </c>
      <c r="T105" s="9" t="inlineStr">
        <is>
          <t>SI</t>
        </is>
      </c>
      <c r="U105" s="9" t="inlineStr"/>
      <c r="V105" s="10">
        <f>Umbrales!$B$9*(K105/1000)^Umbrales!$B$10</f>
        <v/>
      </c>
    </row>
    <row r="106">
      <c r="A106" s="4" t="inlineStr">
        <is>
          <t>PEP</t>
        </is>
      </c>
      <c r="B106" s="4" t="inlineStr">
        <is>
          <t>PepsiCo, Inc.</t>
        </is>
      </c>
      <c r="C106" s="4" t="inlineStr">
        <is>
          <t>United States</t>
        </is>
      </c>
      <c r="D106" s="4" t="inlineStr">
        <is>
          <t>US</t>
        </is>
      </c>
      <c r="E106" s="4" t="inlineStr">
        <is>
          <t>Consumo básico</t>
        </is>
      </c>
      <c r="F106" s="4" t="inlineStr">
        <is>
          <t>Beverages - Non-Alcoholic</t>
        </is>
      </c>
      <c r="G106" s="4" t="inlineStr">
        <is>
          <t>NMS</t>
        </is>
      </c>
      <c r="H106" s="4" t="inlineStr">
        <is>
          <t>USD</t>
        </is>
      </c>
      <c r="I106" s="5" t="n">
        <v>176161.554432</v>
      </c>
      <c r="J106" s="6">
        <f>INDEX(FX!$B:$B,MATCH(H106,FX!$A:$A,0))</f>
        <v/>
      </c>
      <c r="K106" s="5">
        <f>I106*J106</f>
        <v/>
      </c>
      <c r="L106" s="4">
        <f>IF(U106&lt;&gt;"",U106,IF(K106&gt;=Umbrales!$B$2,"Legendaria",IF(K106&gt;=Umbrales!$B$3,"Épica",IF(K106&gt;=Umbrales!$B$4,"Rara",IF(K106&gt;=Umbrales!$B$5,"Poco común","Común")))))</f>
        <v/>
      </c>
      <c r="M106" s="5" t="n">
        <v>98241.00352</v>
      </c>
      <c r="N106" s="5" t="n">
        <v>10896</v>
      </c>
      <c r="O106" s="5">
        <f>IF(M106="","",M106*J106)</f>
        <v/>
      </c>
      <c r="P106" s="5">
        <f>IF(N106="","",N106*J106)</f>
        <v/>
      </c>
      <c r="Q106" s="7" t="n">
        <v>0.04650000000000001</v>
      </c>
      <c r="R106" s="8" t="n">
        <v>16.018589</v>
      </c>
      <c r="S106" s="4" t="inlineStr">
        <is>
          <t>NASDAQ100, SP500</t>
        </is>
      </c>
      <c r="T106" s="9" t="inlineStr">
        <is>
          <t>SI</t>
        </is>
      </c>
      <c r="U106" s="9" t="inlineStr"/>
      <c r="V106" s="10">
        <f>Umbrales!$B$9*(K106/1000)^Umbrales!$B$10</f>
        <v/>
      </c>
    </row>
    <row r="107">
      <c r="A107" s="4" t="inlineStr">
        <is>
          <t>DE</t>
        </is>
      </c>
      <c r="B107" s="4" t="inlineStr">
        <is>
          <t>Deere &amp; Company</t>
        </is>
      </c>
      <c r="C107" s="4" t="inlineStr">
        <is>
          <t>United States</t>
        </is>
      </c>
      <c r="D107" s="4" t="inlineStr">
        <is>
          <t>US</t>
        </is>
      </c>
      <c r="E107" s="4" t="inlineStr">
        <is>
          <t>Industria</t>
        </is>
      </c>
      <c r="F107" s="4" t="inlineStr">
        <is>
          <t>Farm &amp; Heavy Construction Machinery</t>
        </is>
      </c>
      <c r="G107" s="4" t="inlineStr">
        <is>
          <t>NYQ</t>
        </is>
      </c>
      <c r="H107" s="4" t="inlineStr">
        <is>
          <t>USD</t>
        </is>
      </c>
      <c r="I107" s="5" t="n">
        <v>175358.967808</v>
      </c>
      <c r="J107" s="6">
        <f>INDEX(FX!$B:$B,MATCH(H107,FX!$A:$A,0))</f>
        <v/>
      </c>
      <c r="K107" s="5">
        <f>I107*J107</f>
        <v/>
      </c>
      <c r="L107" s="4">
        <f>IF(U107&lt;&gt;"",U107,IF(K107&gt;=Umbrales!$B$2,"Legendaria",IF(K107&gt;=Umbrales!$B$3,"Épica",IF(K107&gt;=Umbrales!$B$4,"Rara",IF(K107&gt;=Umbrales!$B$5,"Poco común","Común")))))</f>
        <v/>
      </c>
      <c r="M107" s="5" t="n">
        <v>47927.001088</v>
      </c>
      <c r="N107" s="5" t="n">
        <v>4872.999936</v>
      </c>
      <c r="O107" s="5">
        <f>IF(M107="","",M107*J107)</f>
        <v/>
      </c>
      <c r="P107" s="5">
        <f>IF(N107="","",N107*J107)</f>
        <v/>
      </c>
      <c r="Q107" s="7" t="n">
        <v>0.01</v>
      </c>
      <c r="R107" s="8" t="n">
        <v>36.15231</v>
      </c>
      <c r="S107" s="4" t="inlineStr">
        <is>
          <t>SP500</t>
        </is>
      </c>
      <c r="T107" s="9" t="inlineStr">
        <is>
          <t>SI</t>
        </is>
      </c>
      <c r="U107" s="9" t="inlineStr"/>
      <c r="V107" s="10">
        <f>Umbrales!$B$9*(K107/1000)^Umbrales!$B$10</f>
        <v/>
      </c>
    </row>
    <row r="108">
      <c r="A108" s="4" t="inlineStr">
        <is>
          <t>9984.T</t>
        </is>
      </c>
      <c r="B108" s="4" t="inlineStr">
        <is>
          <t>SoftBank Group Corp.</t>
        </is>
      </c>
      <c r="C108" s="4" t="inlineStr">
        <is>
          <t>Japan</t>
        </is>
      </c>
      <c r="D108" s="4" t="inlineStr">
        <is>
          <t>JP</t>
        </is>
      </c>
      <c r="E108" s="4" t="inlineStr">
        <is>
          <t>Comunicación</t>
        </is>
      </c>
      <c r="F108" s="4" t="inlineStr">
        <is>
          <t>Telecom Services</t>
        </is>
      </c>
      <c r="G108" s="4" t="inlineStr">
        <is>
          <t>JPX</t>
        </is>
      </c>
      <c r="H108" s="4" t="inlineStr">
        <is>
          <t>JPY</t>
        </is>
      </c>
      <c r="I108" s="5" t="n">
        <v>27651787.9808</v>
      </c>
      <c r="J108" s="6">
        <f>INDEX(FX!$B:$B,MATCH(H108,FX!$A:$A,0))</f>
        <v/>
      </c>
      <c r="K108" s="5">
        <f>I108*J108</f>
        <v/>
      </c>
      <c r="L108" s="4">
        <f>IF(U108&lt;&gt;"",U108,IF(K108&gt;=Umbrales!$B$2,"Legendaria",IF(K108&gt;=Umbrales!$B$3,"Épica",IF(K108&gt;=Umbrales!$B$4,"Rara",IF(K108&gt;=Umbrales!$B$5,"Poco común","Común")))))</f>
        <v/>
      </c>
      <c r="M108" s="5" t="n">
        <v>7997900.193792</v>
      </c>
      <c r="N108" s="5" t="n">
        <v>4908440.879104</v>
      </c>
      <c r="O108" s="5">
        <f>IF(M108="","",M108*J108)</f>
        <v/>
      </c>
      <c r="P108" s="5">
        <f>IF(N108="","",N108*J108)</f>
        <v/>
      </c>
      <c r="Q108" s="7" t="n">
        <v>0.0021</v>
      </c>
      <c r="R108" s="8" t="n">
        <v>5.647442</v>
      </c>
      <c r="S108" s="4" t="inlineStr">
        <is>
          <t>ASIA_TOP</t>
        </is>
      </c>
      <c r="T108" s="9" t="inlineStr">
        <is>
          <t>SI</t>
        </is>
      </c>
      <c r="U108" s="9" t="inlineStr"/>
      <c r="V108" s="10">
        <f>Umbrales!$B$9*(K108/1000)^Umbrales!$B$10</f>
        <v/>
      </c>
    </row>
    <row r="109">
      <c r="A109" s="4" t="inlineStr">
        <is>
          <t>BLK</t>
        </is>
      </c>
      <c r="B109" s="4" t="inlineStr">
        <is>
          <t>BlackRock, Inc.</t>
        </is>
      </c>
      <c r="C109" s="4" t="inlineStr">
        <is>
          <t>United States</t>
        </is>
      </c>
      <c r="D109" s="4" t="inlineStr">
        <is>
          <t>US</t>
        </is>
      </c>
      <c r="E109" s="4" t="inlineStr">
        <is>
          <t>Finanzas</t>
        </is>
      </c>
      <c r="F109" s="4" t="inlineStr">
        <is>
          <t>Asset Management</t>
        </is>
      </c>
      <c r="G109" s="4" t="inlineStr">
        <is>
          <t>NYQ</t>
        </is>
      </c>
      <c r="H109" s="4" t="inlineStr">
        <is>
          <t>USD</t>
        </is>
      </c>
      <c r="I109" s="5" t="n">
        <v>174465.318912</v>
      </c>
      <c r="J109" s="6">
        <f>INDEX(FX!$B:$B,MATCH(H109,FX!$A:$A,0))</f>
        <v/>
      </c>
      <c r="K109" s="5">
        <f>I109*J109</f>
        <v/>
      </c>
      <c r="L109" s="4">
        <f>IF(U109&lt;&gt;"",U109,IF(K109&gt;=Umbrales!$B$2,"Legendaria",IF(K109&gt;=Umbrales!$B$3,"Épica",IF(K109&gt;=Umbrales!$B$4,"Rara",IF(K109&gt;=Umbrales!$B$5,"Poco común","Común")))))</f>
        <v/>
      </c>
      <c r="M109" s="5" t="n">
        <v>27299.00032</v>
      </c>
      <c r="N109" s="5" t="n">
        <v>6576</v>
      </c>
      <c r="O109" s="5">
        <f>IF(M109="","",M109*J109)</f>
        <v/>
      </c>
      <c r="P109" s="5">
        <f>IF(N109="","",N109*J109)</f>
        <v/>
      </c>
      <c r="Q109" s="7" t="n">
        <v>0.0215</v>
      </c>
      <c r="R109" s="8" t="n">
        <v>25.517822</v>
      </c>
      <c r="S109" s="4" t="inlineStr">
        <is>
          <t>SP500</t>
        </is>
      </c>
      <c r="T109" s="9" t="inlineStr">
        <is>
          <t>SI</t>
        </is>
      </c>
      <c r="U109" s="9" t="inlineStr"/>
      <c r="V109" s="10">
        <f>Umbrales!$B$9*(K109/1000)^Umbrales!$B$10</f>
        <v/>
      </c>
    </row>
    <row r="110">
      <c r="A110" s="4" t="inlineStr">
        <is>
          <t>3968.HK</t>
        </is>
      </c>
      <c r="B110" s="4" t="inlineStr">
        <is>
          <t>China Merchants Bank Co., Ltd.</t>
        </is>
      </c>
      <c r="C110" s="4" t="inlineStr">
        <is>
          <t>China</t>
        </is>
      </c>
      <c r="D110" s="4" t="inlineStr">
        <is>
          <t>CN</t>
        </is>
      </c>
      <c r="E110" s="4" t="inlineStr">
        <is>
          <t>Finanzas</t>
        </is>
      </c>
      <c r="F110" s="4" t="inlineStr">
        <is>
          <t>Banks - Regional</t>
        </is>
      </c>
      <c r="G110" s="4" t="inlineStr">
        <is>
          <t>HKG</t>
        </is>
      </c>
      <c r="H110" s="4" t="inlineStr">
        <is>
          <t>HKD</t>
        </is>
      </c>
      <c r="I110" s="5" t="n">
        <v>1360610.721792</v>
      </c>
      <c r="J110" s="6">
        <f>INDEX(FX!$B:$B,MATCH(H110,FX!$A:$A,0))</f>
        <v/>
      </c>
      <c r="K110" s="5">
        <f>I110*J110</f>
        <v/>
      </c>
      <c r="L110" s="4">
        <f>IF(U110&lt;&gt;"",U110,IF(K110&gt;=Umbrales!$B$2,"Legendaria",IF(K110&gt;=Umbrales!$B$3,"Épica",IF(K110&gt;=Umbrales!$B$4,"Rara",IF(K110&gt;=Umbrales!$B$5,"Poco común","Común")))))</f>
        <v/>
      </c>
      <c r="M110" s="5" t="n">
        <v>301287.99744</v>
      </c>
      <c r="N110" s="5" t="n">
        <v>146383.99488</v>
      </c>
      <c r="O110" s="5">
        <f>IF(M110="","",M110*J110)</f>
        <v/>
      </c>
      <c r="P110" s="5">
        <f>IF(N110="","",N110*J110)</f>
        <v/>
      </c>
      <c r="Q110" s="7" t="n">
        <v>0.0424</v>
      </c>
      <c r="R110" s="8" t="n">
        <v>8.351394000000001</v>
      </c>
      <c r="S110" s="4" t="inlineStr">
        <is>
          <t>HANGSENG</t>
        </is>
      </c>
      <c r="T110" s="9" t="inlineStr">
        <is>
          <t>SI</t>
        </is>
      </c>
      <c r="U110" s="9" t="inlineStr"/>
      <c r="V110" s="10">
        <f>Umbrales!$B$9*(K110/1000)^Umbrales!$B$10</f>
        <v/>
      </c>
    </row>
    <row r="111">
      <c r="A111" s="4" t="inlineStr">
        <is>
          <t>RELIANCE.NS</t>
        </is>
      </c>
      <c r="B111" s="4" t="inlineStr">
        <is>
          <t>Reliance Industries Limited</t>
        </is>
      </c>
      <c r="C111" s="4" t="inlineStr">
        <is>
          <t>India</t>
        </is>
      </c>
      <c r="D111" s="4" t="inlineStr">
        <is>
          <t>IN</t>
        </is>
      </c>
      <c r="E111" s="4" t="inlineStr">
        <is>
          <t>Energía</t>
        </is>
      </c>
      <c r="F111" s="4" t="inlineStr">
        <is>
          <t>Oil &amp; Gas Refining &amp; Marketing</t>
        </is>
      </c>
      <c r="G111" s="4" t="inlineStr">
        <is>
          <t>NSI</t>
        </is>
      </c>
      <c r="H111" s="4" t="inlineStr">
        <is>
          <t>INR</t>
        </is>
      </c>
      <c r="I111" s="5" t="n">
        <v>16437893.660672</v>
      </c>
      <c r="J111" s="6">
        <f>INDEX(FX!$B:$B,MATCH(H111,FX!$A:$A,0))</f>
        <v/>
      </c>
      <c r="K111" s="5">
        <f>I111*J111</f>
        <v/>
      </c>
      <c r="L111" s="4">
        <f>IF(U111&lt;&gt;"",U111,IF(K111&gt;=Umbrales!$B$2,"Legendaria",IF(K111&gt;=Umbrales!$B$3,"Épica",IF(K111&gt;=Umbrales!$B$4,"Rara",IF(K111&gt;=Umbrales!$B$5,"Poco común","Común")))))</f>
        <v/>
      </c>
      <c r="M111" s="5" t="n">
        <v>11296050.249728</v>
      </c>
      <c r="N111" s="5" t="n">
        <v>747269.98016</v>
      </c>
      <c r="O111" s="5">
        <f>IF(M111="","",M111*J111)</f>
        <v/>
      </c>
      <c r="P111" s="5">
        <f>IF(N111="","",N111*J111)</f>
        <v/>
      </c>
      <c r="Q111" s="7" t="n">
        <v>0.0051</v>
      </c>
      <c r="R111" s="8" t="n">
        <v>21.997463</v>
      </c>
      <c r="S111" s="4" t="inlineStr">
        <is>
          <t>ASIA_TOP, NIFTY50</t>
        </is>
      </c>
      <c r="T111" s="9" t="inlineStr">
        <is>
          <t>SI</t>
        </is>
      </c>
      <c r="U111" s="9" t="inlineStr"/>
      <c r="V111" s="10">
        <f>Umbrales!$B$9*(K111/1000)^Umbrales!$B$10</f>
        <v/>
      </c>
    </row>
    <row r="112">
      <c r="A112" s="4" t="inlineStr">
        <is>
          <t>RIO.AX</t>
        </is>
      </c>
      <c r="B112" s="4" t="inlineStr">
        <is>
          <t>Rio Tinto Group</t>
        </is>
      </c>
      <c r="C112" s="4" t="inlineStr">
        <is>
          <t>United Kingdom</t>
        </is>
      </c>
      <c r="D112" s="4" t="inlineStr">
        <is>
          <t>GB</t>
        </is>
      </c>
      <c r="E112" s="4" t="inlineStr">
        <is>
          <t>Materiales</t>
        </is>
      </c>
      <c r="F112" s="4" t="inlineStr">
        <is>
          <t>Other Industrial Metals &amp; Mining</t>
        </is>
      </c>
      <c r="G112" s="4" t="inlineStr">
        <is>
          <t>ASX</t>
        </is>
      </c>
      <c r="H112" s="4" t="inlineStr">
        <is>
          <t>AUD</t>
        </is>
      </c>
      <c r="I112" s="5" t="n">
        <v>248345.06752</v>
      </c>
      <c r="J112" s="6">
        <f>INDEX(FX!$B:$B,MATCH(H112,FX!$A:$A,0))</f>
        <v/>
      </c>
      <c r="K112" s="5">
        <f>I112*J112</f>
        <v/>
      </c>
      <c r="L112" s="4">
        <f>IF(U112&lt;&gt;"",U112,IF(K112&gt;=Umbrales!$B$2,"Legendaria",IF(K112&gt;=Umbrales!$B$3,"Épica",IF(K112&gt;=Umbrales!$B$4,"Rara",IF(K112&gt;=Umbrales!$B$5,"Poco común","Común")))))</f>
        <v/>
      </c>
      <c r="M112" s="5" t="n">
        <v>61793.001472</v>
      </c>
      <c r="N112" s="5" t="n">
        <v>12101.999616</v>
      </c>
      <c r="O112" s="5">
        <f>IF(M112="","",M112*J112)</f>
        <v/>
      </c>
      <c r="P112" s="5">
        <f>IF(N112="","",N112*J112)</f>
        <v/>
      </c>
      <c r="Q112" s="7" t="n">
        <v>0.0413</v>
      </c>
      <c r="R112" s="8" t="n">
        <v>14.725168</v>
      </c>
      <c r="S112" s="4" t="inlineStr">
        <is>
          <t>ASX50</t>
        </is>
      </c>
      <c r="T112" s="9" t="inlineStr">
        <is>
          <t>SI</t>
        </is>
      </c>
      <c r="U112" s="9" t="inlineStr"/>
      <c r="V112" s="10">
        <f>Umbrales!$B$9*(K112/1000)^Umbrales!$B$10</f>
        <v/>
      </c>
    </row>
    <row r="113">
      <c r="A113" s="4" t="inlineStr">
        <is>
          <t>COP</t>
        </is>
      </c>
      <c r="B113" s="4" t="inlineStr">
        <is>
          <t>ConocoPhillips</t>
        </is>
      </c>
      <c r="C113" s="4" t="inlineStr">
        <is>
          <t>United States</t>
        </is>
      </c>
      <c r="D113" s="4" t="inlineStr">
        <is>
          <t>US</t>
        </is>
      </c>
      <c r="E113" s="4" t="inlineStr">
        <is>
          <t>Energía</t>
        </is>
      </c>
      <c r="F113" s="4" t="inlineStr">
        <is>
          <t>Oil &amp; Gas E&amp;P</t>
        </is>
      </c>
      <c r="G113" s="4" t="inlineStr">
        <is>
          <t>NYQ</t>
        </is>
      </c>
      <c r="H113" s="4" t="inlineStr">
        <is>
          <t>USD</t>
        </is>
      </c>
      <c r="I113" s="5" t="n">
        <v>170998.366208</v>
      </c>
      <c r="J113" s="6">
        <f>INDEX(FX!$B:$B,MATCH(H113,FX!$A:$A,0))</f>
        <v/>
      </c>
      <c r="K113" s="5">
        <f>I113*J113</f>
        <v/>
      </c>
      <c r="L113" s="4">
        <f>IF(U113&lt;&gt;"",U113,IF(K113&gt;=Umbrales!$B$2,"Legendaria",IF(K113&gt;=Umbrales!$B$3,"Épica",IF(K113&gt;=Umbrales!$B$4,"Rara",IF(K113&gt;=Umbrales!$B$5,"Poco común","Común")))))</f>
        <v/>
      </c>
      <c r="M113" s="5" t="n">
        <v>64459.001856</v>
      </c>
      <c r="N113" s="5" t="n">
        <v>9253.000192</v>
      </c>
      <c r="O113" s="5">
        <f>IF(M113="","",M113*J113)</f>
        <v/>
      </c>
      <c r="P113" s="5">
        <f>IF(N113="","",N113*J113)</f>
        <v/>
      </c>
      <c r="Q113" s="7" t="n">
        <v>0.0238</v>
      </c>
      <c r="R113" s="8" t="n">
        <v>18.655308</v>
      </c>
      <c r="S113" s="4" t="inlineStr">
        <is>
          <t>SP500</t>
        </is>
      </c>
      <c r="T113" s="9" t="inlineStr">
        <is>
          <t>SI</t>
        </is>
      </c>
      <c r="U113" s="9" t="inlineStr"/>
      <c r="V113" s="10">
        <f>Umbrales!$B$9*(K113/1000)^Umbrales!$B$10</f>
        <v/>
      </c>
    </row>
    <row r="114">
      <c r="A114" s="4" t="inlineStr">
        <is>
          <t>AIR.PA</t>
        </is>
      </c>
      <c r="B114" s="4" t="inlineStr">
        <is>
          <t>Airbus SE</t>
        </is>
      </c>
      <c r="C114" s="4" t="inlineStr">
        <is>
          <t>Netherlands</t>
        </is>
      </c>
      <c r="D114" s="4" t="inlineStr">
        <is>
          <t>NL</t>
        </is>
      </c>
      <c r="E114" s="4" t="inlineStr">
        <is>
          <t>Industria</t>
        </is>
      </c>
      <c r="F114" s="4" t="inlineStr">
        <is>
          <t>Aerospace &amp; Defense</t>
        </is>
      </c>
      <c r="G114" s="4" t="inlineStr">
        <is>
          <t>PAR</t>
        </is>
      </c>
      <c r="H114" s="4" t="inlineStr">
        <is>
          <t>EUR</t>
        </is>
      </c>
      <c r="I114" s="5" t="n">
        <v>152391.647232</v>
      </c>
      <c r="J114" s="6">
        <f>INDEX(FX!$B:$B,MATCH(H114,FX!$A:$A,0))</f>
        <v/>
      </c>
      <c r="K114" s="5">
        <f>I114*J114</f>
        <v/>
      </c>
      <c r="L114" s="4">
        <f>IF(U114&lt;&gt;"",U114,IF(K114&gt;=Umbrales!$B$2,"Legendaria",IF(K114&gt;=Umbrales!$B$3,"Épica",IF(K114&gt;=Umbrales!$B$4,"Rara",IF(K114&gt;=Umbrales!$B$5,"Poco común","Común")))))</f>
        <v/>
      </c>
      <c r="M114" s="5" t="n">
        <v>76985.99936</v>
      </c>
      <c r="N114" s="5" t="n">
        <v>5938.999808</v>
      </c>
      <c r="O114" s="5">
        <f>IF(M114="","",M114*J114)</f>
        <v/>
      </c>
      <c r="P114" s="5">
        <f>IF(N114="","",N114*J114)</f>
        <v/>
      </c>
      <c r="Q114" s="7" t="n">
        <v>0.0172</v>
      </c>
      <c r="R114" s="8" t="n">
        <v>25.637815</v>
      </c>
      <c r="S114" s="4" t="inlineStr">
        <is>
          <t>CAC40, DAX40, EUROSTOXX50</t>
        </is>
      </c>
      <c r="T114" s="9" t="inlineStr">
        <is>
          <t>SI</t>
        </is>
      </c>
      <c r="U114" s="9" t="inlineStr"/>
      <c r="V114" s="10">
        <f>Umbrales!$B$9*(K114/1000)^Umbrales!$B$10</f>
        <v/>
      </c>
    </row>
    <row r="115">
      <c r="A115" s="4" t="inlineStr">
        <is>
          <t>NOVO-B.CO</t>
        </is>
      </c>
      <c r="B115" s="4" t="inlineStr">
        <is>
          <t>Novo Nordisk A/S</t>
        </is>
      </c>
      <c r="C115" s="4" t="inlineStr">
        <is>
          <t>Denmark</t>
        </is>
      </c>
      <c r="D115" s="4" t="inlineStr">
        <is>
          <t>DK</t>
        </is>
      </c>
      <c r="E115" s="4" t="inlineStr">
        <is>
          <t>Salud</t>
        </is>
      </c>
      <c r="F115" s="4" t="inlineStr">
        <is>
          <t>Drug Manufacturers - General</t>
        </is>
      </c>
      <c r="G115" s="4" t="inlineStr">
        <is>
          <t>CPH</t>
        </is>
      </c>
      <c r="H115" s="4" t="inlineStr">
        <is>
          <t>DKK</t>
        </is>
      </c>
      <c r="I115" s="5" t="n">
        <v>1135713.97632</v>
      </c>
      <c r="J115" s="6">
        <f>INDEX(FX!$B:$B,MATCH(H115,FX!$A:$A,0))</f>
        <v/>
      </c>
      <c r="K115" s="5">
        <f>I115*J115</f>
        <v/>
      </c>
      <c r="L115" s="4">
        <f>IF(U115&lt;&gt;"",U115,IF(K115&gt;=Umbrales!$B$2,"Legendaria",IF(K115&gt;=Umbrales!$B$3,"Épica",IF(K115&gt;=Umbrales!$B$4,"Rara",IF(K115&gt;=Umbrales!$B$5,"Poco común","Común")))))</f>
        <v/>
      </c>
      <c r="M115" s="5" t="n">
        <v>329430.990848</v>
      </c>
      <c r="N115" s="5" t="n">
        <v>116442.996736</v>
      </c>
      <c r="O115" s="5">
        <f>IF(M115="","",M115*J115)</f>
        <v/>
      </c>
      <c r="P115" s="5">
        <f>IF(N115="","",N115*J115)</f>
        <v/>
      </c>
      <c r="Q115" s="7" t="n">
        <v>0.0457</v>
      </c>
      <c r="R115" s="8" t="n">
        <v>9.822519</v>
      </c>
      <c r="S115" s="4" t="inlineStr"/>
      <c r="T115" s="9" t="inlineStr">
        <is>
          <t>SI</t>
        </is>
      </c>
      <c r="U115" s="9" t="inlineStr"/>
      <c r="V115" s="10">
        <f>Umbrales!$B$9*(K115/1000)^Umbrales!$B$10</f>
        <v/>
      </c>
    </row>
    <row r="116">
      <c r="A116" s="4" t="inlineStr">
        <is>
          <t>UNP</t>
        </is>
      </c>
      <c r="B116" s="4" t="inlineStr">
        <is>
          <t>Union Pacific Corporation</t>
        </is>
      </c>
      <c r="C116" s="4" t="inlineStr">
        <is>
          <t>United States</t>
        </is>
      </c>
      <c r="D116" s="4" t="inlineStr">
        <is>
          <t>US</t>
        </is>
      </c>
      <c r="E116" s="4" t="inlineStr">
        <is>
          <t>Industria</t>
        </is>
      </c>
      <c r="F116" s="4" t="inlineStr">
        <is>
          <t>Railroads</t>
        </is>
      </c>
      <c r="G116" s="4" t="inlineStr">
        <is>
          <t>NYQ</t>
        </is>
      </c>
      <c r="H116" s="4" t="inlineStr">
        <is>
          <t>USD</t>
        </is>
      </c>
      <c r="I116" s="5" t="n">
        <v>170161.045504</v>
      </c>
      <c r="J116" s="6">
        <f>INDEX(FX!$B:$B,MATCH(H116,FX!$A:$A,0))</f>
        <v/>
      </c>
      <c r="K116" s="5">
        <f>I116*J116</f>
        <v/>
      </c>
      <c r="L116" s="4">
        <f>IF(U116&lt;&gt;"",U116,IF(K116&gt;=Umbrales!$B$2,"Legendaria",IF(K116&gt;=Umbrales!$B$3,"Épica",IF(K116&gt;=Umbrales!$B$4,"Rara",IF(K116&gt;=Umbrales!$B$5,"Poco común","Común")))))</f>
        <v/>
      </c>
      <c r="M116" s="5" t="n">
        <v>25410.000896</v>
      </c>
      <c r="N116" s="5" t="n">
        <v>7329.999872</v>
      </c>
      <c r="O116" s="5">
        <f>IF(M116="","",M116*J116)</f>
        <v/>
      </c>
      <c r="P116" s="5">
        <f>IF(N116="","",N116*J116)</f>
        <v/>
      </c>
      <c r="Q116" s="7" t="n">
        <v>0.0201</v>
      </c>
      <c r="R116" s="8" t="n">
        <v>22.877794</v>
      </c>
      <c r="S116" s="4" t="inlineStr">
        <is>
          <t>SP500</t>
        </is>
      </c>
      <c r="T116" s="9" t="inlineStr">
        <is>
          <t>SI</t>
        </is>
      </c>
      <c r="U116" s="9" t="inlineStr"/>
      <c r="V116" s="10">
        <f>Umbrales!$B$9*(K116/1000)^Umbrales!$B$10</f>
        <v/>
      </c>
    </row>
    <row r="117">
      <c r="A117" s="4" t="inlineStr">
        <is>
          <t>TMUS</t>
        </is>
      </c>
      <c r="B117" s="4" t="inlineStr">
        <is>
          <t>T-Mobile US, Inc.</t>
        </is>
      </c>
      <c r="C117" s="4" t="inlineStr">
        <is>
          <t>United States</t>
        </is>
      </c>
      <c r="D117" s="4" t="inlineStr">
        <is>
          <t>US</t>
        </is>
      </c>
      <c r="E117" s="4" t="inlineStr">
        <is>
          <t>Comunicación</t>
        </is>
      </c>
      <c r="F117" s="4" t="inlineStr">
        <is>
          <t>Telecom Services</t>
        </is>
      </c>
      <c r="G117" s="4" t="inlineStr">
        <is>
          <t>NMS</t>
        </is>
      </c>
      <c r="H117" s="4" t="inlineStr">
        <is>
          <t>USD</t>
        </is>
      </c>
      <c r="I117" s="5" t="n">
        <v>169256.845312</v>
      </c>
      <c r="J117" s="6">
        <f>INDEX(FX!$B:$B,MATCH(H117,FX!$A:$A,0))</f>
        <v/>
      </c>
      <c r="K117" s="5">
        <f>I117*J117</f>
        <v/>
      </c>
      <c r="L117" s="4">
        <f>IF(U117&lt;&gt;"",U117,IF(K117&gt;=Umbrales!$B$2,"Legendaria",IF(K117&gt;=Umbrales!$B$3,"Épica",IF(K117&gt;=Umbrales!$B$4,"Rara",IF(K117&gt;=Umbrales!$B$5,"Poco común","Común")))))</f>
        <v/>
      </c>
      <c r="M117" s="5" t="n">
        <v>92188.99967999999</v>
      </c>
      <c r="N117" s="5" t="n">
        <v>10560</v>
      </c>
      <c r="O117" s="5">
        <f>IF(M117="","",M117*J117)</f>
        <v/>
      </c>
      <c r="P117" s="5">
        <f>IF(N117="","",N117*J117)</f>
        <v/>
      </c>
      <c r="Q117" s="7" t="n">
        <v>0.0304</v>
      </c>
      <c r="R117" s="8" t="n">
        <v>16.068228</v>
      </c>
      <c r="S117" s="4" t="inlineStr">
        <is>
          <t>NASDAQ100, SP500</t>
        </is>
      </c>
      <c r="T117" s="9" t="inlineStr">
        <is>
          <t>SI</t>
        </is>
      </c>
      <c r="U117" s="9" t="inlineStr"/>
      <c r="V117" s="10">
        <f>Umbrales!$B$9*(K117/1000)^Umbrales!$B$10</f>
        <v/>
      </c>
    </row>
    <row r="118">
      <c r="A118" s="4" t="inlineStr">
        <is>
          <t>MCD</t>
        </is>
      </c>
      <c r="B118" s="4" t="inlineStr">
        <is>
          <t>McDonald's Corporation</t>
        </is>
      </c>
      <c r="C118" s="4" t="inlineStr">
        <is>
          <t>United States</t>
        </is>
      </c>
      <c r="D118" s="4" t="inlineStr">
        <is>
          <t>US</t>
        </is>
      </c>
      <c r="E118" s="4" t="inlineStr">
        <is>
          <t>Consumo cíclico</t>
        </is>
      </c>
      <c r="F118" s="4" t="inlineStr">
        <is>
          <t>Restaurants</t>
        </is>
      </c>
      <c r="G118" s="4" t="inlineStr">
        <is>
          <t>NYQ</t>
        </is>
      </c>
      <c r="H118" s="4" t="inlineStr">
        <is>
          <t>USD</t>
        </is>
      </c>
      <c r="I118" s="5" t="n">
        <v>168638.0544</v>
      </c>
      <c r="J118" s="6">
        <f>INDEX(FX!$B:$B,MATCH(H118,FX!$A:$A,0))</f>
        <v/>
      </c>
      <c r="K118" s="5">
        <f>I118*J118</f>
        <v/>
      </c>
      <c r="L118" s="4">
        <f>IF(U118&lt;&gt;"",U118,IF(K118&gt;=Umbrales!$B$2,"Legendaria",IF(K118&gt;=Umbrales!$B$3,"Épica",IF(K118&gt;=Umbrales!$B$4,"Rara",IF(K118&gt;=Umbrales!$B$5,"Poco común","Común")))))</f>
        <v/>
      </c>
      <c r="M118" s="5" t="n">
        <v>27701.999616</v>
      </c>
      <c r="N118" s="5" t="n">
        <v>8787.000319999999</v>
      </c>
      <c r="O118" s="5">
        <f>IF(M118="","",M118*J118)</f>
        <v/>
      </c>
      <c r="P118" s="5">
        <f>IF(N118="","",N118*J118)</f>
        <v/>
      </c>
      <c r="Q118" s="7" t="n">
        <v>0.0327</v>
      </c>
      <c r="R118" s="8" t="n">
        <v>19.156754</v>
      </c>
      <c r="S118" s="4" t="inlineStr">
        <is>
          <t>DOW30, SP500</t>
        </is>
      </c>
      <c r="T118" s="9" t="inlineStr">
        <is>
          <t>SI</t>
        </is>
      </c>
      <c r="U118" s="9" t="inlineStr"/>
      <c r="V118" s="10">
        <f>Umbrales!$B$9*(K118/1000)^Umbrales!$B$10</f>
        <v/>
      </c>
    </row>
    <row r="119">
      <c r="A119" s="4" t="inlineStr">
        <is>
          <t>SCHW</t>
        </is>
      </c>
      <c r="B119" s="4" t="inlineStr">
        <is>
          <t>The Charles Schwab Corporation</t>
        </is>
      </c>
      <c r="C119" s="4" t="inlineStr">
        <is>
          <t>United States</t>
        </is>
      </c>
      <c r="D119" s="4" t="inlineStr">
        <is>
          <t>US</t>
        </is>
      </c>
      <c r="E119" s="4" t="inlineStr">
        <is>
          <t>Finanzas</t>
        </is>
      </c>
      <c r="F119" s="4" t="inlineStr">
        <is>
          <t>Capital Markets</t>
        </is>
      </c>
      <c r="G119" s="4" t="inlineStr">
        <is>
          <t>NYQ</t>
        </is>
      </c>
      <c r="H119" s="4" t="inlineStr">
        <is>
          <t>USD</t>
        </is>
      </c>
      <c r="I119" s="5" t="n">
        <v>167399.702528</v>
      </c>
      <c r="J119" s="6">
        <f>INDEX(FX!$B:$B,MATCH(H119,FX!$A:$A,0))</f>
        <v/>
      </c>
      <c r="K119" s="5">
        <f>I119*J119</f>
        <v/>
      </c>
      <c r="L119" s="4">
        <f>IF(U119&lt;&gt;"",U119,IF(K119&gt;=Umbrales!$B$2,"Legendaria",IF(K119&gt;=Umbrales!$B$3,"Épica",IF(K119&gt;=Umbrales!$B$4,"Rara",IF(K119&gt;=Umbrales!$B$5,"Poco común","Común")))))</f>
        <v/>
      </c>
      <c r="M119" s="5" t="n">
        <v>26025.00096</v>
      </c>
      <c r="N119" s="5" t="n">
        <v>9722.500096</v>
      </c>
      <c r="O119" s="5">
        <f>IF(M119="","",M119*J119)</f>
        <v/>
      </c>
      <c r="P119" s="5">
        <f>IF(N119="","",N119*J119)</f>
        <v/>
      </c>
      <c r="Q119" s="7" t="n">
        <v>0.0133</v>
      </c>
      <c r="R119" s="8" t="n">
        <v>17.472925</v>
      </c>
      <c r="S119" s="4" t="inlineStr">
        <is>
          <t>SP500</t>
        </is>
      </c>
      <c r="T119" s="9" t="inlineStr">
        <is>
          <t>SI</t>
        </is>
      </c>
      <c r="U119" s="9" t="inlineStr"/>
      <c r="V119" s="10">
        <f>Umbrales!$B$9*(K119/1000)^Umbrales!$B$10</f>
        <v/>
      </c>
    </row>
    <row r="120">
      <c r="A120" s="4" t="inlineStr">
        <is>
          <t>WELL</t>
        </is>
      </c>
      <c r="B120" s="4" t="inlineStr">
        <is>
          <t>Welltower Inc.</t>
        </is>
      </c>
      <c r="C120" s="4" t="inlineStr">
        <is>
          <t>United States</t>
        </is>
      </c>
      <c r="D120" s="4" t="inlineStr">
        <is>
          <t>US</t>
        </is>
      </c>
      <c r="E120" s="4" t="inlineStr">
        <is>
          <t>Inmobiliario</t>
        </is>
      </c>
      <c r="F120" s="4" t="inlineStr">
        <is>
          <t>REIT - Healthcare Facilities</t>
        </is>
      </c>
      <c r="G120" s="4" t="inlineStr">
        <is>
          <t>NYQ</t>
        </is>
      </c>
      <c r="H120" s="4" t="inlineStr">
        <is>
          <t>USD</t>
        </is>
      </c>
      <c r="I120" s="5" t="n">
        <v>167295.205376</v>
      </c>
      <c r="J120" s="6">
        <f>INDEX(FX!$B:$B,MATCH(H120,FX!$A:$A,0))</f>
        <v/>
      </c>
      <c r="K120" s="5">
        <f>I120*J120</f>
        <v/>
      </c>
      <c r="L120" s="4">
        <f>IF(U120&lt;&gt;"",U120,IF(K120&gt;=Umbrales!$B$2,"Legendaria",IF(K120&gt;=Umbrales!$B$3,"Épica",IF(K120&gt;=Umbrales!$B$4,"Rara",IF(K120&gt;=Umbrales!$B$5,"Poco común","Común")))))</f>
        <v/>
      </c>
      <c r="M120" s="5" t="n">
        <v>12763.214848</v>
      </c>
      <c r="N120" s="5" t="n">
        <v>1550.674048</v>
      </c>
      <c r="O120" s="5">
        <f>IF(M120="","",M120*J120)</f>
        <v/>
      </c>
      <c r="P120" s="5">
        <f>IF(N120="","",N120*J120)</f>
        <v/>
      </c>
      <c r="Q120" s="7" t="n">
        <v>0.0148</v>
      </c>
      <c r="R120" s="8" t="n">
        <v>104.11211</v>
      </c>
      <c r="S120" s="4" t="inlineStr">
        <is>
          <t>SP500</t>
        </is>
      </c>
      <c r="T120" s="9" t="inlineStr">
        <is>
          <t>SI</t>
        </is>
      </c>
      <c r="U120" s="9" t="inlineStr"/>
      <c r="V120" s="10">
        <f>Umbrales!$B$9*(K120/1000)^Umbrales!$B$10</f>
        <v/>
      </c>
    </row>
    <row r="121">
      <c r="A121" s="4" t="inlineStr">
        <is>
          <t>PFE</t>
        </is>
      </c>
      <c r="B121" s="4" t="inlineStr">
        <is>
          <t>Pfizer Inc.</t>
        </is>
      </c>
      <c r="C121" s="4" t="inlineStr">
        <is>
          <t>United States</t>
        </is>
      </c>
      <c r="D121" s="4" t="inlineStr">
        <is>
          <t>US</t>
        </is>
      </c>
      <c r="E121" s="4" t="inlineStr">
        <is>
          <t>Salud</t>
        </is>
      </c>
      <c r="F121" s="4" t="inlineStr">
        <is>
          <t>Drug Manufacturers - General</t>
        </is>
      </c>
      <c r="G121" s="4" t="inlineStr">
        <is>
          <t>NYQ</t>
        </is>
      </c>
      <c r="H121" s="4" t="inlineStr">
        <is>
          <t>USD</t>
        </is>
      </c>
      <c r="I121" s="5" t="n">
        <v>166487.457792</v>
      </c>
      <c r="J121" s="6">
        <f>INDEX(FX!$B:$B,MATCH(H121,FX!$A:$A,0))</f>
        <v/>
      </c>
      <c r="K121" s="5">
        <f>I121*J121</f>
        <v/>
      </c>
      <c r="L121" s="4">
        <f>IF(U121&lt;&gt;"",U121,IF(K121&gt;=Umbrales!$B$2,"Legendaria",IF(K121&gt;=Umbrales!$B$3,"Épica",IF(K121&gt;=Umbrales!$B$4,"Rara",IF(K121&gt;=Umbrales!$B$5,"Poco común","Común")))))</f>
        <v/>
      </c>
      <c r="M121" s="5" t="n">
        <v>63695.998976</v>
      </c>
      <c r="N121" s="5" t="n">
        <v>4338.999808</v>
      </c>
      <c r="O121" s="5">
        <f>IF(M121="","",M121*J121)</f>
        <v/>
      </c>
      <c r="P121" s="5">
        <f>IF(N121="","",N121*J121)</f>
        <v/>
      </c>
      <c r="Q121" s="7" t="n">
        <v>0.06059999999999999</v>
      </c>
      <c r="R121" s="8" t="n">
        <v>38.434208</v>
      </c>
      <c r="S121" s="4" t="inlineStr">
        <is>
          <t>SP500</t>
        </is>
      </c>
      <c r="T121" s="9" t="inlineStr">
        <is>
          <t>SI</t>
        </is>
      </c>
      <c r="U121" s="9" t="inlineStr"/>
      <c r="V121" s="10">
        <f>Umbrales!$B$9*(K121/1000)^Umbrales!$B$10</f>
        <v/>
      </c>
    </row>
    <row r="122">
      <c r="A122" s="4" t="inlineStr">
        <is>
          <t>ABB.ST</t>
        </is>
      </c>
      <c r="B122" s="4" t="inlineStr">
        <is>
          <t>ABB Ltd</t>
        </is>
      </c>
      <c r="C122" s="4" t="inlineStr">
        <is>
          <t>Switzerland</t>
        </is>
      </c>
      <c r="D122" s="4" t="inlineStr">
        <is>
          <t>CH</t>
        </is>
      </c>
      <c r="E122" s="4" t="inlineStr">
        <is>
          <t>Industria</t>
        </is>
      </c>
      <c r="F122" s="4" t="inlineStr">
        <is>
          <t>Electrical Equipment &amp; Parts</t>
        </is>
      </c>
      <c r="G122" s="4" t="inlineStr">
        <is>
          <t>STO</t>
        </is>
      </c>
      <c r="H122" s="4" t="inlineStr">
        <is>
          <t>SEK</t>
        </is>
      </c>
      <c r="I122" s="5" t="n">
        <v>1649928.699904</v>
      </c>
      <c r="J122" s="6">
        <f>INDEX(FX!$B:$B,MATCH(H122,FX!$A:$A,0))</f>
        <v/>
      </c>
      <c r="K122" s="5">
        <f>I122*J122</f>
        <v/>
      </c>
      <c r="L122" s="4">
        <f>IF(U122&lt;&gt;"",U122,IF(K122&gt;=Umbrales!$B$2,"Legendaria",IF(K122&gt;=Umbrales!$B$3,"Épica",IF(K122&gt;=Umbrales!$B$4,"Rara",IF(K122&gt;=Umbrales!$B$5,"Poco común","Común")))))</f>
        <v/>
      </c>
      <c r="M122" s="5" t="n">
        <v>35752.001536</v>
      </c>
      <c r="N122" s="5" t="n">
        <v>4973.000192</v>
      </c>
      <c r="O122" s="5">
        <f>IF(M122="","",M122*J122)</f>
        <v/>
      </c>
      <c r="P122" s="5">
        <f>IF(N122="","",N122*J122)</f>
        <v/>
      </c>
      <c r="Q122" s="7" t="n">
        <v>0.0116</v>
      </c>
      <c r="R122" s="8" t="n">
        <v>35.72268</v>
      </c>
      <c r="S122" s="4" t="inlineStr">
        <is>
          <t>OMXS30</t>
        </is>
      </c>
      <c r="T122" s="9" t="inlineStr">
        <is>
          <t>SI</t>
        </is>
      </c>
      <c r="U122" s="9" t="inlineStr"/>
      <c r="V122" s="10">
        <f>Umbrales!$B$9*(K122/1000)^Umbrales!$B$10</f>
        <v/>
      </c>
    </row>
    <row r="123">
      <c r="A123" s="4" t="inlineStr">
        <is>
          <t>ABBN.SW</t>
        </is>
      </c>
      <c r="B123" s="4" t="inlineStr">
        <is>
          <t>ABB Ltd</t>
        </is>
      </c>
      <c r="C123" s="4" t="inlineStr">
        <is>
          <t>Switzerland</t>
        </is>
      </c>
      <c r="D123" s="4" t="inlineStr">
        <is>
          <t>CH</t>
        </is>
      </c>
      <c r="E123" s="4" t="inlineStr">
        <is>
          <t>Industria</t>
        </is>
      </c>
      <c r="F123" s="4" t="inlineStr">
        <is>
          <t>Electrical Equipment &amp; Parts</t>
        </is>
      </c>
      <c r="G123" s="4" t="inlineStr">
        <is>
          <t>EBS</t>
        </is>
      </c>
      <c r="H123" s="4" t="inlineStr">
        <is>
          <t>CHF</t>
        </is>
      </c>
      <c r="I123" s="5" t="n">
        <v>135902.019584</v>
      </c>
      <c r="J123" s="6">
        <f>INDEX(FX!$B:$B,MATCH(H123,FX!$A:$A,0))</f>
        <v/>
      </c>
      <c r="K123" s="5">
        <f>I123*J123</f>
        <v/>
      </c>
      <c r="L123" s="4">
        <f>IF(U123&lt;&gt;"",U123,IF(K123&gt;=Umbrales!$B$2,"Legendaria",IF(K123&gt;=Umbrales!$B$3,"Épica",IF(K123&gt;=Umbrales!$B$4,"Rara",IF(K123&gt;=Umbrales!$B$5,"Poco común","Común")))))</f>
        <v/>
      </c>
      <c r="M123" s="5" t="n">
        <v>35752.001536</v>
      </c>
      <c r="N123" s="5" t="n">
        <v>4973.000192</v>
      </c>
      <c r="O123" s="5">
        <f>IF(M123="","",M123*J123)</f>
        <v/>
      </c>
      <c r="P123" s="5">
        <f>IF(N123="","",N123*J123)</f>
        <v/>
      </c>
      <c r="Q123" s="7" t="n">
        <v>0.0119</v>
      </c>
      <c r="R123" s="8" t="n">
        <v>34.77778</v>
      </c>
      <c r="S123" s="4" t="inlineStr">
        <is>
          <t>SMI</t>
        </is>
      </c>
      <c r="T123" s="9" t="inlineStr">
        <is>
          <t>SI</t>
        </is>
      </c>
      <c r="U123" s="9" t="inlineStr"/>
      <c r="V123" s="10">
        <f>Umbrales!$B$9*(K123/1000)^Umbrales!$B$10</f>
        <v/>
      </c>
    </row>
    <row r="124">
      <c r="A124" s="4" t="inlineStr">
        <is>
          <t>NEE</t>
        </is>
      </c>
      <c r="B124" s="4" t="inlineStr">
        <is>
          <t>NextEra Energy, Inc.</t>
        </is>
      </c>
      <c r="C124" s="4" t="inlineStr">
        <is>
          <t>United States</t>
        </is>
      </c>
      <c r="D124" s="4" t="inlineStr">
        <is>
          <t>US</t>
        </is>
      </c>
      <c r="E124" s="4" t="inlineStr">
        <is>
          <t>Servicios públicos</t>
        </is>
      </c>
      <c r="F124" s="4" t="inlineStr">
        <is>
          <t>Utilities - Regulated Electric</t>
        </is>
      </c>
      <c r="G124" s="4" t="inlineStr">
        <is>
          <t>NYQ</t>
        </is>
      </c>
      <c r="H124" s="4" t="inlineStr">
        <is>
          <t>USD</t>
        </is>
      </c>
      <c r="I124" s="5" t="n">
        <v>163448.897536</v>
      </c>
      <c r="J124" s="6">
        <f>INDEX(FX!$B:$B,MATCH(H124,FX!$A:$A,0))</f>
        <v/>
      </c>
      <c r="K124" s="5">
        <f>I124*J124</f>
        <v/>
      </c>
      <c r="L124" s="4">
        <f>IF(U124&lt;&gt;"",U124,IF(K124&gt;=Umbrales!$B$2,"Legendaria",IF(K124&gt;=Umbrales!$B$3,"Épica",IF(K124&gt;=Umbrales!$B$4,"Rara",IF(K124&gt;=Umbrales!$B$5,"Poco común","Común")))))</f>
        <v/>
      </c>
      <c r="M124" s="5" t="n">
        <v>28700.000256</v>
      </c>
      <c r="N124" s="5" t="n">
        <v>9299.000319999999</v>
      </c>
      <c r="O124" s="5">
        <f>IF(M124="","",M124*J124)</f>
        <v/>
      </c>
      <c r="P124" s="5">
        <f>IF(N124="","",N124*J124)</f>
        <v/>
      </c>
      <c r="Q124" s="7" t="n">
        <v>0.0319</v>
      </c>
      <c r="R124" s="8" t="n">
        <v>17.851938</v>
      </c>
      <c r="S124" s="4" t="inlineStr">
        <is>
          <t>SP500</t>
        </is>
      </c>
      <c r="T124" s="9" t="inlineStr">
        <is>
          <t>SI</t>
        </is>
      </c>
      <c r="U124" s="9" t="inlineStr"/>
      <c r="V124" s="10">
        <f>Umbrales!$B$9*(K124/1000)^Umbrales!$B$10</f>
        <v/>
      </c>
    </row>
    <row r="125">
      <c r="A125" s="4" t="inlineStr">
        <is>
          <t>IBE.MC</t>
        </is>
      </c>
      <c r="B125" s="4" t="inlineStr">
        <is>
          <t>Iberdrola, S.A.</t>
        </is>
      </c>
      <c r="C125" s="4" t="inlineStr">
        <is>
          <t>Spain</t>
        </is>
      </c>
      <c r="D125" s="4" t="inlineStr">
        <is>
          <t>ES</t>
        </is>
      </c>
      <c r="E125" s="4" t="inlineStr">
        <is>
          <t>Servicios públicos</t>
        </is>
      </c>
      <c r="F125" s="4" t="inlineStr">
        <is>
          <t>Utilities - Diversified</t>
        </is>
      </c>
      <c r="G125" s="4" t="inlineStr">
        <is>
          <t>MCE</t>
        </is>
      </c>
      <c r="H125" s="4" t="inlineStr">
        <is>
          <t>EUR</t>
        </is>
      </c>
      <c r="I125" s="5" t="n">
        <v>144940.630016</v>
      </c>
      <c r="J125" s="6">
        <f>INDEX(FX!$B:$B,MATCH(H125,FX!$A:$A,0))</f>
        <v/>
      </c>
      <c r="K125" s="5">
        <f>I125*J125</f>
        <v/>
      </c>
      <c r="L125" s="4">
        <f>IF(U125&lt;&gt;"",U125,IF(K125&gt;=Umbrales!$B$2,"Legendaria",IF(K125&gt;=Umbrales!$B$3,"Épica",IF(K125&gt;=Umbrales!$B$4,"Rara",IF(K125&gt;=Umbrales!$B$5,"Poco común","Común")))))</f>
        <v/>
      </c>
      <c r="M125" s="5" t="n">
        <v>44444.99968</v>
      </c>
      <c r="N125" s="5" t="n">
        <v>5575.000064</v>
      </c>
      <c r="O125" s="5">
        <f>IF(M125="","",M125*J125)</f>
        <v/>
      </c>
      <c r="P125" s="5">
        <f>IF(N125="","",N125*J125)</f>
        <v/>
      </c>
      <c r="Q125" s="7" t="n">
        <v>0.0313</v>
      </c>
      <c r="R125" s="8" t="n">
        <v>28.578947</v>
      </c>
      <c r="S125" s="4" t="inlineStr">
        <is>
          <t>EUROSTOXX50, IBEX35</t>
        </is>
      </c>
      <c r="T125" s="9" t="inlineStr">
        <is>
          <t>SI</t>
        </is>
      </c>
      <c r="U125" s="9" t="inlineStr"/>
      <c r="V125" s="10">
        <f>Umbrales!$B$9*(K125/1000)^Umbrales!$B$10</f>
        <v/>
      </c>
    </row>
    <row r="126">
      <c r="A126" s="4" t="inlineStr">
        <is>
          <t>SU.PA</t>
        </is>
      </c>
      <c r="B126" s="4" t="inlineStr">
        <is>
          <t>Schneider Electric S.E.</t>
        </is>
      </c>
      <c r="C126" s="4" t="inlineStr">
        <is>
          <t>France</t>
        </is>
      </c>
      <c r="D126" s="4" t="inlineStr">
        <is>
          <t>FR</t>
        </is>
      </c>
      <c r="E126" s="4" t="inlineStr">
        <is>
          <t>Industria</t>
        </is>
      </c>
      <c r="F126" s="4" t="inlineStr">
        <is>
          <t>Specialty Industrial Machinery</t>
        </is>
      </c>
      <c r="G126" s="4" t="inlineStr">
        <is>
          <t>PAR</t>
        </is>
      </c>
      <c r="H126" s="4" t="inlineStr">
        <is>
          <t>EUR</t>
        </is>
      </c>
      <c r="I126" s="5" t="n">
        <v>143078.506496</v>
      </c>
      <c r="J126" s="6">
        <f>INDEX(FX!$B:$B,MATCH(H126,FX!$A:$A,0))</f>
        <v/>
      </c>
      <c r="K126" s="5">
        <f>I126*J126</f>
        <v/>
      </c>
      <c r="L126" s="4">
        <f>IF(U126&lt;&gt;"",U126,IF(K126&gt;=Umbrales!$B$2,"Legendaria",IF(K126&gt;=Umbrales!$B$3,"Épica",IF(K126&gt;=Umbrales!$B$4,"Rara",IF(K126&gt;=Umbrales!$B$5,"Poco común","Común")))))</f>
        <v/>
      </c>
      <c r="M126" s="5" t="n">
        <v>42041.99936</v>
      </c>
      <c r="N126" s="5" t="n">
        <v>4737.999872</v>
      </c>
      <c r="O126" s="5">
        <f>IF(M126="","",M126*J126)</f>
        <v/>
      </c>
      <c r="P126" s="5">
        <f>IF(N126="","",N126*J126)</f>
        <v/>
      </c>
      <c r="Q126" s="7" t="n">
        <v>0.0159</v>
      </c>
      <c r="R126" s="8" t="n">
        <v>30.528847</v>
      </c>
      <c r="S126" s="4" t="inlineStr">
        <is>
          <t>CAC40, EUROSTOXX50</t>
        </is>
      </c>
      <c r="T126" s="9" t="inlineStr">
        <is>
          <t>SI</t>
        </is>
      </c>
      <c r="U126" s="9" t="inlineStr"/>
      <c r="V126" s="10">
        <f>Umbrales!$B$9*(K126/1000)^Umbrales!$B$10</f>
        <v/>
      </c>
    </row>
    <row r="127">
      <c r="A127" s="4" t="inlineStr">
        <is>
          <t>ABI.BR</t>
        </is>
      </c>
      <c r="B127" s="4" t="inlineStr">
        <is>
          <t>Anheuser-Busch InBev SA/NV</t>
        </is>
      </c>
      <c r="C127" s="4" t="inlineStr">
        <is>
          <t>Belgium</t>
        </is>
      </c>
      <c r="D127" s="4" t="inlineStr">
        <is>
          <t>BE</t>
        </is>
      </c>
      <c r="E127" s="4" t="inlineStr">
        <is>
          <t>Consumo básico</t>
        </is>
      </c>
      <c r="F127" s="4" t="inlineStr">
        <is>
          <t>Beverages - Brewers</t>
        </is>
      </c>
      <c r="G127" s="4" t="inlineStr">
        <is>
          <t>BRU</t>
        </is>
      </c>
      <c r="H127" s="4" t="inlineStr">
        <is>
          <t>EUR</t>
        </is>
      </c>
      <c r="I127" s="5" t="n">
        <v>142840.610816</v>
      </c>
      <c r="J127" s="6">
        <f>INDEX(FX!$B:$B,MATCH(H127,FX!$A:$A,0))</f>
        <v/>
      </c>
      <c r="K127" s="5">
        <f>I127*J127</f>
        <v/>
      </c>
      <c r="L127" s="4">
        <f>IF(U127&lt;&gt;"",U127,IF(K127&gt;=Umbrales!$B$2,"Legendaria",IF(K127&gt;=Umbrales!$B$3,"Épica",IF(K127&gt;=Umbrales!$B$4,"Rara",IF(K127&gt;=Umbrales!$B$5,"Poco común","Común")))))</f>
        <v/>
      </c>
      <c r="M127" s="5" t="n">
        <v>62614.99904</v>
      </c>
      <c r="N127" s="5" t="n">
        <v>9326.999551999999</v>
      </c>
      <c r="O127" s="5">
        <f>IF(M127="","",M127*J127)</f>
        <v/>
      </c>
      <c r="P127" s="5">
        <f>IF(N127="","",N127*J127)</f>
        <v/>
      </c>
      <c r="Q127" s="7" t="n">
        <v>0.0163</v>
      </c>
      <c r="R127" s="8" t="n">
        <v>18.226131</v>
      </c>
      <c r="S127" s="4" t="inlineStr">
        <is>
          <t>EUROSTOXX50</t>
        </is>
      </c>
      <c r="T127" s="9" t="inlineStr">
        <is>
          <t>SI</t>
        </is>
      </c>
      <c r="U127" s="9" t="inlineStr"/>
      <c r="V127" s="10">
        <f>Umbrales!$B$9*(K127/1000)^Umbrales!$B$10</f>
        <v/>
      </c>
    </row>
    <row r="128">
      <c r="A128" s="4" t="inlineStr">
        <is>
          <t>ETN</t>
        </is>
      </c>
      <c r="B128" s="4" t="inlineStr">
        <is>
          <t>Eaton Corporation plc</t>
        </is>
      </c>
      <c r="C128" s="4" t="inlineStr">
        <is>
          <t>Ireland</t>
        </is>
      </c>
      <c r="D128" s="4" t="inlineStr">
        <is>
          <t>IE</t>
        </is>
      </c>
      <c r="E128" s="4" t="inlineStr">
        <is>
          <t>Industria</t>
        </is>
      </c>
      <c r="F128" s="4" t="inlineStr">
        <is>
          <t>Specialty Industrial Machinery</t>
        </is>
      </c>
      <c r="G128" s="4" t="inlineStr">
        <is>
          <t>NYQ</t>
        </is>
      </c>
      <c r="H128" s="4" t="inlineStr">
        <is>
          <t>USD</t>
        </is>
      </c>
      <c r="I128" s="5" t="n">
        <v>158756.4544</v>
      </c>
      <c r="J128" s="6">
        <f>INDEX(FX!$B:$B,MATCH(H128,FX!$A:$A,0))</f>
        <v/>
      </c>
      <c r="K128" s="5">
        <f>I128*J128</f>
        <v/>
      </c>
      <c r="L128" s="4">
        <f>IF(U128&lt;&gt;"",U128,IF(K128&gt;=Umbrales!$B$2,"Legendaria",IF(K128&gt;=Umbrales!$B$3,"Épica",IF(K128&gt;=Umbrales!$B$4,"Rara",IF(K128&gt;=Umbrales!$B$5,"Poco común","Común")))))</f>
        <v/>
      </c>
      <c r="M128" s="5" t="n">
        <v>30026.000384</v>
      </c>
      <c r="N128" s="5" t="n">
        <v>3828.999936</v>
      </c>
      <c r="O128" s="5">
        <f>IF(M128="","",M128*J128)</f>
        <v/>
      </c>
      <c r="P128" s="5">
        <f>IF(N128="","",N128*J128)</f>
        <v/>
      </c>
      <c r="Q128" s="7" t="n">
        <v>0.0103</v>
      </c>
      <c r="R128" s="8" t="n">
        <v>43.58742</v>
      </c>
      <c r="S128" s="4" t="inlineStr">
        <is>
          <t>SP500</t>
        </is>
      </c>
      <c r="T128" s="9" t="inlineStr">
        <is>
          <t>SI</t>
        </is>
      </c>
      <c r="U128" s="9" t="inlineStr"/>
      <c r="V128" s="10">
        <f>Umbrales!$B$9*(K128/1000)^Umbrales!$B$10</f>
        <v/>
      </c>
    </row>
    <row r="129">
      <c r="A129" s="4" t="inlineStr">
        <is>
          <t>DHR</t>
        </is>
      </c>
      <c r="B129" s="4" t="inlineStr">
        <is>
          <t>Danaher Corporation</t>
        </is>
      </c>
      <c r="C129" s="4" t="inlineStr">
        <is>
          <t>United States</t>
        </is>
      </c>
      <c r="D129" s="4" t="inlineStr">
        <is>
          <t>US</t>
        </is>
      </c>
      <c r="E129" s="4" t="inlineStr">
        <is>
          <t>Salud</t>
        </is>
      </c>
      <c r="F129" s="4" t="inlineStr">
        <is>
          <t>Diagnostics &amp; Research</t>
        </is>
      </c>
      <c r="G129" s="4" t="inlineStr">
        <is>
          <t>NYQ</t>
        </is>
      </c>
      <c r="H129" s="4" t="inlineStr">
        <is>
          <t>USD</t>
        </is>
      </c>
      <c r="I129" s="5" t="n">
        <v>157953.933312</v>
      </c>
      <c r="J129" s="6">
        <f>INDEX(FX!$B:$B,MATCH(H129,FX!$A:$A,0))</f>
        <v/>
      </c>
      <c r="K129" s="5">
        <f>I129*J129</f>
        <v/>
      </c>
      <c r="L129" s="4">
        <f>IF(U129&lt;&gt;"",U129,IF(K129&gt;=Umbrales!$B$2,"Legendaria",IF(K129&gt;=Umbrales!$B$3,"Épica",IF(K129&gt;=Umbrales!$B$4,"Rara",IF(K129&gt;=Umbrales!$B$5,"Poco común","Común")))))</f>
        <v/>
      </c>
      <c r="M129" s="5" t="n">
        <v>25106.999296</v>
      </c>
      <c r="N129" s="5" t="n">
        <v>3990.000128</v>
      </c>
      <c r="O129" s="5">
        <f>IF(M129="","",M129*J129)</f>
        <v/>
      </c>
      <c r="P129" s="5">
        <f>IF(N129="","",N129*J129)</f>
        <v/>
      </c>
      <c r="Q129" s="7" t="n">
        <v>0.0072</v>
      </c>
      <c r="R129" s="8" t="n">
        <v>39.69788</v>
      </c>
      <c r="S129" s="4" t="inlineStr">
        <is>
          <t>SP500</t>
        </is>
      </c>
      <c r="T129" s="9" t="inlineStr">
        <is>
          <t>SI</t>
        </is>
      </c>
      <c r="U129" s="9" t="inlineStr"/>
      <c r="V129" s="10">
        <f>Umbrales!$B$9*(K129/1000)^Umbrales!$B$10</f>
        <v/>
      </c>
    </row>
    <row r="130">
      <c r="A130" s="4" t="inlineStr">
        <is>
          <t>T</t>
        </is>
      </c>
      <c r="B130" s="4" t="inlineStr">
        <is>
          <t>AT&amp;T Inc.</t>
        </is>
      </c>
      <c r="C130" s="4" t="inlineStr">
        <is>
          <t>United States</t>
        </is>
      </c>
      <c r="D130" s="4" t="inlineStr">
        <is>
          <t>US</t>
        </is>
      </c>
      <c r="E130" s="4" t="inlineStr">
        <is>
          <t>Comunicación</t>
        </is>
      </c>
      <c r="F130" s="4" t="inlineStr">
        <is>
          <t>Telecom Services</t>
        </is>
      </c>
      <c r="G130" s="4" t="inlineStr">
        <is>
          <t>NYQ</t>
        </is>
      </c>
      <c r="H130" s="4" t="inlineStr">
        <is>
          <t>USD</t>
        </is>
      </c>
      <c r="I130" s="5" t="n">
        <v>157947.4944</v>
      </c>
      <c r="J130" s="6">
        <f>INDEX(FX!$B:$B,MATCH(H130,FX!$A:$A,0))</f>
        <v/>
      </c>
      <c r="K130" s="5">
        <f>I130*J130</f>
        <v/>
      </c>
      <c r="L130" s="4">
        <f>IF(U130&lt;&gt;"",U130,IF(K130&gt;=Umbrales!$B$2,"Legendaria",IF(K130&gt;=Umbrales!$B$3,"Épica",IF(K130&gt;=Umbrales!$B$4,"Rara",IF(K130&gt;=Umbrales!$B$5,"Poco común","Común")))))</f>
        <v/>
      </c>
      <c r="M130" s="5" t="n">
        <v>127238.995968</v>
      </c>
      <c r="N130" s="5" t="n">
        <v>21479.999488</v>
      </c>
      <c r="O130" s="5">
        <f>IF(M130="","",M130*J130)</f>
        <v/>
      </c>
      <c r="P130" s="5">
        <f>IF(N130="","",N130*J130)</f>
        <v/>
      </c>
      <c r="Q130" s="7" t="n">
        <v>0.0486</v>
      </c>
      <c r="R130" s="8" t="n">
        <v>7.5326796</v>
      </c>
      <c r="S130" s="4" t="inlineStr">
        <is>
          <t>SP500</t>
        </is>
      </c>
      <c r="T130" s="9" t="inlineStr">
        <is>
          <t>SI</t>
        </is>
      </c>
      <c r="U130" s="9" t="inlineStr"/>
      <c r="V130" s="10">
        <f>Umbrales!$B$9*(K130/1000)^Umbrales!$B$10</f>
        <v/>
      </c>
    </row>
    <row r="131">
      <c r="A131" s="4" t="inlineStr">
        <is>
          <t>6501.T</t>
        </is>
      </c>
      <c r="B131" s="4" t="inlineStr">
        <is>
          <t>Hitachi, Ltd.</t>
        </is>
      </c>
      <c r="C131" s="4" t="inlineStr">
        <is>
          <t>Japan</t>
        </is>
      </c>
      <c r="D131" s="4" t="inlineStr">
        <is>
          <t>JP</t>
        </is>
      </c>
      <c r="E131" s="4" t="inlineStr">
        <is>
          <t>Industria</t>
        </is>
      </c>
      <c r="F131" s="4" t="inlineStr">
        <is>
          <t>Conglomerates</t>
        </is>
      </c>
      <c r="G131" s="4" t="inlineStr">
        <is>
          <t>JPX</t>
        </is>
      </c>
      <c r="H131" s="4" t="inlineStr">
        <is>
          <t>JPY</t>
        </is>
      </c>
      <c r="I131" s="5" t="n">
        <v>24937402.20416</v>
      </c>
      <c r="J131" s="6">
        <f>INDEX(FX!$B:$B,MATCH(H131,FX!$A:$A,0))</f>
        <v/>
      </c>
      <c r="K131" s="5">
        <f>I131*J131</f>
        <v/>
      </c>
      <c r="L131" s="4">
        <f>IF(U131&lt;&gt;"",U131,IF(K131&gt;=Umbrales!$B$2,"Legendaria",IF(K131&gt;=Umbrales!$B$3,"Épica",IF(K131&gt;=Umbrales!$B$4,"Rara",IF(K131&gt;=Umbrales!$B$5,"Poco común","Común")))))</f>
        <v/>
      </c>
      <c r="M131" s="5" t="n">
        <v>11038041.833472</v>
      </c>
      <c r="N131" s="5" t="n">
        <v>799613.976576</v>
      </c>
      <c r="O131" s="5">
        <f>IF(M131="","",M131*J131)</f>
        <v/>
      </c>
      <c r="P131" s="5">
        <f>IF(N131="","",N131*J131)</f>
        <v/>
      </c>
      <c r="Q131" s="7" t="n">
        <v>0.009599999999999999</v>
      </c>
      <c r="R131" s="8" t="n">
        <v>31.635191</v>
      </c>
      <c r="S131" s="4" t="inlineStr">
        <is>
          <t>ASIA_TOP</t>
        </is>
      </c>
      <c r="T131" s="9" t="inlineStr">
        <is>
          <t>SI</t>
        </is>
      </c>
      <c r="U131" s="9" t="inlineStr"/>
      <c r="V131" s="10">
        <f>Umbrales!$B$9*(K131/1000)^Umbrales!$B$10</f>
        <v/>
      </c>
    </row>
    <row r="132">
      <c r="A132" s="4" t="inlineStr">
        <is>
          <t>TJX</t>
        </is>
      </c>
      <c r="B132" s="4" t="inlineStr">
        <is>
          <t>The TJX Companies, Inc.</t>
        </is>
      </c>
      <c r="C132" s="4" t="inlineStr">
        <is>
          <t>United States</t>
        </is>
      </c>
      <c r="D132" s="4" t="inlineStr">
        <is>
          <t>US</t>
        </is>
      </c>
      <c r="E132" s="4" t="inlineStr">
        <is>
          <t>Consumo cíclico</t>
        </is>
      </c>
      <c r="F132" s="4" t="inlineStr">
        <is>
          <t>Apparel Retail</t>
        </is>
      </c>
      <c r="G132" s="4" t="inlineStr">
        <is>
          <t>NYQ</t>
        </is>
      </c>
      <c r="H132" s="4" t="inlineStr">
        <is>
          <t>USD</t>
        </is>
      </c>
      <c r="I132" s="5" t="n">
        <v>157784.932352</v>
      </c>
      <c r="J132" s="6">
        <f>INDEX(FX!$B:$B,MATCH(H132,FX!$A:$A,0))</f>
        <v/>
      </c>
      <c r="K132" s="5">
        <f>I132*J132</f>
        <v/>
      </c>
      <c r="L132" s="4">
        <f>IF(U132&lt;&gt;"",U132,IF(K132&gt;=Umbrales!$B$2,"Legendaria",IF(K132&gt;=Umbrales!$B$3,"Épica",IF(K132&gt;=Umbrales!$B$4,"Rara",IF(K132&gt;=Umbrales!$B$5,"Poco común","Común")))))</f>
        <v/>
      </c>
      <c r="M132" s="5" t="n">
        <v>62363.000832</v>
      </c>
      <c r="N132" s="5" t="n">
        <v>6066.999808</v>
      </c>
      <c r="O132" s="5">
        <f>IF(M132="","",M132*J132)</f>
        <v/>
      </c>
      <c r="P132" s="5">
        <f>IF(N132="","",N132*J132)</f>
        <v/>
      </c>
      <c r="Q132" s="7" t="n">
        <v>0.0136</v>
      </c>
      <c r="R132" s="8" t="n">
        <v>26.20734</v>
      </c>
      <c r="S132" s="4" t="inlineStr">
        <is>
          <t>SP500</t>
        </is>
      </c>
      <c r="T132" s="9" t="inlineStr">
        <is>
          <t>SI</t>
        </is>
      </c>
      <c r="U132" s="9" t="inlineStr"/>
      <c r="V132" s="10">
        <f>Umbrales!$B$9*(K132/1000)^Umbrales!$B$10</f>
        <v/>
      </c>
    </row>
    <row r="133">
      <c r="A133" s="4" t="inlineStr">
        <is>
          <t>RMS.PA</t>
        </is>
      </c>
      <c r="B133" s="4" t="inlineStr">
        <is>
          <t>Hermès International Société en commandite par actions</t>
        </is>
      </c>
      <c r="C133" s="4" t="inlineStr">
        <is>
          <t>France</t>
        </is>
      </c>
      <c r="D133" s="4" t="inlineStr">
        <is>
          <t>FR</t>
        </is>
      </c>
      <c r="E133" s="4" t="inlineStr">
        <is>
          <t>Consumo cíclico</t>
        </is>
      </c>
      <c r="F133" s="4" t="inlineStr">
        <is>
          <t>Luxury Goods</t>
        </is>
      </c>
      <c r="G133" s="4" t="inlineStr">
        <is>
          <t>PAR</t>
        </is>
      </c>
      <c r="H133" s="4" t="inlineStr">
        <is>
          <t>EUR</t>
        </is>
      </c>
      <c r="I133" s="5" t="n">
        <v>137316.155392</v>
      </c>
      <c r="J133" s="6">
        <f>INDEX(FX!$B:$B,MATCH(H133,FX!$A:$A,0))</f>
        <v/>
      </c>
      <c r="K133" s="5">
        <f>I133*J133</f>
        <v/>
      </c>
      <c r="L133" s="4">
        <f>IF(U133&lt;&gt;"",U133,IF(K133&gt;=Umbrales!$B$2,"Legendaria",IF(K133&gt;=Umbrales!$B$3,"Épica",IF(K133&gt;=Umbrales!$B$4,"Rara",IF(K133&gt;=Umbrales!$B$5,"Poco común","Común")))))</f>
        <v/>
      </c>
      <c r="M133" s="5" t="n">
        <v>16131.00032</v>
      </c>
      <c r="N133" s="5" t="n">
        <v>4515.999744</v>
      </c>
      <c r="O133" s="5">
        <f>IF(M133="","",M133*J133)</f>
        <v/>
      </c>
      <c r="P133" s="5">
        <f>IF(N133="","",N133*J133)</f>
        <v/>
      </c>
      <c r="Q133" s="7" t="n">
        <v>0.014</v>
      </c>
      <c r="R133" s="8" t="n">
        <v>30.488373</v>
      </c>
      <c r="S133" s="4" t="inlineStr">
        <is>
          <t>CAC40, EUROSTOXX50</t>
        </is>
      </c>
      <c r="T133" s="9" t="inlineStr">
        <is>
          <t>SI</t>
        </is>
      </c>
      <c r="U133" s="9" t="inlineStr"/>
      <c r="V133" s="10">
        <f>Umbrales!$B$9*(K133/1000)^Umbrales!$B$10</f>
        <v/>
      </c>
    </row>
    <row r="134">
      <c r="A134" s="4" t="inlineStr">
        <is>
          <t>STX</t>
        </is>
      </c>
      <c r="B134" s="4" t="inlineStr">
        <is>
          <t>Seagate Technology Holdings plc</t>
        </is>
      </c>
      <c r="C134" s="4" t="inlineStr">
        <is>
          <t>Singapore</t>
        </is>
      </c>
      <c r="D134" s="4" t="inlineStr">
        <is>
          <t>SG</t>
        </is>
      </c>
      <c r="E134" s="4" t="inlineStr">
        <is>
          <t>Tecnología</t>
        </is>
      </c>
      <c r="F134" s="4" t="inlineStr">
        <is>
          <t>Computer Hardware</t>
        </is>
      </c>
      <c r="G134" s="4" t="inlineStr">
        <is>
          <t>NMS</t>
        </is>
      </c>
      <c r="H134" s="4" t="inlineStr">
        <is>
          <t>USD</t>
        </is>
      </c>
      <c r="I134" s="5" t="n">
        <v>153175.343104</v>
      </c>
      <c r="J134" s="6">
        <f>INDEX(FX!$B:$B,MATCH(H134,FX!$A:$A,0))</f>
        <v/>
      </c>
      <c r="K134" s="5">
        <f>I134*J134</f>
        <v/>
      </c>
      <c r="L134" s="4">
        <f>IF(U134&lt;&gt;"",U134,IF(K134&gt;=Umbrales!$B$2,"Legendaria",IF(K134&gt;=Umbrales!$B$3,"Épica",IF(K134&gt;=Umbrales!$B$4,"Rara",IF(K134&gt;=Umbrales!$B$5,"Poco común","Común")))))</f>
        <v/>
      </c>
      <c r="M134" s="5" t="n">
        <v>12195.00032</v>
      </c>
      <c r="N134" s="5" t="n">
        <v>3184</v>
      </c>
      <c r="O134" s="5">
        <f>IF(M134="","",M134*J134)</f>
        <v/>
      </c>
      <c r="P134" s="5">
        <f>IF(N134="","",N134*J134)</f>
        <v/>
      </c>
      <c r="Q134" s="7" t="n">
        <v>0.004</v>
      </c>
      <c r="R134" s="8" t="n">
        <v>50.76224</v>
      </c>
      <c r="S134" s="4" t="inlineStr">
        <is>
          <t>SP500</t>
        </is>
      </c>
      <c r="T134" s="9" t="inlineStr">
        <is>
          <t>SI</t>
        </is>
      </c>
      <c r="U134" s="9" t="inlineStr"/>
      <c r="V134" s="10">
        <f>Umbrales!$B$9*(K134/1000)^Umbrales!$B$10</f>
        <v/>
      </c>
    </row>
    <row r="135">
      <c r="A135" s="4" t="inlineStr">
        <is>
          <t>ISRG</t>
        </is>
      </c>
      <c r="B135" s="4" t="inlineStr">
        <is>
          <t>Intuitive Surgical, Inc.</t>
        </is>
      </c>
      <c r="C135" s="4" t="inlineStr">
        <is>
          <t>United States</t>
        </is>
      </c>
      <c r="D135" s="4" t="inlineStr">
        <is>
          <t>US</t>
        </is>
      </c>
      <c r="E135" s="4" t="inlineStr">
        <is>
          <t>Salud</t>
        </is>
      </c>
      <c r="F135" s="4" t="inlineStr">
        <is>
          <t>Medical Instruments &amp; Supplies</t>
        </is>
      </c>
      <c r="G135" s="4" t="inlineStr">
        <is>
          <t>NMS</t>
        </is>
      </c>
      <c r="H135" s="4" t="inlineStr">
        <is>
          <t>USD</t>
        </is>
      </c>
      <c r="I135" s="5" t="n">
        <v>148461.568</v>
      </c>
      <c r="J135" s="6">
        <f>INDEX(FX!$B:$B,MATCH(H135,FX!$A:$A,0))</f>
        <v/>
      </c>
      <c r="K135" s="5">
        <f>I135*J135</f>
        <v/>
      </c>
      <c r="L135" s="4">
        <f>IF(U135&lt;&gt;"",U135,IF(K135&gt;=Umbrales!$B$2,"Legendaria",IF(K135&gt;=Umbrales!$B$3,"Épica",IF(K135&gt;=Umbrales!$B$4,"Rara",IF(K135&gt;=Umbrales!$B$5,"Poco común","Común")))))</f>
        <v/>
      </c>
      <c r="M135" s="5" t="n">
        <v>11034.399744</v>
      </c>
      <c r="N135" s="5" t="n">
        <v>3138.800128</v>
      </c>
      <c r="O135" s="5">
        <f>IF(M135="","",M135*J135)</f>
        <v/>
      </c>
      <c r="P135" s="5">
        <f>IF(N135="","",N135*J135)</f>
        <v/>
      </c>
      <c r="Q135" s="7" t="n">
        <v>0</v>
      </c>
      <c r="R135" s="8" t="n">
        <v>48.192657</v>
      </c>
      <c r="S135" s="4" t="inlineStr">
        <is>
          <t>NASDAQ100, SP500</t>
        </is>
      </c>
      <c r="T135" s="9" t="inlineStr">
        <is>
          <t>SI</t>
        </is>
      </c>
      <c r="U135" s="9" t="inlineStr"/>
      <c r="V135" s="10">
        <f>Umbrales!$B$9*(K135/1000)^Umbrales!$B$10</f>
        <v/>
      </c>
    </row>
    <row r="136">
      <c r="A136" s="4" t="inlineStr">
        <is>
          <t>RR.L</t>
        </is>
      </c>
      <c r="B136" s="4" t="inlineStr">
        <is>
          <t>Rolls-Royce Holdings plc</t>
        </is>
      </c>
      <c r="C136" s="4" t="inlineStr">
        <is>
          <t>United Kingdom</t>
        </is>
      </c>
      <c r="D136" s="4" t="inlineStr">
        <is>
          <t>GB</t>
        </is>
      </c>
      <c r="E136" s="4" t="inlineStr">
        <is>
          <t>Industria</t>
        </is>
      </c>
      <c r="F136" s="4" t="inlineStr">
        <is>
          <t>Aerospace &amp; Defense</t>
        </is>
      </c>
      <c r="G136" s="4" t="inlineStr">
        <is>
          <t>LSE</t>
        </is>
      </c>
      <c r="H136" s="4" t="inlineStr">
        <is>
          <t>GBP</t>
        </is>
      </c>
      <c r="I136" s="5" t="n">
        <v>111019.638784</v>
      </c>
      <c r="J136" s="6">
        <f>INDEX(FX!$B:$B,MATCH(H136,FX!$A:$A,0))</f>
        <v/>
      </c>
      <c r="K136" s="5">
        <f>I136*J136</f>
        <v/>
      </c>
      <c r="L136" s="4">
        <f>IF(U136&lt;&gt;"",U136,IF(K136&gt;=Umbrales!$B$2,"Legendaria",IF(K136&gt;=Umbrales!$B$3,"Épica",IF(K136&gt;=Umbrales!$B$4,"Rara",IF(K136&gt;=Umbrales!$B$5,"Poco común","Común")))))</f>
        <v/>
      </c>
      <c r="M136" s="5" t="n">
        <v>23164.99968</v>
      </c>
      <c r="N136" s="5" t="n">
        <v>3038.000128</v>
      </c>
      <c r="O136" s="5">
        <f>IF(M136="","",M136*J136)</f>
        <v/>
      </c>
      <c r="P136" s="5">
        <f>IF(N136="","",N136*J136)</f>
        <v/>
      </c>
      <c r="Q136" s="7" t="n">
        <v>0.0089</v>
      </c>
      <c r="R136" s="8" t="n">
        <v>37.494442</v>
      </c>
      <c r="S136" s="4" t="inlineStr">
        <is>
          <t>FTSE100, UK_TOP</t>
        </is>
      </c>
      <c r="T136" s="9" t="inlineStr">
        <is>
          <t>SI</t>
        </is>
      </c>
      <c r="U136" s="9" t="inlineStr"/>
      <c r="V136" s="10">
        <f>Umbrales!$B$9*(K136/1000)^Umbrales!$B$10</f>
        <v/>
      </c>
    </row>
    <row r="137">
      <c r="A137" s="4" t="inlineStr">
        <is>
          <t>0883.HK</t>
        </is>
      </c>
      <c r="B137" s="4" t="inlineStr">
        <is>
          <t>CNOOC Limited</t>
        </is>
      </c>
      <c r="C137" s="4" t="inlineStr">
        <is>
          <t>Hong Kong</t>
        </is>
      </c>
      <c r="D137" s="4" t="inlineStr">
        <is>
          <t>HK</t>
        </is>
      </c>
      <c r="E137" s="4" t="inlineStr">
        <is>
          <t>Energía</t>
        </is>
      </c>
      <c r="F137" s="4" t="inlineStr">
        <is>
          <t>Oil &amp; Gas E&amp;P</t>
        </is>
      </c>
      <c r="G137" s="4" t="inlineStr">
        <is>
          <t>HKG</t>
        </is>
      </c>
      <c r="H137" s="4" t="inlineStr">
        <is>
          <t>HKD</t>
        </is>
      </c>
      <c r="I137" s="5" t="n">
        <v>1150224.95744</v>
      </c>
      <c r="J137" s="6">
        <f>INDEX(FX!$B:$B,MATCH(H137,FX!$A:$A,0))</f>
        <v/>
      </c>
      <c r="K137" s="5">
        <f>I137*J137</f>
        <v/>
      </c>
      <c r="L137" s="4">
        <f>IF(U137&lt;&gt;"",U137,IF(K137&gt;=Umbrales!$B$2,"Legendaria",IF(K137&gt;=Umbrales!$B$3,"Épica",IF(K137&gt;=Umbrales!$B$4,"Rara",IF(K137&gt;=Umbrales!$B$5,"Poco común","Común")))))</f>
        <v/>
      </c>
      <c r="M137" s="5" t="n">
        <v>433271.996416</v>
      </c>
      <c r="N137" s="5" t="n">
        <v>138366.992384</v>
      </c>
      <c r="O137" s="5">
        <f>IF(M137="","",M137*J137)</f>
        <v/>
      </c>
      <c r="P137" s="5">
        <f>IF(N137="","",N137*J137)</f>
        <v/>
      </c>
      <c r="Q137" s="7" t="n">
        <v>0.0603</v>
      </c>
      <c r="R137" s="8" t="n">
        <v>7.423313</v>
      </c>
      <c r="S137" s="4" t="inlineStr">
        <is>
          <t>HANGSENG</t>
        </is>
      </c>
      <c r="T137" s="9" t="inlineStr">
        <is>
          <t>SI</t>
        </is>
      </c>
      <c r="U137" s="9" t="inlineStr"/>
      <c r="V137" s="10">
        <f>Umbrales!$B$9*(K137/1000)^Umbrales!$B$10</f>
        <v/>
      </c>
    </row>
    <row r="138">
      <c r="A138" s="4" t="inlineStr">
        <is>
          <t>SAF.PA</t>
        </is>
      </c>
      <c r="B138" s="4" t="inlineStr">
        <is>
          <t>Safran SA</t>
        </is>
      </c>
      <c r="C138" s="4" t="inlineStr">
        <is>
          <t>France</t>
        </is>
      </c>
      <c r="D138" s="4" t="inlineStr">
        <is>
          <t>FR</t>
        </is>
      </c>
      <c r="E138" s="4" t="inlineStr">
        <is>
          <t>Industria</t>
        </is>
      </c>
      <c r="F138" s="4" t="inlineStr">
        <is>
          <t>Aerospace &amp; Defense</t>
        </is>
      </c>
      <c r="G138" s="4" t="inlineStr">
        <is>
          <t>PAR</t>
        </is>
      </c>
      <c r="H138" s="4" t="inlineStr">
        <is>
          <t>EUR</t>
        </is>
      </c>
      <c r="I138" s="5" t="n">
        <v>130254.143488</v>
      </c>
      <c r="J138" s="6">
        <f>INDEX(FX!$B:$B,MATCH(H138,FX!$A:$A,0))</f>
        <v/>
      </c>
      <c r="K138" s="5">
        <f>I138*J138</f>
        <v/>
      </c>
      <c r="L138" s="4">
        <f>IF(U138&lt;&gt;"",U138,IF(K138&gt;=Umbrales!$B$2,"Legendaria",IF(K138&gt;=Umbrales!$B$3,"Épica",IF(K138&gt;=Umbrales!$B$4,"Rara",IF(K138&gt;=Umbrales!$B$5,"Poco común","Común")))))</f>
        <v/>
      </c>
      <c r="M138" s="5" t="n">
        <v>33568.999424</v>
      </c>
      <c r="N138" s="5" t="n">
        <v>3881.999872</v>
      </c>
      <c r="O138" s="5">
        <f>IF(M138="","",M138*J138)</f>
        <v/>
      </c>
      <c r="P138" s="5">
        <f>IF(N138="","",N138*J138)</f>
        <v/>
      </c>
      <c r="Q138" s="7" t="n">
        <v>0.0107</v>
      </c>
      <c r="R138" s="8" t="n">
        <v>33.791622</v>
      </c>
      <c r="S138" s="4" t="inlineStr">
        <is>
          <t>CAC40, EUROSTOXX50</t>
        </is>
      </c>
      <c r="T138" s="9" t="inlineStr">
        <is>
          <t>SI</t>
        </is>
      </c>
      <c r="U138" s="9" t="inlineStr"/>
      <c r="V138" s="10">
        <f>Umbrales!$B$9*(K138/1000)^Umbrales!$B$10</f>
        <v/>
      </c>
    </row>
    <row r="139">
      <c r="A139" s="4" t="inlineStr">
        <is>
          <t>BA</t>
        </is>
      </c>
      <c r="B139" s="4" t="inlineStr">
        <is>
          <t>The Boeing Company</t>
        </is>
      </c>
      <c r="C139" s="4" t="inlineStr">
        <is>
          <t>United States</t>
        </is>
      </c>
      <c r="D139" s="4" t="inlineStr">
        <is>
          <t>US</t>
        </is>
      </c>
      <c r="E139" s="4" t="inlineStr">
        <is>
          <t>Industria</t>
        </is>
      </c>
      <c r="F139" s="4" t="inlineStr">
        <is>
          <t>Aerospace &amp; Defense</t>
        </is>
      </c>
      <c r="G139" s="4" t="inlineStr">
        <is>
          <t>NYQ</t>
        </is>
      </c>
      <c r="H139" s="4" t="inlineStr">
        <is>
          <t>USD</t>
        </is>
      </c>
      <c r="I139" s="5" t="n">
        <v>145843.093504</v>
      </c>
      <c r="J139" s="6">
        <f>INDEX(FX!$B:$B,MATCH(H139,FX!$A:$A,0))</f>
        <v/>
      </c>
      <c r="K139" s="5">
        <f>I139*J139</f>
        <v/>
      </c>
      <c r="L139" s="4">
        <f>IF(U139&lt;&gt;"",U139,IF(K139&gt;=Umbrales!$B$2,"Legendaria",IF(K139&gt;=Umbrales!$B$3,"Épica",IF(K139&gt;=Umbrales!$B$4,"Rara",IF(K139&gt;=Umbrales!$B$5,"Poco común","Común")))))</f>
        <v/>
      </c>
      <c r="M139" s="5" t="n">
        <v>93994.99980799999</v>
      </c>
      <c r="N139" s="5" t="n">
        <v>2088.999936</v>
      </c>
      <c r="O139" s="5">
        <f>IF(M139="","",M139*J139)</f>
        <v/>
      </c>
      <c r="P139" s="5">
        <f>IF(N139="","",N139*J139)</f>
        <v/>
      </c>
      <c r="Q139" s="7" t="n">
        <v>0</v>
      </c>
      <c r="R139" s="8" t="n">
        <v>66.66426</v>
      </c>
      <c r="S139" s="4" t="inlineStr">
        <is>
          <t>DOW30, SP500</t>
        </is>
      </c>
      <c r="T139" s="9" t="inlineStr">
        <is>
          <t>SI</t>
        </is>
      </c>
      <c r="U139" s="9" t="inlineStr"/>
      <c r="V139" s="10">
        <f>Umbrales!$B$9*(K139/1000)^Umbrales!$B$10</f>
        <v/>
      </c>
    </row>
    <row r="140">
      <c r="A140" s="4" t="inlineStr">
        <is>
          <t>UBSG.SW</t>
        </is>
      </c>
      <c r="B140" s="4" t="inlineStr">
        <is>
          <t>UBS Group AG</t>
        </is>
      </c>
      <c r="C140" s="4" t="inlineStr">
        <is>
          <t>Switzerland</t>
        </is>
      </c>
      <c r="D140" s="4" t="inlineStr">
        <is>
          <t>CH</t>
        </is>
      </c>
      <c r="E140" s="4" t="inlineStr">
        <is>
          <t>Finanzas</t>
        </is>
      </c>
      <c r="F140" s="4" t="inlineStr">
        <is>
          <t>Banks - Diversified</t>
        </is>
      </c>
      <c r="G140" s="4" t="inlineStr">
        <is>
          <t>EBS</t>
        </is>
      </c>
      <c r="H140" s="4" t="inlineStr">
        <is>
          <t>CHF</t>
        </is>
      </c>
      <c r="I140" s="5" t="n">
        <v>120510.169088</v>
      </c>
      <c r="J140" s="6">
        <f>INDEX(FX!$B:$B,MATCH(H140,FX!$A:$A,0))</f>
        <v/>
      </c>
      <c r="K140" s="5">
        <f>I140*J140</f>
        <v/>
      </c>
      <c r="L140" s="4">
        <f>IF(U140&lt;&gt;"",U140,IF(K140&gt;=Umbrales!$B$2,"Legendaria",IF(K140&gt;=Umbrales!$B$3,"Épica",IF(K140&gt;=Umbrales!$B$4,"Rara",IF(K140&gt;=Umbrales!$B$5,"Poco común","Común")))))</f>
        <v/>
      </c>
      <c r="M140" s="5" t="n">
        <v>53040.001024</v>
      </c>
      <c r="N140" s="5" t="n">
        <v>9520</v>
      </c>
      <c r="O140" s="5">
        <f>IF(M140="","",M140*J140)</f>
        <v/>
      </c>
      <c r="P140" s="5">
        <f>IF(N140="","",N140*J140)</f>
        <v/>
      </c>
      <c r="Q140" s="7" t="n">
        <v>0.0219</v>
      </c>
      <c r="R140" s="8" t="n">
        <v>16.607595</v>
      </c>
      <c r="S140" s="4" t="inlineStr">
        <is>
          <t>SMI</t>
        </is>
      </c>
      <c r="T140" s="9" t="inlineStr">
        <is>
          <t>SI</t>
        </is>
      </c>
      <c r="U140" s="9" t="inlineStr"/>
      <c r="V140" s="10">
        <f>Umbrales!$B$9*(K140/1000)^Umbrales!$B$10</f>
        <v/>
      </c>
    </row>
    <row r="141">
      <c r="A141" s="4" t="inlineStr">
        <is>
          <t>NOW</t>
        </is>
      </c>
      <c r="B141" s="4" t="inlineStr">
        <is>
          <t>ServiceNow, Inc.</t>
        </is>
      </c>
      <c r="C141" s="4" t="inlineStr">
        <is>
          <t>United States</t>
        </is>
      </c>
      <c r="D141" s="4" t="inlineStr">
        <is>
          <t>US</t>
        </is>
      </c>
      <c r="E141" s="4" t="inlineStr">
        <is>
          <t>Tecnología</t>
        </is>
      </c>
      <c r="F141" s="4" t="inlineStr">
        <is>
          <t>Software - Application</t>
        </is>
      </c>
      <c r="G141" s="4" t="inlineStr">
        <is>
          <t>NYQ</t>
        </is>
      </c>
      <c r="H141" s="4" t="inlineStr">
        <is>
          <t>USD</t>
        </is>
      </c>
      <c r="I141" s="5" t="n">
        <v>144720.003072</v>
      </c>
      <c r="J141" s="6">
        <f>INDEX(FX!$B:$B,MATCH(H141,FX!$A:$A,0))</f>
        <v/>
      </c>
      <c r="K141" s="5">
        <f>I141*J141</f>
        <v/>
      </c>
      <c r="L141" s="4">
        <f>IF(U141&lt;&gt;"",U141,IF(K141&gt;=Umbrales!$B$2,"Legendaria",IF(K141&gt;=Umbrales!$B$3,"Épica",IF(K141&gt;=Umbrales!$B$4,"Rara",IF(K141&gt;=Umbrales!$B$5,"Poco común","Común")))))</f>
        <v/>
      </c>
      <c r="M141" s="5" t="n">
        <v>14732.000256</v>
      </c>
      <c r="N141" s="5" t="n">
        <v>1670</v>
      </c>
      <c r="O141" s="5">
        <f>IF(M141="","",M141*J141)</f>
        <v/>
      </c>
      <c r="P141" s="5">
        <f>IF(N141="","",N141*J141)</f>
        <v/>
      </c>
      <c r="Q141" s="7" t="n">
        <v>0</v>
      </c>
      <c r="R141" s="8" t="n">
        <v>87.487495</v>
      </c>
      <c r="S141" s="4" t="inlineStr">
        <is>
          <t>SP500</t>
        </is>
      </c>
      <c r="T141" s="9" t="inlineStr">
        <is>
          <t>SI</t>
        </is>
      </c>
      <c r="U141" s="9" t="inlineStr"/>
      <c r="V141" s="10">
        <f>Umbrales!$B$9*(K141/1000)^Umbrales!$B$10</f>
        <v/>
      </c>
    </row>
    <row r="142">
      <c r="A142" s="4" t="inlineStr">
        <is>
          <t>6758.T</t>
        </is>
      </c>
      <c r="B142" s="4" t="inlineStr">
        <is>
          <t>Sony Group Corporation</t>
        </is>
      </c>
      <c r="C142" s="4" t="inlineStr">
        <is>
          <t>Japan</t>
        </is>
      </c>
      <c r="D142" s="4" t="inlineStr">
        <is>
          <t>JP</t>
        </is>
      </c>
      <c r="E142" s="4" t="inlineStr">
        <is>
          <t>Tecnología</t>
        </is>
      </c>
      <c r="F142" s="4" t="inlineStr">
        <is>
          <t>Consumer Electronics</t>
        </is>
      </c>
      <c r="G142" s="4" t="inlineStr">
        <is>
          <t>JPX</t>
        </is>
      </c>
      <c r="H142" s="4" t="inlineStr">
        <is>
          <t>JPY</t>
        </is>
      </c>
      <c r="I142" s="5" t="n">
        <v>22676504.576</v>
      </c>
      <c r="J142" s="6">
        <f>INDEX(FX!$B:$B,MATCH(H142,FX!$A:$A,0))</f>
        <v/>
      </c>
      <c r="K142" s="5">
        <f>I142*J142</f>
        <v/>
      </c>
      <c r="L142" s="4">
        <f>IF(U142&lt;&gt;"",U142,IF(K142&gt;=Umbrales!$B$2,"Legendaria",IF(K142&gt;=Umbrales!$B$3,"Épica",IF(K142&gt;=Umbrales!$B$4,"Rara",IF(K142&gt;=Umbrales!$B$5,"Poco común","Común")))))</f>
        <v/>
      </c>
      <c r="M142" s="5" t="n">
        <v>12695775.47776</v>
      </c>
      <c r="N142" s="5" t="n">
        <v>1114027.065344</v>
      </c>
      <c r="O142" s="5">
        <f>IF(M142="","",M142*J142)</f>
        <v/>
      </c>
      <c r="P142" s="5">
        <f>IF(N142="","",N142*J142)</f>
        <v/>
      </c>
      <c r="Q142" s="7" t="n">
        <v>0.0091</v>
      </c>
      <c r="R142" s="8" t="n">
        <v>20.850332</v>
      </c>
      <c r="S142" s="4" t="inlineStr">
        <is>
          <t>ASIA_TOP</t>
        </is>
      </c>
      <c r="T142" s="9" t="inlineStr">
        <is>
          <t>SI</t>
        </is>
      </c>
      <c r="U142" s="9" t="inlineStr"/>
      <c r="V142" s="10">
        <f>Umbrales!$B$9*(K142/1000)^Umbrales!$B$10</f>
        <v/>
      </c>
    </row>
    <row r="143">
      <c r="A143" s="4" t="inlineStr">
        <is>
          <t>RIO.L</t>
        </is>
      </c>
      <c r="B143" s="4" t="inlineStr">
        <is>
          <t>Rio Tinto Group</t>
        </is>
      </c>
      <c r="C143" s="4" t="inlineStr">
        <is>
          <t>United Kingdom</t>
        </is>
      </c>
      <c r="D143" s="4" t="inlineStr">
        <is>
          <t>GB</t>
        </is>
      </c>
      <c r="E143" s="4" t="inlineStr">
        <is>
          <t>Materiales</t>
        </is>
      </c>
      <c r="F143" s="4" t="inlineStr">
        <is>
          <t>Other Industrial Metals &amp; Mining</t>
        </is>
      </c>
      <c r="G143" s="4" t="inlineStr">
        <is>
          <t>LSE</t>
        </is>
      </c>
      <c r="H143" s="4" t="inlineStr">
        <is>
          <t>GBP</t>
        </is>
      </c>
      <c r="I143" s="5" t="n">
        <v>108024.799232</v>
      </c>
      <c r="J143" s="6">
        <f>INDEX(FX!$B:$B,MATCH(H143,FX!$A:$A,0))</f>
        <v/>
      </c>
      <c r="K143" s="5">
        <f>I143*J143</f>
        <v/>
      </c>
      <c r="L143" s="4">
        <f>IF(U143&lt;&gt;"",U143,IF(K143&gt;=Umbrales!$B$2,"Legendaria",IF(K143&gt;=Umbrales!$B$3,"Épica",IF(K143&gt;=Umbrales!$B$4,"Rara",IF(K143&gt;=Umbrales!$B$5,"Poco común","Común")))))</f>
        <v/>
      </c>
      <c r="M143" s="5" t="n">
        <v>61793.001472</v>
      </c>
      <c r="N143" s="5" t="n">
        <v>12101.999616</v>
      </c>
      <c r="O143" s="5">
        <f>IF(M143="","",M143*J143)</f>
        <v/>
      </c>
      <c r="P143" s="5">
        <f>IF(N143="","",N143*J143)</f>
        <v/>
      </c>
      <c r="Q143" s="7" t="n">
        <v>0.0498</v>
      </c>
      <c r="R143" s="8" t="n">
        <v>12.076364</v>
      </c>
      <c r="S143" s="4" t="inlineStr">
        <is>
          <t>FTSE100, UK_TOP</t>
        </is>
      </c>
      <c r="T143" s="9" t="inlineStr">
        <is>
          <t>SI</t>
        </is>
      </c>
      <c r="U143" s="9" t="inlineStr"/>
      <c r="V143" s="10">
        <f>Umbrales!$B$9*(K143/1000)^Umbrales!$B$10</f>
        <v/>
      </c>
    </row>
    <row r="144">
      <c r="A144" s="4" t="inlineStr">
        <is>
          <t>IBKR</t>
        </is>
      </c>
      <c r="B144" s="4" t="inlineStr">
        <is>
          <t>Interactive Brokers Group, Inc.</t>
        </is>
      </c>
      <c r="C144" s="4" t="inlineStr">
        <is>
          <t>United States</t>
        </is>
      </c>
      <c r="D144" s="4" t="inlineStr">
        <is>
          <t>US</t>
        </is>
      </c>
      <c r="E144" s="4" t="inlineStr">
        <is>
          <t>Finanzas</t>
        </is>
      </c>
      <c r="F144" s="4" t="inlineStr">
        <is>
          <t>Capital Markets</t>
        </is>
      </c>
      <c r="G144" s="4" t="inlineStr">
        <is>
          <t>NMS</t>
        </is>
      </c>
      <c r="H144" s="4" t="inlineStr">
        <is>
          <t>USD</t>
        </is>
      </c>
      <c r="I144" s="5" t="n">
        <v>142217.478144</v>
      </c>
      <c r="J144" s="6">
        <f>INDEX(FX!$B:$B,MATCH(H144,FX!$A:$A,0))</f>
        <v/>
      </c>
      <c r="K144" s="5">
        <f>I144*J144</f>
        <v/>
      </c>
      <c r="L144" s="4">
        <f>IF(U144&lt;&gt;"",U144,IF(K144&gt;=Umbrales!$B$2,"Legendaria",IF(K144&gt;=Umbrales!$B$3,"Épica",IF(K144&gt;=Umbrales!$B$4,"Rara",IF(K144&gt;=Umbrales!$B$5,"Poco común","Común")))))</f>
        <v/>
      </c>
      <c r="M144" s="5" t="n">
        <v>6834.999808</v>
      </c>
      <c r="N144" s="5" t="n">
        <v>1126</v>
      </c>
      <c r="O144" s="5">
        <f>IF(M144="","",M144*J144)</f>
        <v/>
      </c>
      <c r="P144" s="5">
        <f>IF(N144="","",N144*J144)</f>
        <v/>
      </c>
      <c r="Q144" s="7" t="n">
        <v>0.004</v>
      </c>
      <c r="R144" s="8" t="n">
        <v>34.491734</v>
      </c>
      <c r="S144" s="4" t="inlineStr">
        <is>
          <t>SP500</t>
        </is>
      </c>
      <c r="T144" s="9" t="inlineStr">
        <is>
          <t>SI</t>
        </is>
      </c>
      <c r="U144" s="9" t="inlineStr"/>
      <c r="V144" s="10">
        <f>Umbrales!$B$9*(K144/1000)^Umbrales!$B$10</f>
        <v/>
      </c>
    </row>
    <row r="145">
      <c r="A145" s="4" t="inlineStr">
        <is>
          <t>BBVA.MC</t>
        </is>
      </c>
      <c r="B145" s="4" t="inlineStr">
        <is>
          <t>Banco Bilbao Vizcaya Argentaria, S.A.</t>
        </is>
      </c>
      <c r="C145" s="4" t="inlineStr">
        <is>
          <t>Spain</t>
        </is>
      </c>
      <c r="D145" s="4" t="inlineStr">
        <is>
          <t>ES</t>
        </is>
      </c>
      <c r="E145" s="4" t="inlineStr">
        <is>
          <t>Finanzas</t>
        </is>
      </c>
      <c r="F145" s="4" t="inlineStr">
        <is>
          <t>Banks - Diversified</t>
        </is>
      </c>
      <c r="G145" s="4" t="inlineStr">
        <is>
          <t>MCE</t>
        </is>
      </c>
      <c r="H145" s="4" t="inlineStr">
        <is>
          <t>EUR</t>
        </is>
      </c>
      <c r="I145" s="5" t="n">
        <v>126554.60352</v>
      </c>
      <c r="J145" s="6">
        <f>INDEX(FX!$B:$B,MATCH(H145,FX!$A:$A,0))</f>
        <v/>
      </c>
      <c r="K145" s="5">
        <f>I145*J145</f>
        <v/>
      </c>
      <c r="L145" s="4">
        <f>IF(U145&lt;&gt;"",U145,IF(K145&gt;=Umbrales!$B$2,"Legendaria",IF(K145&gt;=Umbrales!$B$3,"Épica",IF(K145&gt;=Umbrales!$B$4,"Rara",IF(K145&gt;=Umbrales!$B$5,"Poco común","Común")))))</f>
        <v/>
      </c>
      <c r="M145" s="5" t="n">
        <v>34134.99904</v>
      </c>
      <c r="N145" s="5" t="n">
        <v>10718.000128</v>
      </c>
      <c r="O145" s="5">
        <f>IF(M145="","",M145*J145)</f>
        <v/>
      </c>
      <c r="P145" s="5">
        <f>IF(N145="","",N145*J145)</f>
        <v/>
      </c>
      <c r="Q145" s="7" t="n">
        <v>0.04190000000000001</v>
      </c>
      <c r="R145" s="8" t="n">
        <v>12.239362</v>
      </c>
      <c r="S145" s="4" t="inlineStr">
        <is>
          <t>EUROSTOXX50, IBEX35</t>
        </is>
      </c>
      <c r="T145" s="9" t="inlineStr">
        <is>
          <t>SI</t>
        </is>
      </c>
      <c r="U145" s="9" t="inlineStr"/>
      <c r="V145" s="10">
        <f>Umbrales!$B$9*(K145/1000)^Umbrales!$B$10</f>
        <v/>
      </c>
    </row>
    <row r="146">
      <c r="A146" s="4" t="inlineStr">
        <is>
          <t>MPC</t>
        </is>
      </c>
      <c r="B146" s="4" t="inlineStr">
        <is>
          <t>Marathon Petroleum Corporation</t>
        </is>
      </c>
      <c r="C146" s="4" t="inlineStr">
        <is>
          <t>United States</t>
        </is>
      </c>
      <c r="D146" s="4" t="inlineStr">
        <is>
          <t>US</t>
        </is>
      </c>
      <c r="E146" s="4" t="inlineStr">
        <is>
          <t>Energía</t>
        </is>
      </c>
      <c r="F146" s="4" t="inlineStr">
        <is>
          <t>Oil &amp; Gas Refining &amp; Marketing</t>
        </is>
      </c>
      <c r="G146" s="4" t="inlineStr">
        <is>
          <t>NYQ</t>
        </is>
      </c>
      <c r="H146" s="4" t="inlineStr">
        <is>
          <t>USD</t>
        </is>
      </c>
      <c r="I146" s="5" t="n">
        <v>141565.919232</v>
      </c>
      <c r="J146" s="6">
        <f>INDEX(FX!$B:$B,MATCH(H146,FX!$A:$A,0))</f>
        <v/>
      </c>
      <c r="K146" s="5">
        <f>I146*J146</f>
        <v/>
      </c>
      <c r="L146" s="4">
        <f>IF(U146&lt;&gt;"",U146,IF(K146&gt;=Umbrales!$B$2,"Legendaria",IF(K146&gt;=Umbrales!$B$3,"Épica",IF(K146&gt;=Umbrales!$B$4,"Rara",IF(K146&gt;=Umbrales!$B$5,"Poco común","Común")))))</f>
        <v/>
      </c>
      <c r="M146" s="5" t="n">
        <v>154145.9968</v>
      </c>
      <c r="N146" s="5" t="n">
        <v>8545.999872</v>
      </c>
      <c r="O146" s="5">
        <f>IF(M146="","",M146*J146)</f>
        <v/>
      </c>
      <c r="P146" s="5">
        <f>IF(N146="","",N146*J146)</f>
        <v/>
      </c>
      <c r="Q146" s="7" t="n">
        <v>0.008399999999999999</v>
      </c>
      <c r="R146" s="8" t="n">
        <v>16.51635</v>
      </c>
      <c r="S146" s="4" t="inlineStr">
        <is>
          <t>SP500</t>
        </is>
      </c>
      <c r="T146" s="9" t="inlineStr">
        <is>
          <t>SI</t>
        </is>
      </c>
      <c r="U146" s="9" t="inlineStr"/>
      <c r="V146" s="10">
        <f>Umbrales!$B$9*(K146/1000)^Umbrales!$B$10</f>
        <v/>
      </c>
    </row>
    <row r="147">
      <c r="A147" s="4" t="inlineStr">
        <is>
          <t>UBER</t>
        </is>
      </c>
      <c r="B147" s="4" t="inlineStr">
        <is>
          <t>Uber Technologies, Inc.</t>
        </is>
      </c>
      <c r="C147" s="4" t="inlineStr">
        <is>
          <t>United States</t>
        </is>
      </c>
      <c r="D147" s="4" t="inlineStr">
        <is>
          <t>US</t>
        </is>
      </c>
      <c r="E147" s="4" t="inlineStr">
        <is>
          <t>Tecnología</t>
        </is>
      </c>
      <c r="F147" s="4" t="inlineStr">
        <is>
          <t>Software - Application</t>
        </is>
      </c>
      <c r="G147" s="4" t="inlineStr">
        <is>
          <t>NYQ</t>
        </is>
      </c>
      <c r="H147" s="4" t="inlineStr">
        <is>
          <t>USD</t>
        </is>
      </c>
      <c r="I147" s="5" t="n">
        <v>141528.989696</v>
      </c>
      <c r="J147" s="6">
        <f>INDEX(FX!$B:$B,MATCH(H147,FX!$A:$A,0))</f>
        <v/>
      </c>
      <c r="K147" s="5">
        <f>I147*J147</f>
        <v/>
      </c>
      <c r="L147" s="4">
        <f>IF(U147&lt;&gt;"",U147,IF(K147&gt;=Umbrales!$B$2,"Legendaria",IF(K147&gt;=Umbrales!$B$3,"Épica",IF(K147&gt;=Umbrales!$B$4,"Rara",IF(K147&gt;=Umbrales!$B$5,"Poco común","Común")))))</f>
        <v/>
      </c>
      <c r="M147" s="5" t="n">
        <v>55226.998784</v>
      </c>
      <c r="N147" s="5" t="n">
        <v>9578.999808</v>
      </c>
      <c r="O147" s="5">
        <f>IF(M147="","",M147*J147)</f>
        <v/>
      </c>
      <c r="P147" s="5">
        <f>IF(N147="","",N147*J147)</f>
        <v/>
      </c>
      <c r="Q147" s="7" t="n">
        <v>0</v>
      </c>
      <c r="R147" s="8" t="n">
        <v>15.195176</v>
      </c>
      <c r="S147" s="4" t="inlineStr">
        <is>
          <t>SP500</t>
        </is>
      </c>
      <c r="T147" s="9" t="inlineStr">
        <is>
          <t>SI</t>
        </is>
      </c>
      <c r="U147" s="9" t="inlineStr"/>
      <c r="V147" s="10">
        <f>Umbrales!$B$9*(K147/1000)^Umbrales!$B$10</f>
        <v/>
      </c>
    </row>
    <row r="148">
      <c r="A148" s="4" t="inlineStr">
        <is>
          <t>UNA.AS</t>
        </is>
      </c>
      <c r="B148" s="4" t="inlineStr">
        <is>
          <t>Unilever PLC</t>
        </is>
      </c>
      <c r="C148" s="4" t="inlineStr">
        <is>
          <t>United Kingdom</t>
        </is>
      </c>
      <c r="D148" s="4" t="inlineStr">
        <is>
          <t>GB</t>
        </is>
      </c>
      <c r="E148" s="4" t="inlineStr">
        <is>
          <t>Consumo básico</t>
        </is>
      </c>
      <c r="F148" s="4" t="inlineStr">
        <is>
          <t>Household &amp; Personal Products</t>
        </is>
      </c>
      <c r="G148" s="4" t="inlineStr">
        <is>
          <t>AMS</t>
        </is>
      </c>
      <c r="H148" s="4" t="inlineStr">
        <is>
          <t>EUR</t>
        </is>
      </c>
      <c r="I148" s="5" t="n">
        <v>126111.25248</v>
      </c>
      <c r="J148" s="6">
        <f>INDEX(FX!$B:$B,MATCH(H148,FX!$A:$A,0))</f>
        <v/>
      </c>
      <c r="K148" s="5">
        <f>I148*J148</f>
        <v/>
      </c>
      <c r="L148" s="4">
        <f>IF(U148&lt;&gt;"",U148,IF(K148&gt;=Umbrales!$B$2,"Legendaria",IF(K148&gt;=Umbrales!$B$3,"Épica",IF(K148&gt;=Umbrales!$B$4,"Rara",IF(K148&gt;=Umbrales!$B$5,"Poco común","Común")))))</f>
        <v/>
      </c>
      <c r="M148" s="5" t="n">
        <v>50619.998208</v>
      </c>
      <c r="N148" s="5" t="n">
        <v>5598.000128</v>
      </c>
      <c r="O148" s="5">
        <f>IF(M148="","",M148*J148)</f>
        <v/>
      </c>
      <c r="P148" s="5">
        <f>IF(N148="","",N148*J148)</f>
        <v/>
      </c>
      <c r="Q148" s="7" t="n">
        <v>0.0342</v>
      </c>
      <c r="R148" s="8" t="n">
        <v>13.52425</v>
      </c>
      <c r="S148" s="4" t="inlineStr">
        <is>
          <t>AEX</t>
        </is>
      </c>
      <c r="T148" s="9" t="inlineStr">
        <is>
          <t>SI</t>
        </is>
      </c>
      <c r="U148" s="9" t="inlineStr"/>
      <c r="V148" s="10">
        <f>Umbrales!$B$9*(K148/1000)^Umbrales!$B$10</f>
        <v/>
      </c>
    </row>
    <row r="149">
      <c r="A149" s="4" t="inlineStr">
        <is>
          <t>ULVR.L</t>
        </is>
      </c>
      <c r="B149" s="4" t="inlineStr">
        <is>
          <t>Unilever PLC</t>
        </is>
      </c>
      <c r="C149" s="4" t="inlineStr">
        <is>
          <t>United Kingdom</t>
        </is>
      </c>
      <c r="D149" s="4" t="inlineStr">
        <is>
          <t>GB</t>
        </is>
      </c>
      <c r="E149" s="4" t="inlineStr">
        <is>
          <t>Consumo básico</t>
        </is>
      </c>
      <c r="F149" s="4" t="inlineStr">
        <is>
          <t>Household &amp; Personal Products</t>
        </is>
      </c>
      <c r="G149" s="4" t="inlineStr">
        <is>
          <t>LSE</t>
        </is>
      </c>
      <c r="H149" s="4" t="inlineStr">
        <is>
          <t>GBP</t>
        </is>
      </c>
      <c r="I149" s="5" t="n">
        <v>105652.6336</v>
      </c>
      <c r="J149" s="6">
        <f>INDEX(FX!$B:$B,MATCH(H149,FX!$A:$A,0))</f>
        <v/>
      </c>
      <c r="K149" s="5">
        <f>I149*J149</f>
        <v/>
      </c>
      <c r="L149" s="4">
        <f>IF(U149&lt;&gt;"",U149,IF(K149&gt;=Umbrales!$B$2,"Legendaria",IF(K149&gt;=Umbrales!$B$3,"Épica",IF(K149&gt;=Umbrales!$B$4,"Rara",IF(K149&gt;=Umbrales!$B$5,"Poco común","Común")))))</f>
        <v/>
      </c>
      <c r="M149" s="5" t="n">
        <v>50619.998208</v>
      </c>
      <c r="N149" s="5" t="n">
        <v>5598.000128</v>
      </c>
      <c r="O149" s="5">
        <f>IF(M149="","",M149*J149)</f>
        <v/>
      </c>
      <c r="P149" s="5">
        <f>IF(N149="","",N149*J149)</f>
        <v/>
      </c>
      <c r="Q149" s="7" t="n">
        <v>0.035</v>
      </c>
      <c r="R149" s="8" t="n">
        <v>13.295393</v>
      </c>
      <c r="S149" s="4" t="inlineStr">
        <is>
          <t>FTSE100, UK_TOP</t>
        </is>
      </c>
      <c r="T149" s="9" t="inlineStr">
        <is>
          <t>SI</t>
        </is>
      </c>
      <c r="U149" s="9" t="inlineStr"/>
      <c r="V149" s="10">
        <f>Umbrales!$B$9*(K149/1000)^Umbrales!$B$10</f>
        <v/>
      </c>
    </row>
    <row r="150">
      <c r="A150" s="4" t="inlineStr">
        <is>
          <t>DTE.DE</t>
        </is>
      </c>
      <c r="B150" s="4" t="inlineStr">
        <is>
          <t>Deutsche Telekom AG</t>
        </is>
      </c>
      <c r="C150" s="4" t="inlineStr">
        <is>
          <t>Germany</t>
        </is>
      </c>
      <c r="D150" s="4" t="inlineStr">
        <is>
          <t>DE</t>
        </is>
      </c>
      <c r="E150" s="4" t="inlineStr">
        <is>
          <t>Comunicación</t>
        </is>
      </c>
      <c r="F150" s="4" t="inlineStr">
        <is>
          <t>Telecom Services</t>
        </is>
      </c>
      <c r="G150" s="4" t="inlineStr">
        <is>
          <t>GER</t>
        </is>
      </c>
      <c r="H150" s="4" t="inlineStr">
        <is>
          <t>EUR</t>
        </is>
      </c>
      <c r="I150" s="5" t="n">
        <v>124491.350016</v>
      </c>
      <c r="J150" s="6">
        <f>INDEX(FX!$B:$B,MATCH(H150,FX!$A:$A,0))</f>
        <v/>
      </c>
      <c r="K150" s="5">
        <f>I150*J150</f>
        <v/>
      </c>
      <c r="L150" s="4">
        <f>IF(U150&lt;&gt;"",U150,IF(K150&gt;=Umbrales!$B$2,"Legendaria",IF(K150&gt;=Umbrales!$B$3,"Épica",IF(K150&gt;=Umbrales!$B$4,"Rara",IF(K150&gt;=Umbrales!$B$5,"Poco común","Común")))))</f>
        <v/>
      </c>
      <c r="M150" s="5" t="n">
        <v>123225.997312</v>
      </c>
      <c r="N150" s="5" t="n">
        <v>8641.999872</v>
      </c>
      <c r="O150" s="5">
        <f>IF(M150="","",M150*J150)</f>
        <v/>
      </c>
      <c r="P150" s="5">
        <f>IF(N150="","",N150*J150)</f>
        <v/>
      </c>
      <c r="Q150" s="7" t="n">
        <v>0.0371</v>
      </c>
      <c r="R150" s="8" t="n">
        <v>15.680723</v>
      </c>
      <c r="S150" s="4" t="inlineStr">
        <is>
          <t>DAX40, EUROSTOXX50</t>
        </is>
      </c>
      <c r="T150" s="9" t="inlineStr">
        <is>
          <t>SI</t>
        </is>
      </c>
      <c r="U150" s="9" t="inlineStr"/>
      <c r="V150" s="10">
        <f>Umbrales!$B$9*(K150/1000)^Umbrales!$B$10</f>
        <v/>
      </c>
    </row>
    <row r="151">
      <c r="A151" s="4" t="inlineStr">
        <is>
          <t>CB</t>
        </is>
      </c>
      <c r="B151" s="4" t="inlineStr">
        <is>
          <t>Chubb Limited</t>
        </is>
      </c>
      <c r="C151" s="4" t="inlineStr">
        <is>
          <t>Switzerland</t>
        </is>
      </c>
      <c r="D151" s="4" t="inlineStr">
        <is>
          <t>CH</t>
        </is>
      </c>
      <c r="E151" s="4" t="inlineStr">
        <is>
          <t>Finanzas</t>
        </is>
      </c>
      <c r="F151" s="4" t="inlineStr">
        <is>
          <t>Insurance - Property &amp; Casualty</t>
        </is>
      </c>
      <c r="G151" s="4" t="inlineStr">
        <is>
          <t>NYQ</t>
        </is>
      </c>
      <c r="H151" s="4" t="inlineStr">
        <is>
          <t>USD</t>
        </is>
      </c>
      <c r="I151" s="5" t="n">
        <v>135087.824896</v>
      </c>
      <c r="J151" s="6">
        <f>INDEX(FX!$B:$B,MATCH(H151,FX!$A:$A,0))</f>
        <v/>
      </c>
      <c r="K151" s="5">
        <f>I151*J151</f>
        <v/>
      </c>
      <c r="L151" s="4">
        <f>IF(U151&lt;&gt;"",U151,IF(K151&gt;=Umbrales!$B$2,"Legendaria",IF(K151&gt;=Umbrales!$B$3,"Épica",IF(K151&gt;=Umbrales!$B$4,"Rara",IF(K151&gt;=Umbrales!$B$5,"Poco común","Común")))))</f>
        <v/>
      </c>
      <c r="M151" s="5" t="n">
        <v>61895.999488</v>
      </c>
      <c r="N151" s="5" t="n">
        <v>11185.000448</v>
      </c>
      <c r="O151" s="5">
        <f>IF(M151="","",M151*J151)</f>
        <v/>
      </c>
      <c r="P151" s="5">
        <f>IF(N151="","",N151*J151)</f>
        <v/>
      </c>
      <c r="Q151" s="7" t="n">
        <v>0.0118</v>
      </c>
      <c r="R151" s="8" t="n">
        <v>12.403471</v>
      </c>
      <c r="S151" s="4" t="inlineStr">
        <is>
          <t>SP500</t>
        </is>
      </c>
      <c r="T151" s="9" t="inlineStr">
        <is>
          <t>SI</t>
        </is>
      </c>
      <c r="U151" s="9" t="inlineStr"/>
      <c r="V151" s="10">
        <f>Umbrales!$B$9*(K151/1000)^Umbrales!$B$10</f>
        <v/>
      </c>
    </row>
    <row r="152">
      <c r="A152" s="4" t="inlineStr">
        <is>
          <t>FTNT</t>
        </is>
      </c>
      <c r="B152" s="4" t="inlineStr">
        <is>
          <t>Fortinet, Inc.</t>
        </is>
      </c>
      <c r="C152" s="4" t="inlineStr">
        <is>
          <t>United States</t>
        </is>
      </c>
      <c r="D152" s="4" t="inlineStr">
        <is>
          <t>US</t>
        </is>
      </c>
      <c r="E152" s="4" t="inlineStr">
        <is>
          <t>Tecnología</t>
        </is>
      </c>
      <c r="F152" s="4" t="inlineStr">
        <is>
          <t>Software - Infrastructure</t>
        </is>
      </c>
      <c r="G152" s="4" t="inlineStr">
        <is>
          <t>NMS</t>
        </is>
      </c>
      <c r="H152" s="4" t="inlineStr">
        <is>
          <t>USD</t>
        </is>
      </c>
      <c r="I152" s="5" t="n">
        <v>135040</v>
      </c>
      <c r="J152" s="6">
        <f>INDEX(FX!$B:$B,MATCH(H152,FX!$A:$A,0))</f>
        <v/>
      </c>
      <c r="K152" s="5">
        <f>I152*J152</f>
        <v/>
      </c>
      <c r="L152" s="4">
        <f>IF(U152&lt;&gt;"",U152,IF(K152&gt;=Umbrales!$B$2,"Legendaria",IF(K152&gt;=Umbrales!$B$3,"Épica",IF(K152&gt;=Umbrales!$B$4,"Rara",IF(K152&gt;=Umbrales!$B$5,"Poco común","Común")))))</f>
        <v/>
      </c>
      <c r="M152" s="5" t="n">
        <v>7527.399936</v>
      </c>
      <c r="N152" s="5" t="n">
        <v>2120.700032</v>
      </c>
      <c r="O152" s="5">
        <f>IF(M152="","",M152*J152)</f>
        <v/>
      </c>
      <c r="P152" s="5">
        <f>IF(N152="","",N152*J152)</f>
        <v/>
      </c>
      <c r="Q152" s="7" t="n">
        <v>0</v>
      </c>
      <c r="R152" s="8" t="n">
        <v>65.03534000000001</v>
      </c>
      <c r="S152" s="4" t="inlineStr">
        <is>
          <t>NASDAQ100, SP500</t>
        </is>
      </c>
      <c r="T152" s="9" t="inlineStr">
        <is>
          <t>SI</t>
        </is>
      </c>
      <c r="U152" s="9" t="inlineStr"/>
      <c r="V152" s="10">
        <f>Umbrales!$B$9*(K152/1000)^Umbrales!$B$10</f>
        <v/>
      </c>
    </row>
    <row r="153">
      <c r="A153" s="4" t="inlineStr">
        <is>
          <t>VLO</t>
        </is>
      </c>
      <c r="B153" s="4" t="inlineStr">
        <is>
          <t>Valero Energy Corporation</t>
        </is>
      </c>
      <c r="C153" s="4" t="inlineStr">
        <is>
          <t>United States</t>
        </is>
      </c>
      <c r="D153" s="4" t="inlineStr">
        <is>
          <t>US</t>
        </is>
      </c>
      <c r="E153" s="4" t="inlineStr">
        <is>
          <t>Energía</t>
        </is>
      </c>
      <c r="F153" s="4" t="inlineStr">
        <is>
          <t>Oil &amp; Gas Refining &amp; Marketing</t>
        </is>
      </c>
      <c r="G153" s="4" t="inlineStr">
        <is>
          <t>NYQ</t>
        </is>
      </c>
      <c r="H153" s="4" t="inlineStr">
        <is>
          <t>USD</t>
        </is>
      </c>
      <c r="I153" s="5" t="n">
        <v>132383.285248</v>
      </c>
      <c r="J153" s="6">
        <f>INDEX(FX!$B:$B,MATCH(H153,FX!$A:$A,0))</f>
        <v/>
      </c>
      <c r="K153" s="5">
        <f>I153*J153</f>
        <v/>
      </c>
      <c r="L153" s="4">
        <f>IF(U153&lt;&gt;"",U153,IF(K153&gt;=Umbrales!$B$2,"Legendaria",IF(K153&gt;=Umbrales!$B$3,"Épica",IF(K153&gt;=Umbrales!$B$4,"Rara",IF(K153&gt;=Umbrales!$B$5,"Poco común","Común")))))</f>
        <v/>
      </c>
      <c r="M153" s="5" t="n">
        <v>132429.996032</v>
      </c>
      <c r="N153" s="5" t="n">
        <v>7192.999936</v>
      </c>
      <c r="O153" s="5">
        <f>IF(M153="","",M153*J153)</f>
        <v/>
      </c>
      <c r="P153" s="5">
        <f>IF(N153="","",N153*J153)</f>
        <v/>
      </c>
      <c r="Q153" s="7" t="n">
        <v>0.0105</v>
      </c>
      <c r="R153" s="8" t="n">
        <v>19.165485</v>
      </c>
      <c r="S153" s="4" t="inlineStr">
        <is>
          <t>SP500</t>
        </is>
      </c>
      <c r="T153" s="9" t="inlineStr">
        <is>
          <t>SI</t>
        </is>
      </c>
      <c r="U153" s="9" t="inlineStr"/>
      <c r="V153" s="10">
        <f>Umbrales!$B$9*(K153/1000)^Umbrales!$B$10</f>
        <v/>
      </c>
    </row>
    <row r="154">
      <c r="A154" s="4" t="inlineStr">
        <is>
          <t>ACN</t>
        </is>
      </c>
      <c r="B154" s="4" t="inlineStr">
        <is>
          <t>Accenture plc</t>
        </is>
      </c>
      <c r="C154" s="4" t="inlineStr">
        <is>
          <t>Ireland</t>
        </is>
      </c>
      <c r="D154" s="4" t="inlineStr">
        <is>
          <t>IE</t>
        </is>
      </c>
      <c r="E154" s="4" t="inlineStr">
        <is>
          <t>Tecnología</t>
        </is>
      </c>
      <c r="F154" s="4" t="inlineStr">
        <is>
          <t>Information Technology Services</t>
        </is>
      </c>
      <c r="G154" s="4" t="inlineStr">
        <is>
          <t>NYQ</t>
        </is>
      </c>
      <c r="H154" s="4" t="inlineStr">
        <is>
          <t>USD</t>
        </is>
      </c>
      <c r="I154" s="5" t="n">
        <v>131543.072768</v>
      </c>
      <c r="J154" s="6">
        <f>INDEX(FX!$B:$B,MATCH(H154,FX!$A:$A,0))</f>
        <v/>
      </c>
      <c r="K154" s="5">
        <f>I154*J154</f>
        <v/>
      </c>
      <c r="L154" s="4">
        <f>IF(U154&lt;&gt;"",U154,IF(K154&gt;=Umbrales!$B$2,"Legendaria",IF(K154&gt;=Umbrales!$B$3,"Épica",IF(K154&gt;=Umbrales!$B$4,"Rara",IF(K154&gt;=Umbrales!$B$5,"Poco común","Común")))))</f>
        <v/>
      </c>
      <c r="M154" s="5" t="n">
        <v>74183.442432</v>
      </c>
      <c r="N154" s="5" t="n">
        <v>8367.055872000001</v>
      </c>
      <c r="O154" s="5">
        <f>IF(M154="","",M154*J154)</f>
        <v/>
      </c>
      <c r="P154" s="5">
        <f>IF(N154="","",N154*J154)</f>
        <v/>
      </c>
      <c r="Q154" s="7" t="n">
        <v>0.032</v>
      </c>
      <c r="R154" s="8" t="n">
        <v>15.747986</v>
      </c>
      <c r="S154" s="4" t="inlineStr">
        <is>
          <t>SP500</t>
        </is>
      </c>
      <c r="T154" s="9" t="inlineStr">
        <is>
          <t>SI</t>
        </is>
      </c>
      <c r="U154" s="9" t="inlineStr"/>
      <c r="V154" s="10">
        <f>Umbrales!$B$9*(K154/1000)^Umbrales!$B$10</f>
        <v/>
      </c>
    </row>
    <row r="155">
      <c r="A155" s="4" t="inlineStr">
        <is>
          <t>UCG.MI</t>
        </is>
      </c>
      <c r="B155" s="4" t="inlineStr">
        <is>
          <t>UniCredit S.p.A.</t>
        </is>
      </c>
      <c r="C155" s="4" t="inlineStr">
        <is>
          <t>Italy</t>
        </is>
      </c>
      <c r="D155" s="4" t="inlineStr">
        <is>
          <t>IT</t>
        </is>
      </c>
      <c r="E155" s="4" t="inlineStr">
        <is>
          <t>Finanzas</t>
        </is>
      </c>
      <c r="F155" s="4" t="inlineStr">
        <is>
          <t>Banks - Regional</t>
        </is>
      </c>
      <c r="G155" s="4" t="inlineStr">
        <is>
          <t>MIL</t>
        </is>
      </c>
      <c r="H155" s="4" t="inlineStr">
        <is>
          <t>EUR</t>
        </is>
      </c>
      <c r="I155" s="5" t="n">
        <v>115237.76512</v>
      </c>
      <c r="J155" s="6">
        <f>INDEX(FX!$B:$B,MATCH(H155,FX!$A:$A,0))</f>
        <v/>
      </c>
      <c r="K155" s="5">
        <f>I155*J155</f>
        <v/>
      </c>
      <c r="L155" s="4">
        <f>IF(U155&lt;&gt;"",U155,IF(K155&gt;=Umbrales!$B$2,"Legendaria",IF(K155&gt;=Umbrales!$B$3,"Épica",IF(K155&gt;=Umbrales!$B$4,"Rara",IF(K155&gt;=Umbrales!$B$5,"Poco común","Común")))))</f>
        <v/>
      </c>
      <c r="M155" s="5" t="n">
        <v>24842.999808</v>
      </c>
      <c r="N155" s="5" t="n">
        <v>10728.999936</v>
      </c>
      <c r="O155" s="5">
        <f>IF(M155="","",M155*J155)</f>
        <v/>
      </c>
      <c r="P155" s="5">
        <f>IF(N155="","",N155*J155)</f>
        <v/>
      </c>
      <c r="Q155" s="7" t="n">
        <v>0.0409</v>
      </c>
      <c r="R155" s="8" t="n">
        <v>10.964132</v>
      </c>
      <c r="S155" s="4" t="inlineStr">
        <is>
          <t>EUROSTOXX50, FTSEMIB</t>
        </is>
      </c>
      <c r="T155" s="9" t="inlineStr">
        <is>
          <t>SI</t>
        </is>
      </c>
      <c r="U155" s="9" t="inlineStr"/>
      <c r="V155" s="10">
        <f>Umbrales!$B$9*(K155/1000)^Umbrales!$B$10</f>
        <v/>
      </c>
    </row>
    <row r="156">
      <c r="A156" s="4" t="inlineStr">
        <is>
          <t>WDC</t>
        </is>
      </c>
      <c r="B156" s="4" t="inlineStr">
        <is>
          <t>Western Digital Corporation</t>
        </is>
      </c>
      <c r="C156" s="4" t="inlineStr">
        <is>
          <t>United States</t>
        </is>
      </c>
      <c r="D156" s="4" t="inlineStr">
        <is>
          <t>US</t>
        </is>
      </c>
      <c r="E156" s="4" t="inlineStr">
        <is>
          <t>Tecnología</t>
        </is>
      </c>
      <c r="F156" s="4" t="inlineStr">
        <is>
          <t>Computer Hardware</t>
        </is>
      </c>
      <c r="G156" s="4" t="inlineStr">
        <is>
          <t>NMS</t>
        </is>
      </c>
      <c r="H156" s="4" t="inlineStr">
        <is>
          <t>USD</t>
        </is>
      </c>
      <c r="I156" s="5" t="n">
        <v>129145.274368</v>
      </c>
      <c r="J156" s="6">
        <f>INDEX(FX!$B:$B,MATCH(H156,FX!$A:$A,0))</f>
        <v/>
      </c>
      <c r="K156" s="5">
        <f>I156*J156</f>
        <v/>
      </c>
      <c r="L156" s="4">
        <f>IF(U156&lt;&gt;"",U156,IF(K156&gt;=Umbrales!$B$2,"Legendaria",IF(K156&gt;=Umbrales!$B$3,"Épica",IF(K156&gt;=Umbrales!$B$4,"Rara",IF(K156&gt;=Umbrales!$B$5,"Poco común","Común")))))</f>
        <v/>
      </c>
      <c r="M156" s="5" t="n">
        <v>12919.000064</v>
      </c>
      <c r="N156" s="5" t="n">
        <v>9285.999615999999</v>
      </c>
      <c r="O156" s="5">
        <f>IF(M156="","",M156*J156)</f>
        <v/>
      </c>
      <c r="P156" s="5">
        <f>IF(N156="","",N156*J156)</f>
        <v/>
      </c>
      <c r="Q156" s="7" t="n">
        <v>0.0016</v>
      </c>
      <c r="R156" s="8" t="n">
        <v>13.398447</v>
      </c>
      <c r="S156" s="4" t="inlineStr">
        <is>
          <t>SP500</t>
        </is>
      </c>
      <c r="T156" s="9" t="inlineStr">
        <is>
          <t>SI</t>
        </is>
      </c>
      <c r="U156" s="9" t="inlineStr"/>
      <c r="V156" s="10">
        <f>Umbrales!$B$9*(K156/1000)^Umbrales!$B$10</f>
        <v/>
      </c>
    </row>
    <row r="157">
      <c r="A157" s="4" t="inlineStr">
        <is>
          <t>BX</t>
        </is>
      </c>
      <c r="B157" s="4" t="inlineStr">
        <is>
          <t>Blackstone Inc.</t>
        </is>
      </c>
      <c r="C157" s="4" t="inlineStr">
        <is>
          <t>United States</t>
        </is>
      </c>
      <c r="D157" s="4" t="inlineStr">
        <is>
          <t>US</t>
        </is>
      </c>
      <c r="E157" s="4" t="inlineStr">
        <is>
          <t>Finanzas</t>
        </is>
      </c>
      <c r="F157" s="4" t="inlineStr">
        <is>
          <t>Asset Management</t>
        </is>
      </c>
      <c r="G157" s="4" t="inlineStr">
        <is>
          <t>NYQ</t>
        </is>
      </c>
      <c r="H157" s="4" t="inlineStr">
        <is>
          <t>USD</t>
        </is>
      </c>
      <c r="I157" s="5" t="n">
        <v>126952.579072</v>
      </c>
      <c r="J157" s="6">
        <f>INDEX(FX!$B:$B,MATCH(H157,FX!$A:$A,0))</f>
        <v/>
      </c>
      <c r="K157" s="5">
        <f>I157*J157</f>
        <v/>
      </c>
      <c r="L157" s="4">
        <f>IF(U157&lt;&gt;"",U157,IF(K157&gt;=Umbrales!$B$2,"Legendaria",IF(K157&gt;=Umbrales!$B$3,"Épica",IF(K157&gt;=Umbrales!$B$4,"Rara",IF(K157&gt;=Umbrales!$B$5,"Poco común","Común")))))</f>
        <v/>
      </c>
      <c r="M157" s="5" t="n">
        <v>15483.307008</v>
      </c>
      <c r="N157" s="5" t="n">
        <v>3519.035904</v>
      </c>
      <c r="O157" s="5">
        <f>IF(M157="","",M157*J157)</f>
        <v/>
      </c>
      <c r="P157" s="5">
        <f>IF(N157="","",N157*J157)</f>
        <v/>
      </c>
      <c r="Q157" s="7" t="n">
        <v>0.0476</v>
      </c>
      <c r="R157" s="8" t="n">
        <v>23.867416</v>
      </c>
      <c r="S157" s="4" t="inlineStr">
        <is>
          <t>SP500</t>
        </is>
      </c>
      <c r="T157" s="9" t="inlineStr">
        <is>
          <t>SI</t>
        </is>
      </c>
      <c r="U157" s="9" t="inlineStr"/>
      <c r="V157" s="10">
        <f>Umbrales!$B$9*(K157/1000)^Umbrales!$B$10</f>
        <v/>
      </c>
    </row>
    <row r="158">
      <c r="A158" s="4" t="inlineStr">
        <is>
          <t>PLD</t>
        </is>
      </c>
      <c r="B158" s="4" t="inlineStr">
        <is>
          <t>Prologis, Inc.</t>
        </is>
      </c>
      <c r="C158" s="4" t="inlineStr">
        <is>
          <t>United States</t>
        </is>
      </c>
      <c r="D158" s="4" t="inlineStr">
        <is>
          <t>US</t>
        </is>
      </c>
      <c r="E158" s="4" t="inlineStr">
        <is>
          <t>Inmobiliario</t>
        </is>
      </c>
      <c r="F158" s="4" t="inlineStr">
        <is>
          <t>REIT - Industrial</t>
        </is>
      </c>
      <c r="G158" s="4" t="inlineStr">
        <is>
          <t>NYQ</t>
        </is>
      </c>
      <c r="H158" s="4" t="inlineStr">
        <is>
          <t>USD</t>
        </is>
      </c>
      <c r="I158" s="5" t="n">
        <v>126819.049472</v>
      </c>
      <c r="J158" s="6">
        <f>INDEX(FX!$B:$B,MATCH(H158,FX!$A:$A,0))</f>
        <v/>
      </c>
      <c r="K158" s="5">
        <f>I158*J158</f>
        <v/>
      </c>
      <c r="L158" s="4">
        <f>IF(U158&lt;&gt;"",U158,IF(K158&gt;=Umbrales!$B$2,"Legendaria",IF(K158&gt;=Umbrales!$B$3,"Épica",IF(K158&gt;=Umbrales!$B$4,"Rara",IF(K158&gt;=Umbrales!$B$5,"Poco común","Común")))))</f>
        <v/>
      </c>
      <c r="M158" s="5" t="n">
        <v>9657.474048</v>
      </c>
      <c r="N158" s="5" t="n">
        <v>4202.444032</v>
      </c>
      <c r="O158" s="5">
        <f>IF(M158="","",M158*J158)</f>
        <v/>
      </c>
      <c r="P158" s="5">
        <f>IF(N158="","",N158*J158)</f>
        <v/>
      </c>
      <c r="Q158" s="7" t="n">
        <v>0.032</v>
      </c>
      <c r="R158" s="8" t="n">
        <v>29.650002</v>
      </c>
      <c r="S158" s="4" t="inlineStr">
        <is>
          <t>SP500</t>
        </is>
      </c>
      <c r="T158" s="9" t="inlineStr">
        <is>
          <t>SI</t>
        </is>
      </c>
      <c r="U158" s="9" t="inlineStr"/>
      <c r="V158" s="10">
        <f>Umbrales!$B$9*(K158/1000)^Umbrales!$B$10</f>
        <v/>
      </c>
    </row>
    <row r="159">
      <c r="A159" s="4" t="inlineStr">
        <is>
          <t>INVE-B.ST</t>
        </is>
      </c>
      <c r="B159" s="4" t="inlineStr">
        <is>
          <t>Investor AB (publ)</t>
        </is>
      </c>
      <c r="C159" s="4" t="inlineStr">
        <is>
          <t>Sweden</t>
        </is>
      </c>
      <c r="D159" s="4" t="inlineStr">
        <is>
          <t>SE</t>
        </is>
      </c>
      <c r="E159" s="4" t="inlineStr">
        <is>
          <t>Finanzas</t>
        </is>
      </c>
      <c r="F159" s="4" t="inlineStr">
        <is>
          <t>Asset Management</t>
        </is>
      </c>
      <c r="G159" s="4" t="inlineStr">
        <is>
          <t>STO</t>
        </is>
      </c>
      <c r="H159" s="4" t="inlineStr">
        <is>
          <t>SEK</t>
        </is>
      </c>
      <c r="I159" s="5" t="n">
        <v>1261408.485376</v>
      </c>
      <c r="J159" s="6">
        <f>INDEX(FX!$B:$B,MATCH(H159,FX!$A:$A,0))</f>
        <v/>
      </c>
      <c r="K159" s="5">
        <f>I159*J159</f>
        <v/>
      </c>
      <c r="L159" s="4">
        <f>IF(U159&lt;&gt;"",U159,IF(K159&gt;=Umbrales!$B$2,"Legendaria",IF(K159&gt;=Umbrales!$B$3,"Épica",IF(K159&gt;=Umbrales!$B$4,"Rara",IF(K159&gt;=Umbrales!$B$5,"Poco común","Común")))))</f>
        <v/>
      </c>
      <c r="M159" s="5" t="n">
        <v>328016.003072</v>
      </c>
      <c r="N159" s="5" t="n">
        <v>262632.996864</v>
      </c>
      <c r="O159" s="5">
        <f>IF(M159="","",M159*J159)</f>
        <v/>
      </c>
      <c r="P159" s="5">
        <f>IF(N159="","",N159*J159)</f>
        <v/>
      </c>
      <c r="Q159" s="7" t="n">
        <v>0.0131</v>
      </c>
      <c r="R159" s="8" t="n">
        <v>4.805672</v>
      </c>
      <c r="S159" s="4" t="inlineStr">
        <is>
          <t>OMXS30</t>
        </is>
      </c>
      <c r="T159" s="9" t="inlineStr">
        <is>
          <t>SI</t>
        </is>
      </c>
      <c r="U159" s="9" t="inlineStr"/>
      <c r="V159" s="10">
        <f>Umbrales!$B$9*(K159/1000)^Umbrales!$B$10</f>
        <v/>
      </c>
    </row>
    <row r="160">
      <c r="A160" s="4" t="inlineStr">
        <is>
          <t>VRTX</t>
        </is>
      </c>
      <c r="B160" s="4" t="inlineStr">
        <is>
          <t>Vertex Pharmaceuticals Incorporated</t>
        </is>
      </c>
      <c r="C160" s="4" t="inlineStr">
        <is>
          <t>United States</t>
        </is>
      </c>
      <c r="D160" s="4" t="inlineStr">
        <is>
          <t>US</t>
        </is>
      </c>
      <c r="E160" s="4" t="inlineStr">
        <is>
          <t>Salud</t>
        </is>
      </c>
      <c r="F160" s="4" t="inlineStr">
        <is>
          <t>Biotechnology</t>
        </is>
      </c>
      <c r="G160" s="4" t="inlineStr">
        <is>
          <t>NMS</t>
        </is>
      </c>
      <c r="H160" s="4" t="inlineStr">
        <is>
          <t>USD</t>
        </is>
      </c>
      <c r="I160" s="5" t="n">
        <v>126270.046208</v>
      </c>
      <c r="J160" s="6">
        <f>INDEX(FX!$B:$B,MATCH(H160,FX!$A:$A,0))</f>
        <v/>
      </c>
      <c r="K160" s="5">
        <f>I160*J160</f>
        <v/>
      </c>
      <c r="L160" s="4">
        <f>IF(U160&lt;&gt;"",U160,IF(K160&gt;=Umbrales!$B$2,"Legendaria",IF(K160&gt;=Umbrales!$B$3,"Épica",IF(K160&gt;=Umbrales!$B$4,"Rara",IF(K160&gt;=Umbrales!$B$5,"Poco común","Común")))))</f>
        <v/>
      </c>
      <c r="M160" s="5" t="n">
        <v>12587.200512</v>
      </c>
      <c r="N160" s="5" t="n">
        <v>4405.199872</v>
      </c>
      <c r="O160" s="5">
        <f>IF(M160="","",M160*J160)</f>
        <v/>
      </c>
      <c r="P160" s="5">
        <f>IF(N160="","",N160*J160)</f>
        <v/>
      </c>
      <c r="Q160" s="7" t="n">
        <v>0</v>
      </c>
      <c r="R160" s="8" t="n">
        <v>29.033197</v>
      </c>
      <c r="S160" s="4" t="inlineStr">
        <is>
          <t>NASDAQ100, SP500</t>
        </is>
      </c>
      <c r="T160" s="9" t="inlineStr">
        <is>
          <t>SI</t>
        </is>
      </c>
      <c r="U160" s="9" t="inlineStr"/>
      <c r="V160" s="10">
        <f>Umbrales!$B$9*(K160/1000)^Umbrales!$B$10</f>
        <v/>
      </c>
    </row>
    <row r="161">
      <c r="A161" s="4" t="inlineStr">
        <is>
          <t>BP.L</t>
        </is>
      </c>
      <c r="B161" s="4" t="inlineStr">
        <is>
          <t>BP p.l.c.</t>
        </is>
      </c>
      <c r="C161" s="4" t="inlineStr">
        <is>
          <t>United Kingdom</t>
        </is>
      </c>
      <c r="D161" s="4" t="inlineStr">
        <is>
          <t>GB</t>
        </is>
      </c>
      <c r="E161" s="4" t="inlineStr">
        <is>
          <t>Energía</t>
        </is>
      </c>
      <c r="F161" s="4" t="inlineStr">
        <is>
          <t>Oil &amp; Gas Integrated</t>
        </is>
      </c>
      <c r="G161" s="4" t="inlineStr">
        <is>
          <t>LSE</t>
        </is>
      </c>
      <c r="H161" s="4" t="inlineStr">
        <is>
          <t>GBP</t>
        </is>
      </c>
      <c r="I161" s="5" t="n">
        <v>94688.518144</v>
      </c>
      <c r="J161" s="6">
        <f>INDEX(FX!$B:$B,MATCH(H161,FX!$A:$A,0))</f>
        <v/>
      </c>
      <c r="K161" s="5">
        <f>I161*J161</f>
        <v/>
      </c>
      <c r="L161" s="4">
        <f>IF(U161&lt;&gt;"",U161,IF(K161&gt;=Umbrales!$B$2,"Legendaria",IF(K161&gt;=Umbrales!$B$3,"Épica",IF(K161&gt;=Umbrales!$B$4,"Rara",IF(K161&gt;=Umbrales!$B$5,"Poco común","Común")))))</f>
        <v/>
      </c>
      <c r="M161" s="5" t="n">
        <v>215465.00096</v>
      </c>
      <c r="N161" s="5" t="n">
        <v>5425.999872</v>
      </c>
      <c r="O161" s="5">
        <f>IF(M161="","",M161*J161)</f>
        <v/>
      </c>
      <c r="P161" s="5">
        <f>IF(N161="","",N161*J161)</f>
        <v/>
      </c>
      <c r="Q161" s="7" t="n">
        <v>0.0411</v>
      </c>
      <c r="R161" s="8" t="n">
        <v>24.5092</v>
      </c>
      <c r="S161" s="4" t="inlineStr">
        <is>
          <t>FTSE100, UK_TOP</t>
        </is>
      </c>
      <c r="T161" s="9" t="inlineStr">
        <is>
          <t>SI</t>
        </is>
      </c>
      <c r="U161" s="9" t="inlineStr"/>
      <c r="V161" s="10">
        <f>Umbrales!$B$9*(K161/1000)^Umbrales!$B$10</f>
        <v/>
      </c>
    </row>
    <row r="162">
      <c r="A162" s="4" t="inlineStr">
        <is>
          <t>BATS.L</t>
        </is>
      </c>
      <c r="B162" s="4" t="inlineStr">
        <is>
          <t>British American Tobacco p.l.c.</t>
        </is>
      </c>
      <c r="C162" s="4" t="inlineStr">
        <is>
          <t>United Kingdom</t>
        </is>
      </c>
      <c r="D162" s="4" t="inlineStr">
        <is>
          <t>GB</t>
        </is>
      </c>
      <c r="E162" s="4" t="inlineStr">
        <is>
          <t>Consumo básico</t>
        </is>
      </c>
      <c r="F162" s="4" t="inlineStr">
        <is>
          <t>Tobacco</t>
        </is>
      </c>
      <c r="G162" s="4" t="inlineStr">
        <is>
          <t>LSE</t>
        </is>
      </c>
      <c r="H162" s="4" t="inlineStr">
        <is>
          <t>GBP</t>
        </is>
      </c>
      <c r="I162" s="5" t="n">
        <v>94167.130112</v>
      </c>
      <c r="J162" s="6">
        <f>INDEX(FX!$B:$B,MATCH(H162,FX!$A:$A,0))</f>
        <v/>
      </c>
      <c r="K162" s="5">
        <f>I162*J162</f>
        <v/>
      </c>
      <c r="L162" s="4">
        <f>IF(U162&lt;&gt;"",U162,IF(K162&gt;=Umbrales!$B$2,"Legendaria",IF(K162&gt;=Umbrales!$B$3,"Épica",IF(K162&gt;=Umbrales!$B$4,"Rara",IF(K162&gt;=Umbrales!$B$5,"Poco común","Común")))))</f>
        <v/>
      </c>
      <c r="M162" s="5" t="n">
        <v>25776.001024</v>
      </c>
      <c r="N162" s="5" t="n">
        <v>6349.000192</v>
      </c>
      <c r="O162" s="5">
        <f>IF(M162="","",M162*J162)</f>
        <v/>
      </c>
      <c r="P162" s="5">
        <f>IF(N162="","",N162*J162)</f>
        <v/>
      </c>
      <c r="Q162" s="7" t="n">
        <v>0.058</v>
      </c>
      <c r="R162" s="8" t="n">
        <v>15.04811</v>
      </c>
      <c r="S162" s="4" t="inlineStr">
        <is>
          <t>FTSE100, UK_TOP</t>
        </is>
      </c>
      <c r="T162" s="9" t="inlineStr">
        <is>
          <t>SI</t>
        </is>
      </c>
      <c r="U162" s="9" t="inlineStr"/>
      <c r="V162" s="10">
        <f>Umbrales!$B$9*(K162/1000)^Umbrales!$B$10</f>
        <v/>
      </c>
    </row>
    <row r="163">
      <c r="A163" s="4" t="inlineStr">
        <is>
          <t>BKNG</t>
        </is>
      </c>
      <c r="B163" s="4" t="inlineStr">
        <is>
          <t>Booking Holdings Inc.</t>
        </is>
      </c>
      <c r="C163" s="4" t="inlineStr">
        <is>
          <t>United States</t>
        </is>
      </c>
      <c r="D163" s="4" t="inlineStr">
        <is>
          <t>US</t>
        </is>
      </c>
      <c r="E163" s="4" t="inlineStr">
        <is>
          <t>Consumo cíclico</t>
        </is>
      </c>
      <c r="F163" s="4" t="inlineStr">
        <is>
          <t>Travel Services</t>
        </is>
      </c>
      <c r="G163" s="4" t="inlineStr">
        <is>
          <t>NMS</t>
        </is>
      </c>
      <c r="H163" s="4" t="inlineStr">
        <is>
          <t>USD</t>
        </is>
      </c>
      <c r="I163" s="5" t="n">
        <v>124507.46368</v>
      </c>
      <c r="J163" s="6">
        <f>INDEX(FX!$B:$B,MATCH(H163,FX!$A:$A,0))</f>
        <v/>
      </c>
      <c r="K163" s="5">
        <f>I163*J163</f>
        <v/>
      </c>
      <c r="L163" s="4">
        <f>IF(U163&lt;&gt;"",U163,IF(K163&gt;=Umbrales!$B$2,"Legendaria",IF(K163&gt;=Umbrales!$B$3,"Épica",IF(K163&gt;=Umbrales!$B$4,"Rara",IF(K163&gt;=Umbrales!$B$5,"Poco común","Común")))))</f>
        <v/>
      </c>
      <c r="M163" s="5" t="n">
        <v>28241.000448</v>
      </c>
      <c r="N163" s="5" t="n">
        <v>7208.999936</v>
      </c>
      <c r="O163" s="5">
        <f>IF(M163="","",M163*J163)</f>
        <v/>
      </c>
      <c r="P163" s="5">
        <f>IF(N163="","",N163*J163)</f>
        <v/>
      </c>
      <c r="Q163" s="7" t="n">
        <v>0.0107</v>
      </c>
      <c r="R163" s="8" t="n">
        <v>17.446253</v>
      </c>
      <c r="S163" s="4" t="inlineStr">
        <is>
          <t>NASDAQ100, SP500</t>
        </is>
      </c>
      <c r="T163" s="9" t="inlineStr">
        <is>
          <t>SI</t>
        </is>
      </c>
      <c r="U163" s="9" t="inlineStr"/>
      <c r="V163" s="10">
        <f>Umbrales!$B$9*(K163/1000)^Umbrales!$B$10</f>
        <v/>
      </c>
    </row>
    <row r="164">
      <c r="A164" s="4" t="inlineStr">
        <is>
          <t>CFR.SW</t>
        </is>
      </c>
      <c r="B164" s="4" t="inlineStr">
        <is>
          <t>Compagnie Financière Richemont SA</t>
        </is>
      </c>
      <c r="C164" s="4" t="inlineStr">
        <is>
          <t>Switzerland</t>
        </is>
      </c>
      <c r="D164" s="4" t="inlineStr">
        <is>
          <t>CH</t>
        </is>
      </c>
      <c r="E164" s="4" t="inlineStr">
        <is>
          <t>Consumo cíclico</t>
        </is>
      </c>
      <c r="F164" s="4" t="inlineStr">
        <is>
          <t>Luxury Goods</t>
        </is>
      </c>
      <c r="G164" s="4" t="inlineStr">
        <is>
          <t>EBS</t>
        </is>
      </c>
      <c r="H164" s="4" t="inlineStr">
        <is>
          <t>CHF</t>
        </is>
      </c>
      <c r="I164" s="5" t="n">
        <v>103007.133696</v>
      </c>
      <c r="J164" s="6">
        <f>INDEX(FX!$B:$B,MATCH(H164,FX!$A:$A,0))</f>
        <v/>
      </c>
      <c r="K164" s="5">
        <f>I164*J164</f>
        <v/>
      </c>
      <c r="L164" s="4">
        <f>IF(U164&lt;&gt;"",U164,IF(K164&gt;=Umbrales!$B$2,"Legendaria",IF(K164&gt;=Umbrales!$B$3,"Épica",IF(K164&gt;=Umbrales!$B$4,"Rara",IF(K164&gt;=Umbrales!$B$5,"Poco común","Común")))))</f>
        <v/>
      </c>
      <c r="M164" s="5" t="n">
        <v>22420.000768</v>
      </c>
      <c r="N164" s="5" t="n">
        <v>3464</v>
      </c>
      <c r="O164" s="5">
        <f>IF(M164="","",M164*J164)</f>
        <v/>
      </c>
      <c r="P164" s="5">
        <f>IF(N164="","",N164*J164)</f>
        <v/>
      </c>
      <c r="Q164" s="7" t="n">
        <v>0.019</v>
      </c>
      <c r="R164" s="8" t="n">
        <v>32.02925</v>
      </c>
      <c r="S164" s="4" t="inlineStr">
        <is>
          <t>SMI</t>
        </is>
      </c>
      <c r="T164" s="9" t="inlineStr">
        <is>
          <t>SI</t>
        </is>
      </c>
      <c r="U164" s="9" t="inlineStr"/>
      <c r="V164" s="10">
        <f>Umbrales!$B$9*(K164/1000)^Umbrales!$B$10</f>
        <v/>
      </c>
    </row>
    <row r="165">
      <c r="A165" s="4" t="inlineStr">
        <is>
          <t>PGR</t>
        </is>
      </c>
      <c r="B165" s="4" t="inlineStr">
        <is>
          <t>The Progressive Corporation</t>
        </is>
      </c>
      <c r="C165" s="4" t="inlineStr">
        <is>
          <t>United States</t>
        </is>
      </c>
      <c r="D165" s="4" t="inlineStr">
        <is>
          <t>US</t>
        </is>
      </c>
      <c r="E165" s="4" t="inlineStr">
        <is>
          <t>Finanzas</t>
        </is>
      </c>
      <c r="F165" s="4" t="inlineStr">
        <is>
          <t>Insurance - Property &amp; Casualty</t>
        </is>
      </c>
      <c r="G165" s="4" t="inlineStr">
        <is>
          <t>NYQ</t>
        </is>
      </c>
      <c r="H165" s="4" t="inlineStr">
        <is>
          <t>USD</t>
        </is>
      </c>
      <c r="I165" s="5" t="n">
        <v>123892.187136</v>
      </c>
      <c r="J165" s="6">
        <f>INDEX(FX!$B:$B,MATCH(H165,FX!$A:$A,0))</f>
        <v/>
      </c>
      <c r="K165" s="5">
        <f>I165*J165</f>
        <v/>
      </c>
      <c r="L165" s="4">
        <f>IF(U165&lt;&gt;"",U165,IF(K165&gt;=Umbrales!$B$2,"Legendaria",IF(K165&gt;=Umbrales!$B$3,"Épica",IF(K165&gt;=Umbrales!$B$4,"Rara",IF(K165&gt;=Umbrales!$B$5,"Poco común","Común")))))</f>
        <v/>
      </c>
      <c r="M165" s="5" t="n">
        <v>91019.001856</v>
      </c>
      <c r="N165" s="5" t="n">
        <v>11694.999552</v>
      </c>
      <c r="O165" s="5">
        <f>IF(M165="","",M165*J165)</f>
        <v/>
      </c>
      <c r="P165" s="5">
        <f>IF(N165="","",N165*J165)</f>
        <v/>
      </c>
      <c r="Q165" s="7" t="n">
        <v>0.0018</v>
      </c>
      <c r="R165" s="8" t="n">
        <v>11.175917</v>
      </c>
      <c r="S165" s="4" t="inlineStr">
        <is>
          <t>SP500</t>
        </is>
      </c>
      <c r="T165" s="9" t="inlineStr">
        <is>
          <t>SI</t>
        </is>
      </c>
      <c r="U165" s="9" t="inlineStr"/>
      <c r="V165" s="10">
        <f>Umbrales!$B$9*(K165/1000)^Umbrales!$B$10</f>
        <v/>
      </c>
    </row>
    <row r="166">
      <c r="A166" s="4" t="inlineStr">
        <is>
          <t>AI.PA</t>
        </is>
      </c>
      <c r="B166" s="4" t="inlineStr">
        <is>
          <t>L'Air Liquide S.A.</t>
        </is>
      </c>
      <c r="C166" s="4" t="inlineStr">
        <is>
          <t>France</t>
        </is>
      </c>
      <c r="D166" s="4" t="inlineStr">
        <is>
          <t>FR</t>
        </is>
      </c>
      <c r="E166" s="4" t="inlineStr">
        <is>
          <t>Materiales</t>
        </is>
      </c>
      <c r="F166" s="4" t="inlineStr">
        <is>
          <t>Specialty Chemicals</t>
        </is>
      </c>
      <c r="G166" s="4" t="inlineStr">
        <is>
          <t>PAR</t>
        </is>
      </c>
      <c r="H166" s="4" t="inlineStr">
        <is>
          <t>EUR</t>
        </is>
      </c>
      <c r="I166" s="5" t="n">
        <v>109100.515328</v>
      </c>
      <c r="J166" s="6">
        <f>INDEX(FX!$B:$B,MATCH(H166,FX!$A:$A,0))</f>
        <v/>
      </c>
      <c r="K166" s="5">
        <f>I166*J166</f>
        <v/>
      </c>
      <c r="L166" s="4">
        <f>IF(U166&lt;&gt;"",U166,IF(K166&gt;=Umbrales!$B$2,"Legendaria",IF(K166&gt;=Umbrales!$B$3,"Épica",IF(K166&gt;=Umbrales!$B$4,"Rara",IF(K166&gt;=Umbrales!$B$5,"Poco común","Común")))))</f>
        <v/>
      </c>
      <c r="M166" s="5" t="n">
        <v>27045.900288</v>
      </c>
      <c r="N166" s="5" t="n">
        <v>3539.399936</v>
      </c>
      <c r="O166" s="5">
        <f>IF(M166="","",M166*J166)</f>
        <v/>
      </c>
      <c r="P166" s="5">
        <f>IF(N166="","",N166*J166)</f>
        <v/>
      </c>
      <c r="Q166" s="7" t="n">
        <v>0.0199</v>
      </c>
      <c r="R166" s="8" t="n">
        <v>30.803604</v>
      </c>
      <c r="S166" s="4" t="inlineStr">
        <is>
          <t>CAC40, EUROSTOXX50</t>
        </is>
      </c>
      <c r="T166" s="9" t="inlineStr">
        <is>
          <t>SI</t>
        </is>
      </c>
      <c r="U166" s="9" t="inlineStr"/>
      <c r="V166" s="10">
        <f>Umbrales!$B$9*(K166/1000)^Umbrales!$B$10</f>
        <v/>
      </c>
    </row>
    <row r="167">
      <c r="A167" s="4" t="inlineStr">
        <is>
          <t>MO</t>
        </is>
      </c>
      <c r="B167" s="4" t="inlineStr">
        <is>
          <t>Altria Group, Inc.</t>
        </is>
      </c>
      <c r="C167" s="4" t="inlineStr">
        <is>
          <t>United States</t>
        </is>
      </c>
      <c r="D167" s="4" t="inlineStr">
        <is>
          <t>US</t>
        </is>
      </c>
      <c r="E167" s="4" t="inlineStr">
        <is>
          <t>Consumo básico</t>
        </is>
      </c>
      <c r="F167" s="4" t="inlineStr">
        <is>
          <t>Tobacco</t>
        </is>
      </c>
      <c r="G167" s="4" t="inlineStr">
        <is>
          <t>NYQ</t>
        </is>
      </c>
      <c r="H167" s="4" t="inlineStr">
        <is>
          <t>USD</t>
        </is>
      </c>
      <c r="I167" s="5" t="n">
        <v>122108.362752</v>
      </c>
      <c r="J167" s="6">
        <f>INDEX(FX!$B:$B,MATCH(H167,FX!$A:$A,0))</f>
        <v/>
      </c>
      <c r="K167" s="5">
        <f>I167*J167</f>
        <v/>
      </c>
      <c r="L167" s="4">
        <f>IF(U167&lt;&gt;"",U167,IF(K167&gt;=Umbrales!$B$2,"Legendaria",IF(K167&gt;=Umbrales!$B$3,"Épica",IF(K167&gt;=Umbrales!$B$4,"Rara",IF(K167&gt;=Umbrales!$B$5,"Poco común","Común")))))</f>
        <v/>
      </c>
      <c r="M167" s="5" t="n">
        <v>20444.000256</v>
      </c>
      <c r="N167" s="5" t="n">
        <v>7952</v>
      </c>
      <c r="O167" s="5">
        <f>IF(M167="","",M167*J167)</f>
        <v/>
      </c>
      <c r="P167" s="5">
        <f>IF(N167="","",N167*J167)</f>
        <v/>
      </c>
      <c r="Q167" s="7" t="n">
        <v>0.062</v>
      </c>
      <c r="R167" s="8" t="n">
        <v>15.07835</v>
      </c>
      <c r="S167" s="4" t="inlineStr">
        <is>
          <t>SP500</t>
        </is>
      </c>
      <c r="T167" s="9" t="inlineStr">
        <is>
          <t>SI</t>
        </is>
      </c>
      <c r="U167" s="9" t="inlineStr"/>
      <c r="V167" s="10">
        <f>Umbrales!$B$9*(K167/1000)^Umbrales!$B$10</f>
        <v/>
      </c>
    </row>
    <row r="168">
      <c r="A168" s="4" t="inlineStr">
        <is>
          <t>BHARTIARTL.NS</t>
        </is>
      </c>
      <c r="B168" s="4" t="inlineStr">
        <is>
          <t>Bharti Airtel Limited</t>
        </is>
      </c>
      <c r="C168" s="4" t="inlineStr">
        <is>
          <t>India</t>
        </is>
      </c>
      <c r="D168" s="4" t="inlineStr">
        <is>
          <t>IN</t>
        </is>
      </c>
      <c r="E168" s="4" t="inlineStr">
        <is>
          <t>Comunicación</t>
        </is>
      </c>
      <c r="F168" s="4" t="inlineStr">
        <is>
          <t>Telecom Services</t>
        </is>
      </c>
      <c r="G168" s="4" t="inlineStr">
        <is>
          <t>NSI</t>
        </is>
      </c>
      <c r="H168" s="4" t="inlineStr">
        <is>
          <t>INR</t>
        </is>
      </c>
      <c r="I168" s="5" t="n">
        <v>11566471.708672</v>
      </c>
      <c r="J168" s="6">
        <f>INDEX(FX!$B:$B,MATCH(H168,FX!$A:$A,0))</f>
        <v/>
      </c>
      <c r="K168" s="5">
        <f>I168*J168</f>
        <v/>
      </c>
      <c r="L168" s="4">
        <f>IF(U168&lt;&gt;"",U168,IF(K168&gt;=Umbrales!$B$2,"Legendaria",IF(K168&gt;=Umbrales!$B$3,"Épica",IF(K168&gt;=Umbrales!$B$4,"Rara",IF(K168&gt;=Umbrales!$B$5,"Poco común","Común")))))</f>
        <v/>
      </c>
      <c r="M168" s="5" t="n">
        <v>2200493.09696</v>
      </c>
      <c r="N168" s="5" t="n">
        <v>289146.994688</v>
      </c>
      <c r="O168" s="5">
        <f>IF(M168="","",M168*J168)</f>
        <v/>
      </c>
      <c r="P168" s="5">
        <f>IF(N168="","",N168*J168)</f>
        <v/>
      </c>
      <c r="Q168" s="7" t="n">
        <v>0.0134</v>
      </c>
      <c r="R168" s="8" t="n">
        <v>38.187435</v>
      </c>
      <c r="S168" s="4" t="inlineStr">
        <is>
          <t>NIFTY50</t>
        </is>
      </c>
      <c r="T168" s="9" t="inlineStr">
        <is>
          <t>SI</t>
        </is>
      </c>
      <c r="U168" s="9" t="inlineStr"/>
      <c r="V168" s="10">
        <f>Umbrales!$B$9*(K168/1000)^Umbrales!$B$10</f>
        <v/>
      </c>
    </row>
    <row r="169">
      <c r="A169" s="4" t="inlineStr">
        <is>
          <t>6861.T</t>
        </is>
      </c>
      <c r="B169" s="4" t="inlineStr">
        <is>
          <t>Keyence Corporation</t>
        </is>
      </c>
      <c r="C169" s="4" t="inlineStr">
        <is>
          <t>Japan</t>
        </is>
      </c>
      <c r="D169" s="4" t="inlineStr">
        <is>
          <t>JP</t>
        </is>
      </c>
      <c r="E169" s="4" t="inlineStr">
        <is>
          <t>Tecnología</t>
        </is>
      </c>
      <c r="F169" s="4" t="inlineStr">
        <is>
          <t>Scientific &amp; Technical Instruments</t>
        </is>
      </c>
      <c r="G169" s="4" t="inlineStr">
        <is>
          <t>JPX</t>
        </is>
      </c>
      <c r="H169" s="4" t="inlineStr">
        <is>
          <t>JPY</t>
        </is>
      </c>
      <c r="I169" s="5" t="n">
        <v>19152209.18272</v>
      </c>
      <c r="J169" s="6">
        <f>INDEX(FX!$B:$B,MATCH(H169,FX!$A:$A,0))</f>
        <v/>
      </c>
      <c r="K169" s="5">
        <f>I169*J169</f>
        <v/>
      </c>
      <c r="L169" s="4">
        <f>IF(U169&lt;&gt;"",U169,IF(K169&gt;=Umbrales!$B$2,"Legendaria",IF(K169&gt;=Umbrales!$B$3,"Épica",IF(K169&gt;=Umbrales!$B$4,"Rara",IF(K169&gt;=Umbrales!$B$5,"Poco común","Común")))))</f>
        <v/>
      </c>
      <c r="M169" s="5" t="n">
        <v>1254834.044928</v>
      </c>
      <c r="N169" s="5" t="n">
        <v>492202.000384</v>
      </c>
      <c r="O169" s="5">
        <f>IF(M169="","",M169*J169)</f>
        <v/>
      </c>
      <c r="P169" s="5">
        <f>IF(N169="","",N169*J169)</f>
        <v/>
      </c>
      <c r="Q169" s="7" t="n">
        <v>0.0068</v>
      </c>
      <c r="R169" s="8" t="n">
        <v>43.020885</v>
      </c>
      <c r="S169" s="4" t="inlineStr">
        <is>
          <t>ASIA_TOP</t>
        </is>
      </c>
      <c r="T169" s="9" t="inlineStr">
        <is>
          <t>SI</t>
        </is>
      </c>
      <c r="U169" s="9" t="inlineStr"/>
      <c r="V169" s="10">
        <f>Umbrales!$B$9*(K169/1000)^Umbrales!$B$10</f>
        <v/>
      </c>
    </row>
    <row r="170">
      <c r="A170" s="4" t="inlineStr">
        <is>
          <t>BMY</t>
        </is>
      </c>
      <c r="B170" s="4" t="inlineStr">
        <is>
          <t>Bristol-Myers Squibb Company</t>
        </is>
      </c>
      <c r="C170" s="4" t="inlineStr">
        <is>
          <t>United States</t>
        </is>
      </c>
      <c r="D170" s="4" t="inlineStr">
        <is>
          <t>US</t>
        </is>
      </c>
      <c r="E170" s="4" t="inlineStr">
        <is>
          <t>Salud</t>
        </is>
      </c>
      <c r="F170" s="4" t="inlineStr">
        <is>
          <t>Drug Manufacturers - General</t>
        </is>
      </c>
      <c r="G170" s="4" t="inlineStr">
        <is>
          <t>NYQ</t>
        </is>
      </c>
      <c r="H170" s="4" t="inlineStr">
        <is>
          <t>USD</t>
        </is>
      </c>
      <c r="I170" s="5" t="n">
        <v>121092.120576</v>
      </c>
      <c r="J170" s="6">
        <f>INDEX(FX!$B:$B,MATCH(H170,FX!$A:$A,0))</f>
        <v/>
      </c>
      <c r="K170" s="5">
        <f>I170*J170</f>
        <v/>
      </c>
      <c r="L170" s="4">
        <f>IF(U170&lt;&gt;"",U170,IF(K170&gt;=Umbrales!$B$2,"Legendaria",IF(K170&gt;=Umbrales!$B$3,"Épica",IF(K170&gt;=Umbrales!$B$4,"Rara",IF(K170&gt;=Umbrales!$B$5,"Poco común","Común")))))</f>
        <v/>
      </c>
      <c r="M170" s="5" t="n">
        <v>49186.000896</v>
      </c>
      <c r="N170" s="5" t="n">
        <v>9281.999872</v>
      </c>
      <c r="O170" s="5">
        <f>IF(M170="","",M170*J170)</f>
        <v/>
      </c>
      <c r="P170" s="5">
        <f>IF(N170="","",N170*J170)</f>
        <v/>
      </c>
      <c r="Q170" s="7" t="n">
        <v>0.0445</v>
      </c>
      <c r="R170" s="8" t="n">
        <v>12.48</v>
      </c>
      <c r="S170" s="4" t="inlineStr">
        <is>
          <t>SP500</t>
        </is>
      </c>
      <c r="T170" s="9" t="inlineStr">
        <is>
          <t>SI</t>
        </is>
      </c>
      <c r="U170" s="9" t="inlineStr"/>
      <c r="V170" s="10">
        <f>Umbrales!$B$9*(K170/1000)^Umbrales!$B$10</f>
        <v/>
      </c>
    </row>
    <row r="171">
      <c r="A171" s="4" t="inlineStr">
        <is>
          <t>PH</t>
        </is>
      </c>
      <c r="B171" s="4" t="inlineStr">
        <is>
          <t>Parker-Hannifin Corporation</t>
        </is>
      </c>
      <c r="C171" s="4" t="inlineStr">
        <is>
          <t>United States</t>
        </is>
      </c>
      <c r="D171" s="4" t="inlineStr">
        <is>
          <t>US</t>
        </is>
      </c>
      <c r="E171" s="4" t="inlineStr">
        <is>
          <t>Industria</t>
        </is>
      </c>
      <c r="F171" s="4" t="inlineStr">
        <is>
          <t>Specialty Industrial Machinery</t>
        </is>
      </c>
      <c r="G171" s="4" t="inlineStr">
        <is>
          <t>NYQ</t>
        </is>
      </c>
      <c r="H171" s="4" t="inlineStr">
        <is>
          <t>USD</t>
        </is>
      </c>
      <c r="I171" s="5" t="n">
        <v>120603.828224</v>
      </c>
      <c r="J171" s="6">
        <f>INDEX(FX!$B:$B,MATCH(H171,FX!$A:$A,0))</f>
        <v/>
      </c>
      <c r="K171" s="5">
        <f>I171*J171</f>
        <v/>
      </c>
      <c r="L171" s="4">
        <f>IF(U171&lt;&gt;"",U171,IF(K171&gt;=Umbrales!$B$2,"Legendaria",IF(K171&gt;=Umbrales!$B$3,"Épica",IF(K171&gt;=Umbrales!$B$4,"Rara",IF(K171&gt;=Umbrales!$B$5,"Poco común","Común")))))</f>
        <v/>
      </c>
      <c r="M171" s="5" t="n">
        <v>21499.000832</v>
      </c>
      <c r="N171" s="5" t="n">
        <v>3648</v>
      </c>
      <c r="O171" s="5">
        <f>IF(M171="","",M171*J171)</f>
        <v/>
      </c>
      <c r="P171" s="5">
        <f>IF(N171="","",N171*J171)</f>
        <v/>
      </c>
      <c r="Q171" s="7" t="n">
        <v>0.008399999999999999</v>
      </c>
      <c r="R171" s="8" t="n">
        <v>33.472874</v>
      </c>
      <c r="S171" s="4" t="inlineStr">
        <is>
          <t>SP500</t>
        </is>
      </c>
      <c r="T171" s="9" t="inlineStr">
        <is>
          <t>SI</t>
        </is>
      </c>
      <c r="U171" s="9" t="inlineStr"/>
      <c r="V171" s="10">
        <f>Umbrales!$B$9*(K171/1000)^Umbrales!$B$10</f>
        <v/>
      </c>
    </row>
    <row r="172">
      <c r="A172" s="4" t="inlineStr">
        <is>
          <t>MDT</t>
        </is>
      </c>
      <c r="B172" s="4" t="inlineStr">
        <is>
          <t>Medtronic plc</t>
        </is>
      </c>
      <c r="C172" s="4" t="inlineStr">
        <is>
          <t>Ireland</t>
        </is>
      </c>
      <c r="D172" s="4" t="inlineStr">
        <is>
          <t>IE</t>
        </is>
      </c>
      <c r="E172" s="4" t="inlineStr">
        <is>
          <t>Salud</t>
        </is>
      </c>
      <c r="F172" s="4" t="inlineStr">
        <is>
          <t>Medical Devices</t>
        </is>
      </c>
      <c r="G172" s="4" t="inlineStr">
        <is>
          <t>NYQ</t>
        </is>
      </c>
      <c r="H172" s="4" t="inlineStr">
        <is>
          <t>USD</t>
        </is>
      </c>
      <c r="I172" s="5" t="n">
        <v>120533.172224</v>
      </c>
      <c r="J172" s="6">
        <f>INDEX(FX!$B:$B,MATCH(H172,FX!$A:$A,0))</f>
        <v/>
      </c>
      <c r="K172" s="5">
        <f>I172*J172</f>
        <v/>
      </c>
      <c r="L172" s="4">
        <f>IF(U172&lt;&gt;"",U172,IF(K172&gt;=Umbrales!$B$2,"Legendaria",IF(K172&gt;=Umbrales!$B$3,"Épica",IF(K172&gt;=Umbrales!$B$4,"Rara",IF(K172&gt;=Umbrales!$B$5,"Poco común","Común")))))</f>
        <v/>
      </c>
      <c r="M172" s="5" t="n">
        <v>37541.998592</v>
      </c>
      <c r="N172" s="5" t="n">
        <v>5231.000064</v>
      </c>
      <c r="O172" s="5">
        <f>IF(M172="","",M172*J172)</f>
        <v/>
      </c>
      <c r="P172" s="5">
        <f>IF(N172="","",N172*J172)</f>
        <v/>
      </c>
      <c r="Q172" s="7" t="n">
        <v>0.031</v>
      </c>
      <c r="R172" s="8" t="n">
        <v>23.152334</v>
      </c>
      <c r="S172" s="4" t="inlineStr">
        <is>
          <t>SP500</t>
        </is>
      </c>
      <c r="T172" s="9" t="inlineStr">
        <is>
          <t>SI</t>
        </is>
      </c>
      <c r="U172" s="9" t="inlineStr"/>
      <c r="V172" s="10">
        <f>Umbrales!$B$9*(K172/1000)^Umbrales!$B$10</f>
        <v/>
      </c>
    </row>
    <row r="173">
      <c r="A173" s="4" t="inlineStr">
        <is>
          <t>LMT</t>
        </is>
      </c>
      <c r="B173" s="4" t="inlineStr">
        <is>
          <t>Lockheed Martin Corporation</t>
        </is>
      </c>
      <c r="C173" s="4" t="inlineStr">
        <is>
          <t>United States</t>
        </is>
      </c>
      <c r="D173" s="4" t="inlineStr">
        <is>
          <t>US</t>
        </is>
      </c>
      <c r="E173" s="4" t="inlineStr">
        <is>
          <t>Industria</t>
        </is>
      </c>
      <c r="F173" s="4" t="inlineStr">
        <is>
          <t>Aerospace &amp; Defense</t>
        </is>
      </c>
      <c r="G173" s="4" t="inlineStr">
        <is>
          <t>NYQ</t>
        </is>
      </c>
      <c r="H173" s="4" t="inlineStr">
        <is>
          <t>USD</t>
        </is>
      </c>
      <c r="I173" s="5" t="n">
        <v>120525.848576</v>
      </c>
      <c r="J173" s="6">
        <f>INDEX(FX!$B:$B,MATCH(H173,FX!$A:$A,0))</f>
        <v/>
      </c>
      <c r="K173" s="5">
        <f>I173*J173</f>
        <v/>
      </c>
      <c r="L173" s="4">
        <f>IF(U173&lt;&gt;"",U173,IF(K173&gt;=Umbrales!$B$2,"Legendaria",IF(K173&gt;=Umbrales!$B$3,"Épica",IF(K173&gt;=Umbrales!$B$4,"Rara",IF(K173&gt;=Umbrales!$B$5,"Poco común","Común")))))</f>
        <v/>
      </c>
      <c r="M173" s="5" t="n">
        <v>77013.999616</v>
      </c>
      <c r="N173" s="5" t="n">
        <v>6287.000064</v>
      </c>
      <c r="O173" s="5">
        <f>IF(M173="","",M173*J173)</f>
        <v/>
      </c>
      <c r="P173" s="5">
        <f>IF(N173="","",N173*J173)</f>
        <v/>
      </c>
      <c r="Q173" s="7" t="n">
        <v>0.0286</v>
      </c>
      <c r="R173" s="8" t="n">
        <v>18.578085</v>
      </c>
      <c r="S173" s="4" t="inlineStr">
        <is>
          <t>SP500</t>
        </is>
      </c>
      <c r="T173" s="9" t="inlineStr">
        <is>
          <t>SI</t>
        </is>
      </c>
      <c r="U173" s="9" t="inlineStr"/>
      <c r="V173" s="10">
        <f>Umbrales!$B$9*(K173/1000)^Umbrales!$B$10</f>
        <v/>
      </c>
    </row>
    <row r="174">
      <c r="A174" s="4" t="inlineStr">
        <is>
          <t>SPGI</t>
        </is>
      </c>
      <c r="B174" s="4" t="inlineStr">
        <is>
          <t>S&amp;P Global Inc.</t>
        </is>
      </c>
      <c r="C174" s="4" t="inlineStr">
        <is>
          <t>United States</t>
        </is>
      </c>
      <c r="D174" s="4" t="inlineStr">
        <is>
          <t>US</t>
        </is>
      </c>
      <c r="E174" s="4" t="inlineStr">
        <is>
          <t>Finanzas</t>
        </is>
      </c>
      <c r="F174" s="4" t="inlineStr">
        <is>
          <t>Financial Data &amp; Stock Exchanges</t>
        </is>
      </c>
      <c r="G174" s="4" t="inlineStr">
        <is>
          <t>NYQ</t>
        </is>
      </c>
      <c r="H174" s="4" t="inlineStr">
        <is>
          <t>USD</t>
        </is>
      </c>
      <c r="I174" s="5" t="n">
        <v>120446.435328</v>
      </c>
      <c r="J174" s="6">
        <f>INDEX(FX!$B:$B,MATCH(H174,FX!$A:$A,0))</f>
        <v/>
      </c>
      <c r="K174" s="5">
        <f>I174*J174</f>
        <v/>
      </c>
      <c r="L174" s="4">
        <f>IF(U174&lt;&gt;"",U174,IF(K174&gt;=Umbrales!$B$2,"Legendaria",IF(K174&gt;=Umbrales!$B$3,"Épica",IF(K174&gt;=Umbrales!$B$4,"Rara",IF(K174&gt;=Umbrales!$B$5,"Poco común","Común")))))</f>
        <v/>
      </c>
      <c r="M174" s="5" t="n">
        <v>16122.000384</v>
      </c>
      <c r="N174" s="5" t="n">
        <v>4922.999808</v>
      </c>
      <c r="O174" s="5">
        <f>IF(M174="","",M174*J174)</f>
        <v/>
      </c>
      <c r="P174" s="5">
        <f>IF(N174="","",N174*J174)</f>
        <v/>
      </c>
      <c r="Q174" s="7" t="n">
        <v>0.0095</v>
      </c>
      <c r="R174" s="8" t="n">
        <v>24.95846</v>
      </c>
      <c r="S174" s="4" t="inlineStr">
        <is>
          <t>SP500</t>
        </is>
      </c>
      <c r="T174" s="9" t="inlineStr">
        <is>
          <t>SI</t>
        </is>
      </c>
      <c r="U174" s="9" t="inlineStr"/>
      <c r="V174" s="10">
        <f>Umbrales!$B$9*(K174/1000)^Umbrales!$B$10</f>
        <v/>
      </c>
    </row>
    <row r="175">
      <c r="A175" s="4" t="inlineStr">
        <is>
          <t>ISP.MI</t>
        </is>
      </c>
      <c r="B175" s="4" t="inlineStr">
        <is>
          <t>Intesa Sanpaolo S.p.A.</t>
        </is>
      </c>
      <c r="C175" s="4" t="inlineStr">
        <is>
          <t>Italy</t>
        </is>
      </c>
      <c r="D175" s="4" t="inlineStr">
        <is>
          <t>IT</t>
        </is>
      </c>
      <c r="E175" s="4" t="inlineStr">
        <is>
          <t>Finanzas</t>
        </is>
      </c>
      <c r="F175" s="4" t="inlineStr">
        <is>
          <t>Banks - Regional</t>
        </is>
      </c>
      <c r="G175" s="4" t="inlineStr">
        <is>
          <t>MIL</t>
        </is>
      </c>
      <c r="H175" s="4" t="inlineStr">
        <is>
          <t>EUR</t>
        </is>
      </c>
      <c r="I175" s="5" t="n">
        <v>106450.16576</v>
      </c>
      <c r="J175" s="6">
        <f>INDEX(FX!$B:$B,MATCH(H175,FX!$A:$A,0))</f>
        <v/>
      </c>
      <c r="K175" s="5">
        <f>I175*J175</f>
        <v/>
      </c>
      <c r="L175" s="4">
        <f>IF(U175&lt;&gt;"",U175,IF(K175&gt;=Umbrales!$B$2,"Legendaria",IF(K175&gt;=Umbrales!$B$3,"Épica",IF(K175&gt;=Umbrales!$B$4,"Rara",IF(K175&gt;=Umbrales!$B$5,"Poco común","Común")))))</f>
        <v/>
      </c>
      <c r="M175" s="5" t="n">
        <v>26130.999296</v>
      </c>
      <c r="N175" s="5" t="n">
        <v>9658.999808</v>
      </c>
      <c r="O175" s="5">
        <f>IF(M175="","",M175*J175)</f>
        <v/>
      </c>
      <c r="P175" s="5">
        <f>IF(N175="","",N175*J175)</f>
        <v/>
      </c>
      <c r="Q175" s="7" t="n">
        <v>0.0613</v>
      </c>
      <c r="R175" s="8" t="n">
        <v>10.992857</v>
      </c>
      <c r="S175" s="4" t="inlineStr">
        <is>
          <t>EUROSTOXX50, FTSEMIB</t>
        </is>
      </c>
      <c r="T175" s="9" t="inlineStr">
        <is>
          <t>SI</t>
        </is>
      </c>
      <c r="U175" s="9" t="inlineStr"/>
      <c r="V175" s="10">
        <f>Umbrales!$B$9*(K175/1000)^Umbrales!$B$10</f>
        <v/>
      </c>
    </row>
    <row r="176">
      <c r="A176" s="4" t="inlineStr">
        <is>
          <t>COF</t>
        </is>
      </c>
      <c r="B176" s="4" t="inlineStr">
        <is>
          <t>Capital One Financial Corporation</t>
        </is>
      </c>
      <c r="C176" s="4" t="inlineStr">
        <is>
          <t>United States</t>
        </is>
      </c>
      <c r="D176" s="4" t="inlineStr">
        <is>
          <t>US</t>
        </is>
      </c>
      <c r="E176" s="4" t="inlineStr">
        <is>
          <t>Finanzas</t>
        </is>
      </c>
      <c r="F176" s="4" t="inlineStr">
        <is>
          <t>Credit Services</t>
        </is>
      </c>
      <c r="G176" s="4" t="inlineStr">
        <is>
          <t>NYQ</t>
        </is>
      </c>
      <c r="H176" s="4" t="inlineStr">
        <is>
          <t>USD</t>
        </is>
      </c>
      <c r="I176" s="5" t="n">
        <v>119233.732608</v>
      </c>
      <c r="J176" s="6">
        <f>INDEX(FX!$B:$B,MATCH(H176,FX!$A:$A,0))</f>
        <v/>
      </c>
      <c r="K176" s="5">
        <f>I176*J176</f>
        <v/>
      </c>
      <c r="L176" s="4">
        <f>IF(U176&lt;&gt;"",U176,IF(K176&gt;=Umbrales!$B$2,"Legendaria",IF(K176&gt;=Umbrales!$B$3,"Épica",IF(K176&gt;=Umbrales!$B$4,"Rara",IF(K176&gt;=Umbrales!$B$5,"Poco común","Común")))))</f>
        <v/>
      </c>
      <c r="M176" s="5" t="n">
        <v>48109.99808</v>
      </c>
      <c r="N176" s="5" t="n">
        <v>9822.999551999999</v>
      </c>
      <c r="O176" s="5">
        <f>IF(M176="","",M176*J176)</f>
        <v/>
      </c>
      <c r="P176" s="5">
        <f>IF(N176="","",N176*J176)</f>
        <v/>
      </c>
      <c r="Q176" s="7" t="n">
        <v>0.0162</v>
      </c>
      <c r="R176" s="8" t="n">
        <v>12.482339</v>
      </c>
      <c r="S176" s="4" t="inlineStr">
        <is>
          <t>SP500</t>
        </is>
      </c>
      <c r="T176" s="9" t="inlineStr">
        <is>
          <t>SI</t>
        </is>
      </c>
      <c r="U176" s="9" t="inlineStr"/>
      <c r="V176" s="10">
        <f>Umbrales!$B$9*(K176/1000)^Umbrales!$B$10</f>
        <v/>
      </c>
    </row>
    <row r="177">
      <c r="A177" s="4" t="inlineStr">
        <is>
          <t>1088.HK</t>
        </is>
      </c>
      <c r="B177" s="4" t="inlineStr">
        <is>
          <t>China Shenhua Energy Company Limited</t>
        </is>
      </c>
      <c r="C177" s="4" t="inlineStr">
        <is>
          <t>China</t>
        </is>
      </c>
      <c r="D177" s="4" t="inlineStr">
        <is>
          <t>CN</t>
        </is>
      </c>
      <c r="E177" s="4" t="inlineStr">
        <is>
          <t>Energía</t>
        </is>
      </c>
      <c r="F177" s="4" t="inlineStr">
        <is>
          <t>Thermal Coal</t>
        </is>
      </c>
      <c r="G177" s="4" t="inlineStr">
        <is>
          <t>HKG</t>
        </is>
      </c>
      <c r="H177" s="4" t="inlineStr">
        <is>
          <t>HKD</t>
        </is>
      </c>
      <c r="I177" s="5" t="n">
        <v>934380.83072</v>
      </c>
      <c r="J177" s="6">
        <f>INDEX(FX!$B:$B,MATCH(H177,FX!$A:$A,0))</f>
        <v/>
      </c>
      <c r="K177" s="5">
        <f>I177*J177</f>
        <v/>
      </c>
      <c r="L177" s="4">
        <f>IF(U177&lt;&gt;"",U177,IF(K177&gt;=Umbrales!$B$2,"Legendaria",IF(K177&gt;=Umbrales!$B$3,"Épica",IF(K177&gt;=Umbrales!$B$4,"Rara",IF(K177&gt;=Umbrales!$B$5,"Poco común","Común")))))</f>
        <v/>
      </c>
      <c r="M177" s="5" t="n">
        <v>308830.994432</v>
      </c>
      <c r="N177" s="5" t="n">
        <v>54793.998336</v>
      </c>
      <c r="O177" s="5">
        <f>IF(M177="","",M177*J177)</f>
        <v/>
      </c>
      <c r="P177" s="5">
        <f>IF(N177="","",N177*J177)</f>
        <v/>
      </c>
      <c r="Q177" s="7" t="n">
        <v>0.0529</v>
      </c>
      <c r="R177" s="8" t="n">
        <v>13.987014</v>
      </c>
      <c r="S177" s="4" t="inlineStr">
        <is>
          <t>HANGSENG</t>
        </is>
      </c>
      <c r="T177" s="9" t="inlineStr">
        <is>
          <t>SI</t>
        </is>
      </c>
      <c r="U177" s="9" t="inlineStr"/>
      <c r="V177" s="10">
        <f>Umbrales!$B$9*(K177/1000)^Umbrales!$B$10</f>
        <v/>
      </c>
    </row>
    <row r="178">
      <c r="A178" s="4" t="inlineStr">
        <is>
          <t>ENR.DE</t>
        </is>
      </c>
      <c r="B178" s="4" t="inlineStr">
        <is>
          <t>Siemens Energy AG</t>
        </is>
      </c>
      <c r="C178" s="4" t="inlineStr">
        <is>
          <t>Germany</t>
        </is>
      </c>
      <c r="D178" s="4" t="inlineStr">
        <is>
          <t>DE</t>
        </is>
      </c>
      <c r="E178" s="4" t="inlineStr">
        <is>
          <t>Industria</t>
        </is>
      </c>
      <c r="F178" s="4" t="inlineStr">
        <is>
          <t>Specialty Industrial Machinery</t>
        </is>
      </c>
      <c r="G178" s="4" t="inlineStr">
        <is>
          <t>GER</t>
        </is>
      </c>
      <c r="H178" s="4" t="inlineStr">
        <is>
          <t>EUR</t>
        </is>
      </c>
      <c r="I178" s="5" t="n">
        <v>106185.908224</v>
      </c>
      <c r="J178" s="6">
        <f>INDEX(FX!$B:$B,MATCH(H178,FX!$A:$A,0))</f>
        <v/>
      </c>
      <c r="K178" s="5">
        <f>I178*J178</f>
        <v/>
      </c>
      <c r="L178" s="4">
        <f>IF(U178&lt;&gt;"",U178,IF(K178&gt;=Umbrales!$B$2,"Legendaria",IF(K178&gt;=Umbrales!$B$3,"Épica",IF(K178&gt;=Umbrales!$B$4,"Rara",IF(K178&gt;=Umbrales!$B$5,"Poco común","Común")))))</f>
        <v/>
      </c>
      <c r="M178" s="5" t="n">
        <v>41843.99872</v>
      </c>
      <c r="N178" s="5" t="n">
        <v>2692</v>
      </c>
      <c r="O178" s="5">
        <f>IF(M178="","",M178*J178)</f>
        <v/>
      </c>
      <c r="P178" s="5">
        <f>IF(N178="","",N178*J178)</f>
        <v/>
      </c>
      <c r="Q178" s="7" t="n">
        <v>0.0049</v>
      </c>
      <c r="R178" s="8" t="n">
        <v>40.38835</v>
      </c>
      <c r="S178" s="4" t="inlineStr">
        <is>
          <t>DAX40</t>
        </is>
      </c>
      <c r="T178" s="9" t="inlineStr">
        <is>
          <t>SI</t>
        </is>
      </c>
      <c r="U178" s="9" t="inlineStr"/>
      <c r="V178" s="10">
        <f>Umbrales!$B$9*(K178/1000)^Umbrales!$B$10</f>
        <v/>
      </c>
    </row>
    <row r="179">
      <c r="A179" s="4" t="inlineStr">
        <is>
          <t>PSX</t>
        </is>
      </c>
      <c r="B179" s="4" t="inlineStr">
        <is>
          <t>Phillips 66</t>
        </is>
      </c>
      <c r="C179" s="4" t="inlineStr">
        <is>
          <t>United States</t>
        </is>
      </c>
      <c r="D179" s="4" t="inlineStr">
        <is>
          <t>US</t>
        </is>
      </c>
      <c r="E179" s="4" t="inlineStr">
        <is>
          <t>Energía</t>
        </is>
      </c>
      <c r="F179" s="4" t="inlineStr">
        <is>
          <t>Oil &amp; Gas Refining &amp; Marketing</t>
        </is>
      </c>
      <c r="G179" s="4" t="inlineStr">
        <is>
          <t>NYQ</t>
        </is>
      </c>
      <c r="H179" s="4" t="inlineStr">
        <is>
          <t>USD</t>
        </is>
      </c>
      <c r="I179" s="5" t="n">
        <v>118624.935936</v>
      </c>
      <c r="J179" s="6">
        <f>INDEX(FX!$B:$B,MATCH(H179,FX!$A:$A,0))</f>
        <v/>
      </c>
      <c r="K179" s="5">
        <f>I179*J179</f>
        <v/>
      </c>
      <c r="L179" s="4">
        <f>IF(U179&lt;&gt;"",U179,IF(K179&gt;=Umbrales!$B$2,"Legendaria",IF(K179&gt;=Umbrales!$B$3,"Épica",IF(K179&gt;=Umbrales!$B$4,"Rara",IF(K179&gt;=Umbrales!$B$5,"Poco común","Común")))))</f>
        <v/>
      </c>
      <c r="M179" s="5" t="n">
        <v>152167.006208</v>
      </c>
      <c r="N179" s="5" t="n">
        <v>7085.000192</v>
      </c>
      <c r="O179" s="5">
        <f>IF(M179="","",M179*J179)</f>
        <v/>
      </c>
      <c r="P179" s="5">
        <f>IF(N179="","",N179*J179)</f>
        <v/>
      </c>
      <c r="Q179" s="7" t="n">
        <v>0.0174</v>
      </c>
      <c r="R179" s="8" t="n">
        <v>16.729881</v>
      </c>
      <c r="S179" s="4" t="inlineStr">
        <is>
          <t>SP500</t>
        </is>
      </c>
      <c r="T179" s="9" t="inlineStr">
        <is>
          <t>SI</t>
        </is>
      </c>
      <c r="U179" s="9" t="inlineStr"/>
      <c r="V179" s="10">
        <f>Umbrales!$B$9*(K179/1000)^Umbrales!$B$10</f>
        <v/>
      </c>
    </row>
    <row r="180">
      <c r="A180" s="4" t="inlineStr">
        <is>
          <t>HDFCBANK.NS</t>
        </is>
      </c>
      <c r="B180" s="4" t="inlineStr">
        <is>
          <t>HDFC Bank Limited</t>
        </is>
      </c>
      <c r="C180" s="4" t="inlineStr">
        <is>
          <t>India</t>
        </is>
      </c>
      <c r="D180" s="4" t="inlineStr">
        <is>
          <t>IN</t>
        </is>
      </c>
      <c r="E180" s="4" t="inlineStr">
        <is>
          <t>Finanzas</t>
        </is>
      </c>
      <c r="F180" s="4" t="inlineStr">
        <is>
          <t>Banks - Regional</t>
        </is>
      </c>
      <c r="G180" s="4" t="inlineStr">
        <is>
          <t>NSI</t>
        </is>
      </c>
      <c r="H180" s="4" t="inlineStr">
        <is>
          <t>INR</t>
        </is>
      </c>
      <c r="I180" s="5" t="n">
        <v>11183023.194112</v>
      </c>
      <c r="J180" s="6">
        <f>INDEX(FX!$B:$B,MATCH(H180,FX!$A:$A,0))</f>
        <v/>
      </c>
      <c r="K180" s="5">
        <f>I180*J180</f>
        <v/>
      </c>
      <c r="L180" s="4">
        <f>IF(U180&lt;&gt;"",U180,IF(K180&gt;=Umbrales!$B$2,"Legendaria",IF(K180&gt;=Umbrales!$B$3,"Épica",IF(K180&gt;=Umbrales!$B$4,"Rara",IF(K180&gt;=Umbrales!$B$5,"Poco común","Común")))))</f>
        <v/>
      </c>
      <c r="M180" s="5" t="n">
        <v>2949644.288</v>
      </c>
      <c r="N180" s="5" t="n">
        <v>790127.706112</v>
      </c>
      <c r="O180" s="5">
        <f>IF(M180="","",M180*J180)</f>
        <v/>
      </c>
      <c r="P180" s="5">
        <f>IF(N180="","",N180*J180)</f>
        <v/>
      </c>
      <c r="Q180" s="7" t="n">
        <v>0.0183</v>
      </c>
      <c r="R180" s="8" t="n">
        <v>15.853552</v>
      </c>
      <c r="S180" s="4" t="inlineStr">
        <is>
          <t>ASIA_TOP, NIFTY50</t>
        </is>
      </c>
      <c r="T180" s="9" t="inlineStr">
        <is>
          <t>SI</t>
        </is>
      </c>
      <c r="U180" s="9" t="inlineStr"/>
      <c r="V180" s="10">
        <f>Umbrales!$B$9*(K180/1000)^Umbrales!$B$10</f>
        <v/>
      </c>
    </row>
    <row r="181">
      <c r="A181" s="4" t="inlineStr">
        <is>
          <t>NEM</t>
        </is>
      </c>
      <c r="B181" s="4" t="inlineStr">
        <is>
          <t>Newmont Corporation</t>
        </is>
      </c>
      <c r="C181" s="4" t="inlineStr">
        <is>
          <t>United States</t>
        </is>
      </c>
      <c r="D181" s="4" t="inlineStr">
        <is>
          <t>US</t>
        </is>
      </c>
      <c r="E181" s="4" t="inlineStr">
        <is>
          <t>Materiales</t>
        </is>
      </c>
      <c r="F181" s="4" t="inlineStr">
        <is>
          <t>Gold</t>
        </is>
      </c>
      <c r="G181" s="4" t="inlineStr">
        <is>
          <t>NYQ</t>
        </is>
      </c>
      <c r="H181" s="4" t="inlineStr">
        <is>
          <t>USD</t>
        </is>
      </c>
      <c r="I181" s="5" t="n">
        <v>117549.907968</v>
      </c>
      <c r="J181" s="6">
        <f>INDEX(FX!$B:$B,MATCH(H181,FX!$A:$A,0))</f>
        <v/>
      </c>
      <c r="K181" s="5">
        <f>I181*J181</f>
        <v/>
      </c>
      <c r="L181" s="4">
        <f>IF(U181&lt;&gt;"",U181,IF(K181&gt;=Umbrales!$B$2,"Legendaria",IF(K181&gt;=Umbrales!$B$3,"Épica",IF(K181&gt;=Umbrales!$B$4,"Rara",IF(K181&gt;=Umbrales!$B$5,"Poco común","Común")))))</f>
        <v/>
      </c>
      <c r="M181" s="5" t="n">
        <v>25767.000064</v>
      </c>
      <c r="N181" s="5" t="n">
        <v>8597.000192</v>
      </c>
      <c r="O181" s="5">
        <f>IF(M181="","",M181*J181)</f>
        <v/>
      </c>
      <c r="P181" s="5">
        <f>IF(N181="","",N181*J181)</f>
        <v/>
      </c>
      <c r="Q181" s="7" t="n">
        <v>0.009000000000000001</v>
      </c>
      <c r="R181" s="8" t="n">
        <v>14.068096</v>
      </c>
      <c r="S181" s="4" t="inlineStr">
        <is>
          <t>SP500</t>
        </is>
      </c>
      <c r="T181" s="9" t="inlineStr">
        <is>
          <t>SI</t>
        </is>
      </c>
      <c r="U181" s="9" t="inlineStr"/>
      <c r="V181" s="10">
        <f>Umbrales!$B$9*(K181/1000)^Umbrales!$B$10</f>
        <v/>
      </c>
    </row>
    <row r="182">
      <c r="A182" s="4" t="inlineStr">
        <is>
          <t>GLW</t>
        </is>
      </c>
      <c r="B182" s="4" t="inlineStr">
        <is>
          <t>Corning Incorporated</t>
        </is>
      </c>
      <c r="C182" s="4" t="inlineStr">
        <is>
          <t>United States</t>
        </is>
      </c>
      <c r="D182" s="4" t="inlineStr">
        <is>
          <t>US</t>
        </is>
      </c>
      <c r="E182" s="4" t="inlineStr">
        <is>
          <t>Tecnología</t>
        </is>
      </c>
      <c r="F182" s="4" t="inlineStr">
        <is>
          <t>Electronic Components</t>
        </is>
      </c>
      <c r="G182" s="4" t="inlineStr">
        <is>
          <t>NYQ</t>
        </is>
      </c>
      <c r="H182" s="4" t="inlineStr">
        <is>
          <t>USD</t>
        </is>
      </c>
      <c r="I182" s="5" t="n">
        <v>116824.776704</v>
      </c>
      <c r="J182" s="6">
        <f>INDEX(FX!$B:$B,MATCH(H182,FX!$A:$A,0))</f>
        <v/>
      </c>
      <c r="K182" s="5">
        <f>I182*J182</f>
        <v/>
      </c>
      <c r="L182" s="4">
        <f>IF(U182&lt;&gt;"",U182,IF(K182&gt;=Umbrales!$B$2,"Legendaria",IF(K182&gt;=Umbrales!$B$3,"Épica",IF(K182&gt;=Umbrales!$B$4,"Rara",IF(K182&gt;=Umbrales!$B$5,"Poco común","Común")))))</f>
        <v/>
      </c>
      <c r="M182" s="5" t="n">
        <v>16963.999744</v>
      </c>
      <c r="N182" s="5" t="n">
        <v>1900</v>
      </c>
      <c r="O182" s="5">
        <f>IF(M182="","",M182*J182)</f>
        <v/>
      </c>
      <c r="P182" s="5">
        <f>IF(N182="","",N182*J182)</f>
        <v/>
      </c>
      <c r="Q182" s="7" t="n">
        <v>0.0075</v>
      </c>
      <c r="R182" s="8" t="n">
        <v>65.652176</v>
      </c>
      <c r="S182" s="4" t="inlineStr">
        <is>
          <t>SP500</t>
        </is>
      </c>
      <c r="T182" s="9" t="inlineStr">
        <is>
          <t>SI</t>
        </is>
      </c>
      <c r="U182" s="9" t="inlineStr"/>
      <c r="V182" s="10">
        <f>Umbrales!$B$9*(K182/1000)^Umbrales!$B$10</f>
        <v/>
      </c>
    </row>
    <row r="183">
      <c r="A183" s="4" t="inlineStr">
        <is>
          <t>NEM.AX</t>
        </is>
      </c>
      <c r="B183" s="4" t="inlineStr">
        <is>
          <t>Newmont Corporation</t>
        </is>
      </c>
      <c r="C183" s="4" t="inlineStr">
        <is>
          <t>United States</t>
        </is>
      </c>
      <c r="D183" s="4" t="inlineStr">
        <is>
          <t>US</t>
        </is>
      </c>
      <c r="E183" s="4" t="inlineStr">
        <is>
          <t>Materiales</t>
        </is>
      </c>
      <c r="F183" s="4" t="inlineStr">
        <is>
          <t>Gold</t>
        </is>
      </c>
      <c r="G183" s="4" t="inlineStr">
        <is>
          <t>ASX</t>
        </is>
      </c>
      <c r="H183" s="4" t="inlineStr">
        <is>
          <t>AUD</t>
        </is>
      </c>
      <c r="I183" s="5" t="n">
        <v>168380.022784</v>
      </c>
      <c r="J183" s="6">
        <f>INDEX(FX!$B:$B,MATCH(H183,FX!$A:$A,0))</f>
        <v/>
      </c>
      <c r="K183" s="5">
        <f>I183*J183</f>
        <v/>
      </c>
      <c r="L183" s="4">
        <f>IF(U183&lt;&gt;"",U183,IF(K183&gt;=Umbrales!$B$2,"Legendaria",IF(K183&gt;=Umbrales!$B$3,"Épica",IF(K183&gt;=Umbrales!$B$4,"Rara",IF(K183&gt;=Umbrales!$B$5,"Poco común","Común")))))</f>
        <v/>
      </c>
      <c r="M183" s="5" t="n">
        <v>25767.000064</v>
      </c>
      <c r="N183" s="5" t="n">
        <v>8597.000192</v>
      </c>
      <c r="O183" s="5">
        <f>IF(M183="","",M183*J183)</f>
        <v/>
      </c>
      <c r="P183" s="5">
        <f>IF(N183="","",N183*J183)</f>
        <v/>
      </c>
      <c r="Q183" s="7" t="n">
        <v>0.009000000000000001</v>
      </c>
      <c r="R183" s="8" t="n">
        <v>14.05453</v>
      </c>
      <c r="S183" s="4" t="inlineStr">
        <is>
          <t>ASX50</t>
        </is>
      </c>
      <c r="T183" s="9" t="inlineStr">
        <is>
          <t>SI</t>
        </is>
      </c>
      <c r="U183" s="9" t="inlineStr"/>
      <c r="V183" s="10">
        <f>Umbrales!$B$9*(K183/1000)^Umbrales!$B$10</f>
        <v/>
      </c>
    </row>
    <row r="184">
      <c r="A184" s="4" t="inlineStr">
        <is>
          <t>2318.HK</t>
        </is>
      </c>
      <c r="B184" s="4" t="inlineStr">
        <is>
          <t>Ping An Insurance (Group) Company of China, Ltd.</t>
        </is>
      </c>
      <c r="C184" s="4" t="inlineStr">
        <is>
          <t>China</t>
        </is>
      </c>
      <c r="D184" s="4" t="inlineStr">
        <is>
          <t>CN</t>
        </is>
      </c>
      <c r="E184" s="4" t="inlineStr">
        <is>
          <t>Finanzas</t>
        </is>
      </c>
      <c r="F184" s="4" t="inlineStr">
        <is>
          <t>Insurance - Life</t>
        </is>
      </c>
      <c r="G184" s="4" t="inlineStr">
        <is>
          <t>HKG</t>
        </is>
      </c>
      <c r="H184" s="4" t="inlineStr">
        <is>
          <t>HKD</t>
        </is>
      </c>
      <c r="I184" s="5" t="n">
        <v>912625.17248</v>
      </c>
      <c r="J184" s="6">
        <f>INDEX(FX!$B:$B,MATCH(H184,FX!$A:$A,0))</f>
        <v/>
      </c>
      <c r="K184" s="5">
        <f>I184*J184</f>
        <v/>
      </c>
      <c r="L184" s="4">
        <f>IF(U184&lt;&gt;"",U184,IF(K184&gt;=Umbrales!$B$2,"Legendaria",IF(K184&gt;=Umbrales!$B$3,"Épica",IF(K184&gt;=Umbrales!$B$4,"Rara",IF(K184&gt;=Umbrales!$B$5,"Poco común","Común")))))</f>
        <v/>
      </c>
      <c r="M184" s="5" t="n">
        <v>985973.981184</v>
      </c>
      <c r="N184" s="5" t="n">
        <v>159316.000768</v>
      </c>
      <c r="O184" s="5">
        <f>IF(M184="","",M184*J184)</f>
        <v/>
      </c>
      <c r="P184" s="5">
        <f>IF(N184="","",N184*J184)</f>
        <v/>
      </c>
      <c r="Q184" s="7" t="n">
        <v>0.0621</v>
      </c>
      <c r="R184" s="8" t="n">
        <v>5.419355</v>
      </c>
      <c r="S184" s="4" t="inlineStr">
        <is>
          <t>HANGSENG</t>
        </is>
      </c>
      <c r="T184" s="9" t="inlineStr">
        <is>
          <t>SI</t>
        </is>
      </c>
      <c r="U184" s="9" t="inlineStr"/>
      <c r="V184" s="10">
        <f>Umbrales!$B$9*(K184/1000)^Umbrales!$B$10</f>
        <v/>
      </c>
    </row>
    <row r="185">
      <c r="A185" s="4" t="inlineStr">
        <is>
          <t>PDD</t>
        </is>
      </c>
      <c r="B185" s="4" t="inlineStr">
        <is>
          <t>PDD Holdings Inc.</t>
        </is>
      </c>
      <c r="C185" s="4" t="inlineStr">
        <is>
          <t>Ireland</t>
        </is>
      </c>
      <c r="D185" s="4" t="inlineStr">
        <is>
          <t>IE</t>
        </is>
      </c>
      <c r="E185" s="4" t="inlineStr">
        <is>
          <t>Consumo cíclico</t>
        </is>
      </c>
      <c r="F185" s="4" t="inlineStr">
        <is>
          <t>Internet Retail</t>
        </is>
      </c>
      <c r="G185" s="4" t="inlineStr">
        <is>
          <t>NMS</t>
        </is>
      </c>
      <c r="H185" s="4" t="inlineStr">
        <is>
          <t>USD</t>
        </is>
      </c>
      <c r="I185" s="5" t="n">
        <v>115935.6416</v>
      </c>
      <c r="J185" s="6">
        <f>INDEX(FX!$B:$B,MATCH(H185,FX!$A:$A,0))</f>
        <v/>
      </c>
      <c r="K185" s="5">
        <f>I185*J185</f>
        <v/>
      </c>
      <c r="L185" s="4">
        <f>IF(U185&lt;&gt;"",U185,IF(K185&gt;=Umbrales!$B$2,"Legendaria",IF(K185&gt;=Umbrales!$B$3,"Épica",IF(K185&gt;=Umbrales!$B$4,"Rara",IF(K185&gt;=Umbrales!$B$5,"Poco común","Común")))))</f>
        <v/>
      </c>
      <c r="M185" s="5" t="n">
        <v>450775.711744</v>
      </c>
      <c r="N185" s="5" t="n">
        <v>92075.54048</v>
      </c>
      <c r="O185" s="5">
        <f>IF(M185="","",M185*J185)</f>
        <v/>
      </c>
      <c r="P185" s="5">
        <f>IF(N185="","",N185*J185)</f>
        <v/>
      </c>
      <c r="Q185" s="7" t="n">
        <v>0</v>
      </c>
      <c r="R185" s="8" t="n">
        <v>9.213800000000001</v>
      </c>
      <c r="S185" s="4" t="inlineStr">
        <is>
          <t>NASDAQ100</t>
        </is>
      </c>
      <c r="T185" s="9" t="inlineStr">
        <is>
          <t>SI</t>
        </is>
      </c>
      <c r="U185" s="9" t="inlineStr"/>
      <c r="V185" s="10">
        <f>Umbrales!$B$9*(K185/1000)^Umbrales!$B$10</f>
        <v/>
      </c>
    </row>
    <row r="186">
      <c r="A186" s="4" t="inlineStr">
        <is>
          <t>MCK</t>
        </is>
      </c>
      <c r="B186" s="4" t="inlineStr">
        <is>
          <t>McKesson Corporation</t>
        </is>
      </c>
      <c r="C186" s="4" t="inlineStr">
        <is>
          <t>United States</t>
        </is>
      </c>
      <c r="D186" s="4" t="inlineStr">
        <is>
          <t>US</t>
        </is>
      </c>
      <c r="E186" s="4" t="inlineStr">
        <is>
          <t>Salud</t>
        </is>
      </c>
      <c r="F186" s="4" t="inlineStr">
        <is>
          <t>Medical Distribution</t>
        </is>
      </c>
      <c r="G186" s="4" t="inlineStr">
        <is>
          <t>NYQ</t>
        </is>
      </c>
      <c r="H186" s="4" t="inlineStr">
        <is>
          <t>USD</t>
        </is>
      </c>
      <c r="I186" s="5" t="n">
        <v>115874.496512</v>
      </c>
      <c r="J186" s="6">
        <f>INDEX(FX!$B:$B,MATCH(H186,FX!$A:$A,0))</f>
        <v/>
      </c>
      <c r="K186" s="5">
        <f>I186*J186</f>
        <v/>
      </c>
      <c r="L186" s="4">
        <f>IF(U186&lt;&gt;"",U186,IF(K186&gt;=Umbrales!$B$2,"Legendaria",IF(K186&gt;=Umbrales!$B$3,"Épica",IF(K186&gt;=Umbrales!$B$4,"Rara",IF(K186&gt;=Umbrales!$B$5,"Poco común","Común")))))</f>
        <v/>
      </c>
      <c r="M186" s="5" t="n">
        <v>410983.006208</v>
      </c>
      <c r="N186" s="5" t="n">
        <v>4592</v>
      </c>
      <c r="O186" s="5">
        <f>IF(M186="","",M186*J186)</f>
        <v/>
      </c>
      <c r="P186" s="5">
        <f>IF(N186="","",N186*J186)</f>
        <v/>
      </c>
      <c r="Q186" s="7" t="n">
        <v>0.0039</v>
      </c>
      <c r="R186" s="8" t="n">
        <v>26.637897</v>
      </c>
      <c r="S186" s="4" t="inlineStr">
        <is>
          <t>SP500</t>
        </is>
      </c>
      <c r="T186" s="9" t="inlineStr">
        <is>
          <t>SI</t>
        </is>
      </c>
      <c r="U186" s="9" t="inlineStr"/>
      <c r="V186" s="10">
        <f>Umbrales!$B$9*(K186/1000)^Umbrales!$B$10</f>
        <v/>
      </c>
    </row>
    <row r="187">
      <c r="A187" s="4" t="inlineStr">
        <is>
          <t>CVS</t>
        </is>
      </c>
      <c r="B187" s="4" t="inlineStr">
        <is>
          <t>CVS Health Corporation</t>
        </is>
      </c>
      <c r="C187" s="4" t="inlineStr">
        <is>
          <t>United States</t>
        </is>
      </c>
      <c r="D187" s="4" t="inlineStr">
        <is>
          <t>US</t>
        </is>
      </c>
      <c r="E187" s="4" t="inlineStr">
        <is>
          <t>Salud</t>
        </is>
      </c>
      <c r="F187" s="4" t="inlineStr">
        <is>
          <t>Healthcare Plans</t>
        </is>
      </c>
      <c r="G187" s="4" t="inlineStr">
        <is>
          <t>NYQ</t>
        </is>
      </c>
      <c r="H187" s="4" t="inlineStr">
        <is>
          <t>USD</t>
        </is>
      </c>
      <c r="I187" s="5" t="n">
        <v>115606.134784</v>
      </c>
      <c r="J187" s="6">
        <f>INDEX(FX!$B:$B,MATCH(H187,FX!$A:$A,0))</f>
        <v/>
      </c>
      <c r="K187" s="5">
        <f>I187*J187</f>
        <v/>
      </c>
      <c r="L187" s="4">
        <f>IF(U187&lt;&gt;"",U187,IF(K187&gt;=Umbrales!$B$2,"Legendaria",IF(K187&gt;=Umbrales!$B$3,"Épica",IF(K187&gt;=Umbrales!$B$4,"Rara",IF(K187&gt;=Umbrales!$B$5,"Poco común","Común")))))</f>
        <v/>
      </c>
      <c r="M187" s="5" t="n">
        <v>412644.999168</v>
      </c>
      <c r="N187" s="5" t="n">
        <v>4889.999872</v>
      </c>
      <c r="O187" s="5">
        <f>IF(M187="","",M187*J187)</f>
        <v/>
      </c>
      <c r="P187" s="5">
        <f>IF(N187="","",N187*J187)</f>
        <v/>
      </c>
      <c r="Q187" s="7" t="n">
        <v>0.0304</v>
      </c>
      <c r="R187" s="8" t="n">
        <v>23.058672</v>
      </c>
      <c r="S187" s="4" t="inlineStr">
        <is>
          <t>SP500</t>
        </is>
      </c>
      <c r="T187" s="9" t="inlineStr">
        <is>
          <t>SI</t>
        </is>
      </c>
      <c r="U187" s="9" t="inlineStr"/>
      <c r="V187" s="10">
        <f>Umbrales!$B$9*(K187/1000)^Umbrales!$B$10</f>
        <v/>
      </c>
    </row>
    <row r="188">
      <c r="A188" s="4" t="inlineStr">
        <is>
          <t>BMO.TO</t>
        </is>
      </c>
      <c r="B188" s="4" t="inlineStr">
        <is>
          <t>Bank of Montreal</t>
        </is>
      </c>
      <c r="C188" s="4" t="inlineStr">
        <is>
          <t>Canada</t>
        </is>
      </c>
      <c r="D188" s="4" t="inlineStr">
        <is>
          <t>CA</t>
        </is>
      </c>
      <c r="E188" s="4" t="inlineStr">
        <is>
          <t>Finanzas</t>
        </is>
      </c>
      <c r="F188" s="4" t="inlineStr">
        <is>
          <t>Banks - Diversified</t>
        </is>
      </c>
      <c r="G188" s="4" t="inlineStr">
        <is>
          <t>TOR</t>
        </is>
      </c>
      <c r="H188" s="4" t="inlineStr">
        <is>
          <t>CAD</t>
        </is>
      </c>
      <c r="I188" s="5" t="n">
        <v>163284.123648</v>
      </c>
      <c r="J188" s="6">
        <f>INDEX(FX!$B:$B,MATCH(H188,FX!$A:$A,0))</f>
        <v/>
      </c>
      <c r="K188" s="5">
        <f>I188*J188</f>
        <v/>
      </c>
      <c r="L188" s="4">
        <f>IF(U188&lt;&gt;"",U188,IF(K188&gt;=Umbrales!$B$2,"Legendaria",IF(K188&gt;=Umbrales!$B$3,"Épica",IF(K188&gt;=Umbrales!$B$4,"Rara",IF(K188&gt;=Umbrales!$B$5,"Poco común","Común")))))</f>
        <v/>
      </c>
      <c r="M188" s="5" t="n">
        <v>35666.00192</v>
      </c>
      <c r="N188" s="5" t="n">
        <v>8688</v>
      </c>
      <c r="O188" s="5">
        <f>IF(M188="","",M188*J188)</f>
        <v/>
      </c>
      <c r="P188" s="5">
        <f>IF(N188="","",N188*J188)</f>
        <v/>
      </c>
      <c r="Q188" s="7" t="n">
        <v>0.0291</v>
      </c>
      <c r="R188" s="8" t="n">
        <v>19.318256</v>
      </c>
      <c r="S188" s="4" t="inlineStr">
        <is>
          <t>TSX60</t>
        </is>
      </c>
      <c r="T188" s="9" t="inlineStr">
        <is>
          <t>SI</t>
        </is>
      </c>
      <c r="U188" s="9" t="inlineStr"/>
      <c r="V188" s="10">
        <f>Umbrales!$B$9*(K188/1000)^Umbrales!$B$10</f>
        <v/>
      </c>
    </row>
    <row r="189">
      <c r="A189" s="4" t="inlineStr">
        <is>
          <t>ADP</t>
        </is>
      </c>
      <c r="B189" s="4" t="inlineStr">
        <is>
          <t>Automatic Data Processing, Inc.</t>
        </is>
      </c>
      <c r="C189" s="4" t="inlineStr">
        <is>
          <t>United States</t>
        </is>
      </c>
      <c r="D189" s="4" t="inlineStr">
        <is>
          <t>US</t>
        </is>
      </c>
      <c r="E189" s="4" t="inlineStr">
        <is>
          <t>Tecnología</t>
        </is>
      </c>
      <c r="F189" s="4" t="inlineStr">
        <is>
          <t>Software - Application</t>
        </is>
      </c>
      <c r="G189" s="4" t="inlineStr">
        <is>
          <t>NMS</t>
        </is>
      </c>
      <c r="H189" s="4" t="inlineStr">
        <is>
          <t>USD</t>
        </is>
      </c>
      <c r="I189" s="5" t="n">
        <v>111077.236736</v>
      </c>
      <c r="J189" s="6">
        <f>INDEX(FX!$B:$B,MATCH(H189,FX!$A:$A,0))</f>
        <v/>
      </c>
      <c r="K189" s="5">
        <f>I189*J189</f>
        <v/>
      </c>
      <c r="L189" s="4">
        <f>IF(U189&lt;&gt;"",U189,IF(K189&gt;=Umbrales!$B$2,"Legendaria",IF(K189&gt;=Umbrales!$B$3,"Épica",IF(K189&gt;=Umbrales!$B$4,"Rara",IF(K189&gt;=Umbrales!$B$5,"Poco común","Común")))))</f>
        <v/>
      </c>
      <c r="M189" s="5" t="n">
        <v>21947.400192</v>
      </c>
      <c r="N189" s="5" t="n">
        <v>4413.499904</v>
      </c>
      <c r="O189" s="5">
        <f>IF(M189="","",M189*J189)</f>
        <v/>
      </c>
      <c r="P189" s="5">
        <f>IF(N189="","",N189*J189)</f>
        <v/>
      </c>
      <c r="Q189" s="7" t="n">
        <v>0.0246</v>
      </c>
      <c r="R189" s="8" t="n">
        <v>25.208633</v>
      </c>
      <c r="S189" s="4" t="inlineStr">
        <is>
          <t>NASDAQ100, SP500</t>
        </is>
      </c>
      <c r="T189" s="9" t="inlineStr">
        <is>
          <t>SI</t>
        </is>
      </c>
      <c r="U189" s="9" t="inlineStr"/>
      <c r="V189" s="10">
        <f>Umbrales!$B$9*(K189/1000)^Umbrales!$B$10</f>
        <v/>
      </c>
    </row>
    <row r="190">
      <c r="A190" s="4" t="inlineStr">
        <is>
          <t>BNS.TO</t>
        </is>
      </c>
      <c r="B190" s="4" t="inlineStr">
        <is>
          <t>The Bank of Nova Scotia</t>
        </is>
      </c>
      <c r="C190" s="4" t="inlineStr">
        <is>
          <t>Canada</t>
        </is>
      </c>
      <c r="D190" s="4" t="inlineStr">
        <is>
          <t>CA</t>
        </is>
      </c>
      <c r="E190" s="4" t="inlineStr">
        <is>
          <t>Finanzas</t>
        </is>
      </c>
      <c r="F190" s="4" t="inlineStr">
        <is>
          <t>Banks - Diversified</t>
        </is>
      </c>
      <c r="G190" s="4" t="inlineStr">
        <is>
          <t>TOR</t>
        </is>
      </c>
      <c r="H190" s="4" t="inlineStr">
        <is>
          <t>CAD</t>
        </is>
      </c>
      <c r="I190" s="5" t="n">
        <v>157369.597952</v>
      </c>
      <c r="J190" s="6">
        <f>INDEX(FX!$B:$B,MATCH(H190,FX!$A:$A,0))</f>
        <v/>
      </c>
      <c r="K190" s="5">
        <f>I190*J190</f>
        <v/>
      </c>
      <c r="L190" s="4">
        <f>IF(U190&lt;&gt;"",U190,IF(K190&gt;=Umbrales!$B$2,"Legendaria",IF(K190&gt;=Umbrales!$B$3,"Épica",IF(K190&gt;=Umbrales!$B$4,"Rara",IF(K190&gt;=Umbrales!$B$5,"Poco común","Común")))))</f>
        <v/>
      </c>
      <c r="M190" s="5" t="n">
        <v>35204.001792</v>
      </c>
      <c r="N190" s="5" t="n">
        <v>9505.000448000001</v>
      </c>
      <c r="O190" s="5">
        <f>IF(M190="","",M190*J190)</f>
        <v/>
      </c>
      <c r="P190" s="5">
        <f>IF(N190="","",N190*J190)</f>
        <v/>
      </c>
      <c r="Q190" s="7" t="n">
        <v>0.0355</v>
      </c>
      <c r="R190" s="8" t="n">
        <v>16.92801</v>
      </c>
      <c r="S190" s="4" t="inlineStr">
        <is>
          <t>TSX60</t>
        </is>
      </c>
      <c r="T190" s="9" t="inlineStr">
        <is>
          <t>SI</t>
        </is>
      </c>
      <c r="U190" s="9" t="inlineStr"/>
      <c r="V190" s="10">
        <f>Umbrales!$B$9*(K190/1000)^Umbrales!$B$10</f>
        <v/>
      </c>
    </row>
    <row r="191">
      <c r="A191" s="4" t="inlineStr">
        <is>
          <t>BNP.PA</t>
        </is>
      </c>
      <c r="B191" s="4" t="inlineStr">
        <is>
          <t>BNP Paribas SA</t>
        </is>
      </c>
      <c r="C191" s="4" t="inlineStr">
        <is>
          <t>France</t>
        </is>
      </c>
      <c r="D191" s="4" t="inlineStr">
        <is>
          <t>FR</t>
        </is>
      </c>
      <c r="E191" s="4" t="inlineStr">
        <is>
          <t>Finanzas</t>
        </is>
      </c>
      <c r="F191" s="4" t="inlineStr">
        <is>
          <t>Banks - Regional</t>
        </is>
      </c>
      <c r="G191" s="4" t="inlineStr">
        <is>
          <t>PAR</t>
        </is>
      </c>
      <c r="H191" s="4" t="inlineStr">
        <is>
          <t>EUR</t>
        </is>
      </c>
      <c r="I191" s="5" t="n">
        <v>98146.80371199999</v>
      </c>
      <c r="J191" s="6">
        <f>INDEX(FX!$B:$B,MATCH(H191,FX!$A:$A,0))</f>
        <v/>
      </c>
      <c r="K191" s="5">
        <f>I191*J191</f>
        <v/>
      </c>
      <c r="L191" s="4">
        <f>IF(U191&lt;&gt;"",U191,IF(K191&gt;=Umbrales!$B$2,"Legendaria",IF(K191&gt;=Umbrales!$B$3,"Épica",IF(K191&gt;=Umbrales!$B$4,"Rara",IF(K191&gt;=Umbrales!$B$5,"Poco común","Común")))))</f>
        <v/>
      </c>
      <c r="M191" s="5" t="n">
        <v>51256.000512</v>
      </c>
      <c r="N191" s="5" t="n">
        <v>12766.999552</v>
      </c>
      <c r="O191" s="5">
        <f>IF(M191="","",M191*J191)</f>
        <v/>
      </c>
      <c r="P191" s="5">
        <f>IF(N191="","",N191*J191)</f>
        <v/>
      </c>
      <c r="Q191" s="7" t="n">
        <v>0.0716</v>
      </c>
      <c r="R191" s="8" t="n">
        <v>7.974177</v>
      </c>
      <c r="S191" s="4" t="inlineStr">
        <is>
          <t>CAC40, EUROSTOXX50</t>
        </is>
      </c>
      <c r="T191" s="9" t="inlineStr">
        <is>
          <t>SI</t>
        </is>
      </c>
      <c r="U191" s="9" t="inlineStr"/>
      <c r="V191" s="10">
        <f>Umbrales!$B$9*(K191/1000)^Umbrales!$B$10</f>
        <v/>
      </c>
    </row>
    <row r="192">
      <c r="A192" s="4" t="inlineStr">
        <is>
          <t>ZURN.SW</t>
        </is>
      </c>
      <c r="B192" s="4" t="inlineStr">
        <is>
          <t>Zurich Insurance Group AG</t>
        </is>
      </c>
      <c r="C192" s="4" t="inlineStr">
        <is>
          <t>Switzerland</t>
        </is>
      </c>
      <c r="D192" s="4" t="inlineStr">
        <is>
          <t>CH</t>
        </is>
      </c>
      <c r="E192" s="4" t="inlineStr">
        <is>
          <t>Finanzas</t>
        </is>
      </c>
      <c r="F192" s="4" t="inlineStr">
        <is>
          <t>Insurance - Diversified</t>
        </is>
      </c>
      <c r="G192" s="4" t="inlineStr">
        <is>
          <t>EBS</t>
        </is>
      </c>
      <c r="H192" s="4" t="inlineStr">
        <is>
          <t>CHF</t>
        </is>
      </c>
      <c r="I192" s="5" t="n">
        <v>90458.021888</v>
      </c>
      <c r="J192" s="6">
        <f>INDEX(FX!$B:$B,MATCH(H192,FX!$A:$A,0))</f>
        <v/>
      </c>
      <c r="K192" s="5">
        <f>I192*J192</f>
        <v/>
      </c>
      <c r="L192" s="4">
        <f>IF(U192&lt;&gt;"",U192,IF(K192&gt;=Umbrales!$B$2,"Legendaria",IF(K192&gt;=Umbrales!$B$3,"Épica",IF(K192&gt;=Umbrales!$B$4,"Rara",IF(K192&gt;=Umbrales!$B$5,"Poco común","Común")))))</f>
        <v/>
      </c>
      <c r="M192" s="5" t="n">
        <v>76972.998656</v>
      </c>
      <c r="N192" s="5" t="n">
        <v>7222.000128</v>
      </c>
      <c r="O192" s="5">
        <f>IF(M192="","",M192*J192)</f>
        <v/>
      </c>
      <c r="P192" s="5">
        <f>IF(N192="","",N192*J192)</f>
        <v/>
      </c>
      <c r="Q192" s="7" t="n">
        <v>0.0507</v>
      </c>
      <c r="R192" s="8" t="n">
        <v>15.452922</v>
      </c>
      <c r="S192" s="4" t="inlineStr">
        <is>
          <t>SMI</t>
        </is>
      </c>
      <c r="T192" s="9" t="inlineStr">
        <is>
          <t>SI</t>
        </is>
      </c>
      <c r="U192" s="9" t="inlineStr"/>
      <c r="V192" s="10">
        <f>Umbrales!$B$9*(K192/1000)^Umbrales!$B$10</f>
        <v/>
      </c>
    </row>
    <row r="193">
      <c r="A193" s="4" t="inlineStr">
        <is>
          <t>SYK</t>
        </is>
      </c>
      <c r="B193" s="4" t="inlineStr">
        <is>
          <t>Stryker Corporation</t>
        </is>
      </c>
      <c r="C193" s="4" t="inlineStr">
        <is>
          <t>United States</t>
        </is>
      </c>
      <c r="D193" s="4" t="inlineStr">
        <is>
          <t>US</t>
        </is>
      </c>
      <c r="E193" s="4" t="inlineStr">
        <is>
          <t>Salud</t>
        </is>
      </c>
      <c r="F193" s="4" t="inlineStr">
        <is>
          <t>Medical Devices</t>
        </is>
      </c>
      <c r="G193" s="4" t="inlineStr">
        <is>
          <t>NYQ</t>
        </is>
      </c>
      <c r="H193" s="4" t="inlineStr">
        <is>
          <t>USD</t>
        </is>
      </c>
      <c r="I193" s="5" t="n">
        <v>108021.84192</v>
      </c>
      <c r="J193" s="6">
        <f>INDEX(FX!$B:$B,MATCH(H193,FX!$A:$A,0))</f>
        <v/>
      </c>
      <c r="K193" s="5">
        <f>I193*J193</f>
        <v/>
      </c>
      <c r="L193" s="4">
        <f>IF(U193&lt;&gt;"",U193,IF(K193&gt;=Umbrales!$B$2,"Legendaria",IF(K193&gt;=Umbrales!$B$3,"Épica",IF(K193&gt;=Umbrales!$B$4,"Rara",IF(K193&gt;=Umbrales!$B$5,"Poco común","Común")))))</f>
        <v/>
      </c>
      <c r="M193" s="5" t="n">
        <v>25837.000704</v>
      </c>
      <c r="N193" s="5" t="n">
        <v>3728.999936</v>
      </c>
      <c r="O193" s="5">
        <f>IF(M193="","",M193*J193)</f>
        <v/>
      </c>
      <c r="P193" s="5">
        <f>IF(N193="","",N193*J193)</f>
        <v/>
      </c>
      <c r="Q193" s="7" t="n">
        <v>0.0125</v>
      </c>
      <c r="R193" s="8" t="n">
        <v>29.274427</v>
      </c>
      <c r="S193" s="4" t="inlineStr">
        <is>
          <t>SP500</t>
        </is>
      </c>
      <c r="T193" s="9" t="inlineStr">
        <is>
          <t>SI</t>
        </is>
      </c>
      <c r="U193" s="9" t="inlineStr"/>
      <c r="V193" s="10">
        <f>Umbrales!$B$9*(K193/1000)^Umbrales!$B$10</f>
        <v/>
      </c>
    </row>
    <row r="194">
      <c r="A194" s="4" t="inlineStr">
        <is>
          <t>SPOT</t>
        </is>
      </c>
      <c r="B194" s="4" t="inlineStr">
        <is>
          <t>Spotify Technology S.A.</t>
        </is>
      </c>
      <c r="C194" s="4" t="inlineStr">
        <is>
          <t>Sweden</t>
        </is>
      </c>
      <c r="D194" s="4" t="inlineStr">
        <is>
          <t>SE</t>
        </is>
      </c>
      <c r="E194" s="4" t="inlineStr">
        <is>
          <t>Comunicación</t>
        </is>
      </c>
      <c r="F194" s="4" t="inlineStr">
        <is>
          <t>Internet Content &amp; Information</t>
        </is>
      </c>
      <c r="G194" s="4" t="inlineStr">
        <is>
          <t>NYQ</t>
        </is>
      </c>
      <c r="H194" s="4" t="inlineStr">
        <is>
          <t>USD</t>
        </is>
      </c>
      <c r="I194" s="5" t="n">
        <v>107736.694784</v>
      </c>
      <c r="J194" s="6">
        <f>INDEX(FX!$B:$B,MATCH(H194,FX!$A:$A,0))</f>
        <v/>
      </c>
      <c r="K194" s="5">
        <f>I194*J194</f>
        <v/>
      </c>
      <c r="L194" s="4">
        <f>IF(U194&lt;&gt;"",U194,IF(K194&gt;=Umbrales!$B$2,"Legendaria",IF(K194&gt;=Umbrales!$B$3,"Épica",IF(K194&gt;=Umbrales!$B$4,"Rara",IF(K194&gt;=Umbrales!$B$5,"Poco común","Común")))))</f>
        <v/>
      </c>
      <c r="M194" s="5" t="n">
        <v>18112.999424</v>
      </c>
      <c r="N194" s="5" t="n">
        <v>3339.000064</v>
      </c>
      <c r="O194" s="5">
        <f>IF(M194="","",M194*J194)</f>
        <v/>
      </c>
      <c r="P194" s="5">
        <f>IF(N194="","",N194*J194)</f>
        <v/>
      </c>
      <c r="Q194" s="7" t="n">
        <v>0</v>
      </c>
      <c r="R194" s="8" t="n">
        <v>30.304222</v>
      </c>
      <c r="S194" s="4" t="inlineStr"/>
      <c r="T194" s="9" t="inlineStr">
        <is>
          <t>SI</t>
        </is>
      </c>
      <c r="U194" s="9" t="inlineStr"/>
      <c r="V194" s="10">
        <f>Umbrales!$B$9*(K194/1000)^Umbrales!$B$10</f>
        <v/>
      </c>
    </row>
    <row r="195">
      <c r="A195" s="4" t="inlineStr">
        <is>
          <t>EQNR.OL</t>
        </is>
      </c>
      <c r="B195" s="4" t="inlineStr">
        <is>
          <t>Equinor ASA</t>
        </is>
      </c>
      <c r="C195" s="4" t="inlineStr">
        <is>
          <t>Norway</t>
        </is>
      </c>
      <c r="D195" s="4" t="inlineStr">
        <is>
          <t>NO</t>
        </is>
      </c>
      <c r="E195" s="4" t="inlineStr">
        <is>
          <t>Energía</t>
        </is>
      </c>
      <c r="F195" s="4" t="inlineStr">
        <is>
          <t>Oil &amp; Gas Integrated</t>
        </is>
      </c>
      <c r="G195" s="4" t="inlineStr">
        <is>
          <t>OSL</t>
        </is>
      </c>
      <c r="H195" s="4" t="inlineStr">
        <is>
          <t>NOK</t>
        </is>
      </c>
      <c r="I195" s="5" t="n">
        <v>1017471.762432</v>
      </c>
      <c r="J195" s="6">
        <f>INDEX(FX!$B:$B,MATCH(H195,FX!$A:$A,0))</f>
        <v/>
      </c>
      <c r="K195" s="5">
        <f>I195*J195</f>
        <v/>
      </c>
      <c r="L195" s="4">
        <f>IF(U195&lt;&gt;"",U195,IF(K195&gt;=Umbrales!$B$2,"Legendaria",IF(K195&gt;=Umbrales!$B$3,"Épica",IF(K195&gt;=Umbrales!$B$4,"Rara",IF(K195&gt;=Umbrales!$B$5,"Poco común","Común")))))</f>
        <v/>
      </c>
      <c r="M195" s="5" t="n">
        <v>113652.998144</v>
      </c>
      <c r="N195" s="5" t="n">
        <v>9057.999872</v>
      </c>
      <c r="O195" s="5">
        <f>IF(M195="","",M195*J195)</f>
        <v/>
      </c>
      <c r="P195" s="5">
        <f>IF(N195="","",N195*J195)</f>
        <v/>
      </c>
      <c r="Q195" s="7" t="n">
        <v>0.0337</v>
      </c>
      <c r="R195" s="8" t="n">
        <v>12.084389</v>
      </c>
      <c r="S195" s="4" t="inlineStr"/>
      <c r="T195" s="9" t="inlineStr">
        <is>
          <t>SI</t>
        </is>
      </c>
      <c r="U195" s="9" t="inlineStr"/>
      <c r="V195" s="10">
        <f>Umbrales!$B$9*(K195/1000)^Umbrales!$B$10</f>
        <v/>
      </c>
    </row>
    <row r="196">
      <c r="A196" s="4" t="inlineStr">
        <is>
          <t>CNQ.TO</t>
        </is>
      </c>
      <c r="B196" s="4" t="inlineStr">
        <is>
          <t>Canadian Natural Resources Limited</t>
        </is>
      </c>
      <c r="C196" s="4" t="inlineStr">
        <is>
          <t>Canada</t>
        </is>
      </c>
      <c r="D196" s="4" t="inlineStr">
        <is>
          <t>CA</t>
        </is>
      </c>
      <c r="E196" s="4" t="inlineStr">
        <is>
          <t>Energía</t>
        </is>
      </c>
      <c r="F196" s="4" t="inlineStr">
        <is>
          <t>Oil &amp; Gas E&amp;P</t>
        </is>
      </c>
      <c r="G196" s="4" t="inlineStr">
        <is>
          <t>TOR</t>
        </is>
      </c>
      <c r="H196" s="4" t="inlineStr">
        <is>
          <t>CAD</t>
        </is>
      </c>
      <c r="I196" s="5" t="n">
        <v>152179.933184</v>
      </c>
      <c r="J196" s="6">
        <f>INDEX(FX!$B:$B,MATCH(H196,FX!$A:$A,0))</f>
        <v/>
      </c>
      <c r="K196" s="5">
        <f>I196*J196</f>
        <v/>
      </c>
      <c r="L196" s="4">
        <f>IF(U196&lt;&gt;"",U196,IF(K196&gt;=Umbrales!$B$2,"Legendaria",IF(K196&gt;=Umbrales!$B$3,"Épica",IF(K196&gt;=Umbrales!$B$4,"Rara",IF(K196&gt;=Umbrales!$B$5,"Poco común","Común")))))</f>
        <v/>
      </c>
      <c r="M196" s="5" t="n">
        <v>44676.001792</v>
      </c>
      <c r="N196" s="5" t="n">
        <v>11754.000384</v>
      </c>
      <c r="O196" s="5">
        <f>IF(M196="","",M196*J196)</f>
        <v/>
      </c>
      <c r="P196" s="5">
        <f>IF(N196="","",N196*J196)</f>
        <v/>
      </c>
      <c r="Q196" s="7" t="n">
        <v>0.0337</v>
      </c>
      <c r="R196" s="8" t="n">
        <v>13.182143</v>
      </c>
      <c r="S196" s="4" t="inlineStr">
        <is>
          <t>TSX60</t>
        </is>
      </c>
      <c r="T196" s="9" t="inlineStr">
        <is>
          <t>SI</t>
        </is>
      </c>
      <c r="U196" s="9" t="inlineStr"/>
      <c r="V196" s="10">
        <f>Umbrales!$B$9*(K196/1000)^Umbrales!$B$10</f>
        <v/>
      </c>
    </row>
    <row r="197">
      <c r="A197" s="4" t="inlineStr">
        <is>
          <t>SBUX</t>
        </is>
      </c>
      <c r="B197" s="4" t="inlineStr">
        <is>
          <t>Starbucks Corporation</t>
        </is>
      </c>
      <c r="C197" s="4" t="inlineStr">
        <is>
          <t>United States</t>
        </is>
      </c>
      <c r="D197" s="4" t="inlineStr">
        <is>
          <t>US</t>
        </is>
      </c>
      <c r="E197" s="4" t="inlineStr">
        <is>
          <t>Consumo cíclico</t>
        </is>
      </c>
      <c r="F197" s="4" t="inlineStr">
        <is>
          <t>Restaurants</t>
        </is>
      </c>
      <c r="G197" s="4" t="inlineStr">
        <is>
          <t>NMS</t>
        </is>
      </c>
      <c r="H197" s="4" t="inlineStr">
        <is>
          <t>USD</t>
        </is>
      </c>
      <c r="I197" s="5" t="n">
        <v>106305.00352</v>
      </c>
      <c r="J197" s="6">
        <f>INDEX(FX!$B:$B,MATCH(H197,FX!$A:$A,0))</f>
        <v/>
      </c>
      <c r="K197" s="5">
        <f>I197*J197</f>
        <v/>
      </c>
      <c r="L197" s="4">
        <f>IF(U197&lt;&gt;"",U197,IF(K197&gt;=Umbrales!$B$2,"Legendaria",IF(K197&gt;=Umbrales!$B$3,"Épica",IF(K197&gt;=Umbrales!$B$4,"Rara",IF(K197&gt;=Umbrales!$B$5,"Poco común","Común")))))</f>
        <v/>
      </c>
      <c r="M197" s="5" t="n">
        <v>38338.301952</v>
      </c>
      <c r="N197" s="5" t="n">
        <v>1982.8</v>
      </c>
      <c r="O197" s="5">
        <f>IF(M197="","",M197*J197)</f>
        <v/>
      </c>
      <c r="P197" s="5">
        <f>IF(N197="","",N197*J197)</f>
        <v/>
      </c>
      <c r="Q197" s="7" t="n">
        <v>0.0274</v>
      </c>
      <c r="R197" s="8" t="n">
        <v>53.285713</v>
      </c>
      <c r="S197" s="4" t="inlineStr">
        <is>
          <t>NASDAQ100, SP500</t>
        </is>
      </c>
      <c r="T197" s="9" t="inlineStr">
        <is>
          <t>SI</t>
        </is>
      </c>
      <c r="U197" s="9" t="inlineStr"/>
      <c r="V197" s="10">
        <f>Umbrales!$B$9*(K197/1000)^Umbrales!$B$10</f>
        <v/>
      </c>
    </row>
    <row r="198">
      <c r="A198" s="4" t="inlineStr">
        <is>
          <t>2899.HK</t>
        </is>
      </c>
      <c r="B198" s="4" t="inlineStr">
        <is>
          <t>Zijin Mining Group Company Limited</t>
        </is>
      </c>
      <c r="C198" s="4" t="inlineStr">
        <is>
          <t>China</t>
        </is>
      </c>
      <c r="D198" s="4" t="inlineStr">
        <is>
          <t>CN</t>
        </is>
      </c>
      <c r="E198" s="4" t="inlineStr">
        <is>
          <t>Materiales</t>
        </is>
      </c>
      <c r="F198" s="4" t="inlineStr">
        <is>
          <t>Gold</t>
        </is>
      </c>
      <c r="G198" s="4" t="inlineStr">
        <is>
          <t>HKG</t>
        </is>
      </c>
      <c r="H198" s="4" t="inlineStr">
        <is>
          <t>HKD</t>
        </is>
      </c>
      <c r="I198" s="5" t="n">
        <v>831228.346368</v>
      </c>
      <c r="J198" s="6">
        <f>INDEX(FX!$B:$B,MATCH(H198,FX!$A:$A,0))</f>
        <v/>
      </c>
      <c r="K198" s="5">
        <f>I198*J198</f>
        <v/>
      </c>
      <c r="L198" s="4">
        <f>IF(U198&lt;&gt;"",U198,IF(K198&gt;=Umbrales!$B$2,"Legendaria",IF(K198&gt;=Umbrales!$B$3,"Épica",IF(K198&gt;=Umbrales!$B$4,"Rara",IF(K198&gt;=Umbrales!$B$5,"Poco común","Común")))))</f>
        <v/>
      </c>
      <c r="M198" s="5" t="n">
        <v>375546.6752</v>
      </c>
      <c r="N198" s="5" t="n">
        <v>67655.38099200001</v>
      </c>
      <c r="O198" s="5">
        <f>IF(M198="","",M198*J198)</f>
        <v/>
      </c>
      <c r="P198" s="5">
        <f>IF(N198="","",N198*J198)</f>
        <v/>
      </c>
      <c r="Q198" s="7" t="n">
        <v>0.0287</v>
      </c>
      <c r="R198" s="8" t="n">
        <v>11.285199</v>
      </c>
      <c r="S198" s="4" t="inlineStr">
        <is>
          <t>HANGSENG</t>
        </is>
      </c>
      <c r="T198" s="9" t="inlineStr">
        <is>
          <t>SI</t>
        </is>
      </c>
      <c r="U198" s="9" t="inlineStr"/>
      <c r="V198" s="10">
        <f>Umbrales!$B$9*(K198/1000)^Umbrales!$B$10</f>
        <v/>
      </c>
    </row>
    <row r="199">
      <c r="A199" s="4" t="inlineStr">
        <is>
          <t>LOW</t>
        </is>
      </c>
      <c r="B199" s="4" t="inlineStr">
        <is>
          <t>Lowe's Companies, Inc.</t>
        </is>
      </c>
      <c r="C199" s="4" t="inlineStr">
        <is>
          <t>United States</t>
        </is>
      </c>
      <c r="D199" s="4" t="inlineStr">
        <is>
          <t>US</t>
        </is>
      </c>
      <c r="E199" s="4" t="inlineStr">
        <is>
          <t>Consumo cíclico</t>
        </is>
      </c>
      <c r="F199" s="4" t="inlineStr">
        <is>
          <t>Home Improvement Retail</t>
        </is>
      </c>
      <c r="G199" s="4" t="inlineStr">
        <is>
          <t>NYQ</t>
        </is>
      </c>
      <c r="H199" s="4" t="inlineStr">
        <is>
          <t>USD</t>
        </is>
      </c>
      <c r="I199" s="5" t="n">
        <v>105652.076544</v>
      </c>
      <c r="J199" s="6">
        <f>INDEX(FX!$B:$B,MATCH(H199,FX!$A:$A,0))</f>
        <v/>
      </c>
      <c r="K199" s="5">
        <f>I199*J199</f>
        <v/>
      </c>
      <c r="L199" s="4">
        <f>IF(U199&lt;&gt;"",U199,IF(K199&gt;=Umbrales!$B$2,"Legendaria",IF(K199&gt;=Umbrales!$B$3,"Épica",IF(K199&gt;=Umbrales!$B$4,"Rara",IF(K199&gt;=Umbrales!$B$5,"Poco común","Común")))))</f>
        <v/>
      </c>
      <c r="M199" s="5" t="n">
        <v>90431.995904</v>
      </c>
      <c r="N199" s="5" t="n">
        <v>6624.999936</v>
      </c>
      <c r="O199" s="5">
        <f>IF(M199="","",M199*J199)</f>
        <v/>
      </c>
      <c r="P199" s="5">
        <f>IF(N199="","",N199*J199)</f>
        <v/>
      </c>
      <c r="Q199" s="7" t="n">
        <v>0.0265</v>
      </c>
      <c r="R199" s="8" t="n">
        <v>15.958474</v>
      </c>
      <c r="S199" s="4" t="inlineStr">
        <is>
          <t>SP500</t>
        </is>
      </c>
      <c r="T199" s="9" t="inlineStr">
        <is>
          <t>SI</t>
        </is>
      </c>
      <c r="U199" s="9" t="inlineStr"/>
      <c r="V199" s="10">
        <f>Umbrales!$B$9*(K199/1000)^Umbrales!$B$10</f>
        <v/>
      </c>
    </row>
    <row r="200">
      <c r="A200" s="4" t="inlineStr">
        <is>
          <t>ICICIBANK.NS</t>
        </is>
      </c>
      <c r="B200" s="4" t="inlineStr">
        <is>
          <t>ICICI Bank Limited</t>
        </is>
      </c>
      <c r="C200" s="4" t="inlineStr">
        <is>
          <t>India</t>
        </is>
      </c>
      <c r="D200" s="4" t="inlineStr">
        <is>
          <t>IN</t>
        </is>
      </c>
      <c r="E200" s="4" t="inlineStr">
        <is>
          <t>Finanzas</t>
        </is>
      </c>
      <c r="F200" s="4" t="inlineStr">
        <is>
          <t>Banks - Regional</t>
        </is>
      </c>
      <c r="G200" s="4" t="inlineStr">
        <is>
          <t>NSI</t>
        </is>
      </c>
      <c r="H200" s="4" t="inlineStr">
        <is>
          <t>INR</t>
        </is>
      </c>
      <c r="I200" s="5" t="n">
        <v>9975117.119488001</v>
      </c>
      <c r="J200" s="6">
        <f>INDEX(FX!$B:$B,MATCH(H200,FX!$A:$A,0))</f>
        <v/>
      </c>
      <c r="K200" s="5">
        <f>I200*J200</f>
        <v/>
      </c>
      <c r="L200" s="4">
        <f>IF(U200&lt;&gt;"",U200,IF(K200&gt;=Umbrales!$B$2,"Legendaria",IF(K200&gt;=Umbrales!$B$3,"Épica",IF(K200&gt;=Umbrales!$B$4,"Rara",IF(K200&gt;=Umbrales!$B$5,"Poco común","Común")))))</f>
        <v/>
      </c>
      <c r="M200" s="5" t="n">
        <v>2037316.714496</v>
      </c>
      <c r="N200" s="5" t="n">
        <v>560901.65248</v>
      </c>
      <c r="O200" s="5">
        <f>IF(M200="","",M200*J200)</f>
        <v/>
      </c>
      <c r="P200" s="5">
        <f>IF(N200="","",N200*J200)</f>
        <v/>
      </c>
      <c r="Q200" s="7" t="n">
        <v>0.009000000000000001</v>
      </c>
      <c r="R200" s="8" t="n">
        <v>17.960186</v>
      </c>
      <c r="S200" s="4" t="inlineStr">
        <is>
          <t>NIFTY50</t>
        </is>
      </c>
      <c r="T200" s="9" t="inlineStr">
        <is>
          <t>SI</t>
        </is>
      </c>
      <c r="U200" s="9" t="inlineStr"/>
      <c r="V200" s="10">
        <f>Umbrales!$B$9*(K200/1000)^Umbrales!$B$10</f>
        <v/>
      </c>
    </row>
    <row r="201">
      <c r="A201" s="4" t="inlineStr">
        <is>
          <t>ENB.TO</t>
        </is>
      </c>
      <c r="B201" s="4" t="inlineStr">
        <is>
          <t>Enbridge Inc.</t>
        </is>
      </c>
      <c r="C201" s="4" t="inlineStr">
        <is>
          <t>Canada</t>
        </is>
      </c>
      <c r="D201" s="4" t="inlineStr">
        <is>
          <t>CA</t>
        </is>
      </c>
      <c r="E201" s="4" t="inlineStr">
        <is>
          <t>Energía</t>
        </is>
      </c>
      <c r="F201" s="4" t="inlineStr">
        <is>
          <t>Oil &amp; Gas Midstream</t>
        </is>
      </c>
      <c r="G201" s="4" t="inlineStr">
        <is>
          <t>TOR</t>
        </is>
      </c>
      <c r="H201" s="4" t="inlineStr">
        <is>
          <t>CAD</t>
        </is>
      </c>
      <c r="I201" s="5" t="n">
        <v>148173.520896</v>
      </c>
      <c r="J201" s="6">
        <f>INDEX(FX!$B:$B,MATCH(H201,FX!$A:$A,0))</f>
        <v/>
      </c>
      <c r="K201" s="5">
        <f>I201*J201</f>
        <v/>
      </c>
      <c r="L201" s="4">
        <f>IF(U201&lt;&gt;"",U201,IF(K201&gt;=Umbrales!$B$2,"Legendaria",IF(K201&gt;=Umbrales!$B$3,"Épica",IF(K201&gt;=Umbrales!$B$4,"Rara",IF(K201&gt;=Umbrales!$B$5,"Poco común","Común")))))</f>
        <v/>
      </c>
      <c r="M201" s="5" t="n">
        <v>83490.996224</v>
      </c>
      <c r="N201" s="5" t="n">
        <v>5672.999936</v>
      </c>
      <c r="O201" s="5">
        <f>IF(M201="","",M201*J201)</f>
        <v/>
      </c>
      <c r="P201" s="5">
        <f>IF(N201="","",N201*J201)</f>
        <v/>
      </c>
      <c r="Q201" s="7" t="n">
        <v>0.0574</v>
      </c>
      <c r="R201" s="8" t="n">
        <v>25.667955</v>
      </c>
      <c r="S201" s="4" t="inlineStr">
        <is>
          <t>TSX60</t>
        </is>
      </c>
      <c r="T201" s="9" t="inlineStr">
        <is>
          <t>SI</t>
        </is>
      </c>
      <c r="U201" s="9" t="inlineStr"/>
      <c r="V201" s="10">
        <f>Umbrales!$B$9*(K201/1000)^Umbrales!$B$10</f>
        <v/>
      </c>
    </row>
    <row r="202">
      <c r="A202" s="4" t="inlineStr">
        <is>
          <t>HCA</t>
        </is>
      </c>
      <c r="B202" s="4" t="inlineStr">
        <is>
          <t>HCA Healthcare, Inc.</t>
        </is>
      </c>
      <c r="C202" s="4" t="inlineStr">
        <is>
          <t>United States</t>
        </is>
      </c>
      <c r="D202" s="4" t="inlineStr">
        <is>
          <t>US</t>
        </is>
      </c>
      <c r="E202" s="4" t="inlineStr">
        <is>
          <t>Salud</t>
        </is>
      </c>
      <c r="F202" s="4" t="inlineStr">
        <is>
          <t>Medical Care Facilities</t>
        </is>
      </c>
      <c r="G202" s="4" t="inlineStr">
        <is>
          <t>NYQ</t>
        </is>
      </c>
      <c r="H202" s="4" t="inlineStr">
        <is>
          <t>USD</t>
        </is>
      </c>
      <c r="I202" s="5" t="n">
        <v>104362.319872</v>
      </c>
      <c r="J202" s="6">
        <f>INDEX(FX!$B:$B,MATCH(H202,FX!$A:$A,0))</f>
        <v/>
      </c>
      <c r="K202" s="5">
        <f>I202*J202</f>
        <v/>
      </c>
      <c r="L202" s="4">
        <f>IF(U202&lt;&gt;"",U202,IF(K202&gt;=Umbrales!$B$2,"Legendaria",IF(K202&gt;=Umbrales!$B$3,"Épica",IF(K202&gt;=Umbrales!$B$4,"Rara",IF(K202&gt;=Umbrales!$B$5,"Poco común","Común")))))</f>
        <v/>
      </c>
      <c r="M202" s="5" t="n">
        <v>78012.997632</v>
      </c>
      <c r="N202" s="5" t="n">
        <v>6840</v>
      </c>
      <c r="O202" s="5">
        <f>IF(M202="","",M202*J202)</f>
        <v/>
      </c>
      <c r="P202" s="5">
        <f>IF(N202="","",N202*J202)</f>
        <v/>
      </c>
      <c r="Q202" s="7" t="n">
        <v>0.0068</v>
      </c>
      <c r="R202" s="8" t="n">
        <v>15.444518</v>
      </c>
      <c r="S202" s="4" t="inlineStr">
        <is>
          <t>SP500</t>
        </is>
      </c>
      <c r="T202" s="9" t="inlineStr">
        <is>
          <t>SI</t>
        </is>
      </c>
      <c r="U202" s="9" t="inlineStr"/>
      <c r="V202" s="10">
        <f>Umbrales!$B$9*(K202/1000)^Umbrales!$B$10</f>
        <v/>
      </c>
    </row>
    <row r="203">
      <c r="A203" s="4" t="inlineStr">
        <is>
          <t>TT</t>
        </is>
      </c>
      <c r="B203" s="4" t="inlineStr">
        <is>
          <t>Trane Technologies plc</t>
        </is>
      </c>
      <c r="C203" s="4" t="inlineStr">
        <is>
          <t>Ireland</t>
        </is>
      </c>
      <c r="D203" s="4" t="inlineStr">
        <is>
          <t>IE</t>
        </is>
      </c>
      <c r="E203" s="4" t="inlineStr">
        <is>
          <t>Industria</t>
        </is>
      </c>
      <c r="F203" s="4" t="inlineStr">
        <is>
          <t>Building Products &amp; Equipment</t>
        </is>
      </c>
      <c r="G203" s="4" t="inlineStr">
        <is>
          <t>NYQ</t>
        </is>
      </c>
      <c r="H203" s="4" t="inlineStr">
        <is>
          <t>USD</t>
        </is>
      </c>
      <c r="I203" s="5" t="n">
        <v>103694.729216</v>
      </c>
      <c r="J203" s="6">
        <f>INDEX(FX!$B:$B,MATCH(H203,FX!$A:$A,0))</f>
        <v/>
      </c>
      <c r="K203" s="5">
        <f>I203*J203</f>
        <v/>
      </c>
      <c r="L203" s="4">
        <f>IF(U203&lt;&gt;"",U203,IF(K203&gt;=Umbrales!$B$2,"Legendaria",IF(K203&gt;=Umbrales!$B$3,"Épica",IF(K203&gt;=Umbrales!$B$4,"Rara",IF(K203&gt;=Umbrales!$B$5,"Poco común","Común")))))</f>
        <v/>
      </c>
      <c r="M203" s="5" t="n">
        <v>22209.900544</v>
      </c>
      <c r="N203" s="5" t="n">
        <v>2999.600128</v>
      </c>
      <c r="O203" s="5">
        <f>IF(M203="","",M203*J203)</f>
        <v/>
      </c>
      <c r="P203" s="5">
        <f>IF(N203="","",N203*J203)</f>
        <v/>
      </c>
      <c r="Q203" s="7" t="n">
        <v>0.008800000000000001</v>
      </c>
      <c r="R203" s="8" t="n">
        <v>35.62283</v>
      </c>
      <c r="S203" s="4" t="inlineStr">
        <is>
          <t>SP500</t>
        </is>
      </c>
      <c r="T203" s="9" t="inlineStr">
        <is>
          <t>SI</t>
        </is>
      </c>
      <c r="U203" s="9" t="inlineStr"/>
      <c r="V203" s="10">
        <f>Umbrales!$B$9*(K203/1000)^Umbrales!$B$10</f>
        <v/>
      </c>
    </row>
    <row r="204">
      <c r="A204" s="4" t="inlineStr">
        <is>
          <t>SO</t>
        </is>
      </c>
      <c r="B204" s="4" t="inlineStr">
        <is>
          <t>The Southern Company</t>
        </is>
      </c>
      <c r="C204" s="4" t="inlineStr">
        <is>
          <t>United States</t>
        </is>
      </c>
      <c r="D204" s="4" t="inlineStr">
        <is>
          <t>US</t>
        </is>
      </c>
      <c r="E204" s="4" t="inlineStr">
        <is>
          <t>Servicios públicos</t>
        </is>
      </c>
      <c r="F204" s="4" t="inlineStr">
        <is>
          <t>Utilities - Regulated Electric</t>
        </is>
      </c>
      <c r="G204" s="4" t="inlineStr">
        <is>
          <t>NYQ</t>
        </is>
      </c>
      <c r="H204" s="4" t="inlineStr">
        <is>
          <t>USD</t>
        </is>
      </c>
      <c r="I204" s="5" t="n">
        <v>102819.438592</v>
      </c>
      <c r="J204" s="6">
        <f>INDEX(FX!$B:$B,MATCH(H204,FX!$A:$A,0))</f>
        <v/>
      </c>
      <c r="K204" s="5">
        <f>I204*J204</f>
        <v/>
      </c>
      <c r="L204" s="4">
        <f>IF(U204&lt;&gt;"",U204,IF(K204&gt;=Umbrales!$B$2,"Legendaria",IF(K204&gt;=Umbrales!$B$3,"Épica",IF(K204&gt;=Umbrales!$B$4,"Rara",IF(K204&gt;=Umbrales!$B$5,"Poco común","Común")))))</f>
        <v/>
      </c>
      <c r="M204" s="5" t="n">
        <v>30179.00032</v>
      </c>
      <c r="N204" s="5" t="n">
        <v>4657.999872</v>
      </c>
      <c r="O204" s="5">
        <f>IF(M204="","",M204*J204)</f>
        <v/>
      </c>
      <c r="P204" s="5">
        <f>IF(N204="","",N204*J204)</f>
        <v/>
      </c>
      <c r="Q204" s="7" t="n">
        <v>0.0345</v>
      </c>
      <c r="R204" s="8" t="n">
        <v>21.537348</v>
      </c>
      <c r="S204" s="4" t="inlineStr">
        <is>
          <t>SP500</t>
        </is>
      </c>
      <c r="T204" s="9" t="inlineStr">
        <is>
          <t>SI</t>
        </is>
      </c>
      <c r="U204" s="9" t="inlineStr"/>
      <c r="V204" s="10">
        <f>Umbrales!$B$9*(K204/1000)^Umbrales!$B$10</f>
        <v/>
      </c>
    </row>
    <row r="205">
      <c r="A205" s="4" t="inlineStr">
        <is>
          <t>CME</t>
        </is>
      </c>
      <c r="B205" s="4" t="inlineStr">
        <is>
          <t>CME Group Inc.</t>
        </is>
      </c>
      <c r="C205" s="4" t="inlineStr">
        <is>
          <t>United States</t>
        </is>
      </c>
      <c r="D205" s="4" t="inlineStr">
        <is>
          <t>US</t>
        </is>
      </c>
      <c r="E205" s="4" t="inlineStr">
        <is>
          <t>Finanzas</t>
        </is>
      </c>
      <c r="F205" s="4" t="inlineStr">
        <is>
          <t>Financial Data &amp; Stock Exchanges</t>
        </is>
      </c>
      <c r="G205" s="4" t="inlineStr">
        <is>
          <t>NMS</t>
        </is>
      </c>
      <c r="H205" s="4" t="inlineStr">
        <is>
          <t>USD</t>
        </is>
      </c>
      <c r="I205" s="5" t="n">
        <v>102692.241408</v>
      </c>
      <c r="J205" s="6">
        <f>INDEX(FX!$B:$B,MATCH(H205,FX!$A:$A,0))</f>
        <v/>
      </c>
      <c r="K205" s="5">
        <f>I205*J205</f>
        <v/>
      </c>
      <c r="L205" s="4">
        <f>IF(U205&lt;&gt;"",U205,IF(K205&gt;=Umbrales!$B$2,"Legendaria",IF(K205&gt;=Umbrales!$B$3,"Épica",IF(K205&gt;=Umbrales!$B$4,"Rara",IF(K205&gt;=Umbrales!$B$5,"Poco común","Común")))))</f>
        <v/>
      </c>
      <c r="M205" s="5" t="n">
        <v>6757.199872</v>
      </c>
      <c r="N205" s="5" t="n">
        <v>4264.999936</v>
      </c>
      <c r="O205" s="5">
        <f>IF(M205="","",M205*J205)</f>
        <v/>
      </c>
      <c r="P205" s="5">
        <f>IF(N205="","",N205*J205)</f>
        <v/>
      </c>
      <c r="Q205" s="7" t="n">
        <v>0.0187</v>
      </c>
      <c r="R205" s="8" t="n">
        <v>24.22307</v>
      </c>
      <c r="S205" s="4" t="inlineStr">
        <is>
          <t>SP500</t>
        </is>
      </c>
      <c r="T205" s="9" t="inlineStr">
        <is>
          <t>SI</t>
        </is>
      </c>
      <c r="U205" s="9" t="inlineStr"/>
      <c r="V205" s="10">
        <f>Umbrales!$B$9*(K205/1000)^Umbrales!$B$10</f>
        <v/>
      </c>
    </row>
    <row r="206">
      <c r="A206" s="4" t="inlineStr">
        <is>
          <t>ENEL.MI</t>
        </is>
      </c>
      <c r="B206" s="4" t="inlineStr">
        <is>
          <t>Enel SpA</t>
        </is>
      </c>
      <c r="C206" s="4" t="inlineStr">
        <is>
          <t>Italy</t>
        </is>
      </c>
      <c r="D206" s="4" t="inlineStr">
        <is>
          <t>IT</t>
        </is>
      </c>
      <c r="E206" s="4" t="inlineStr">
        <is>
          <t>Servicios públicos</t>
        </is>
      </c>
      <c r="F206" s="4" t="inlineStr">
        <is>
          <t>Utilities - Diversified</t>
        </is>
      </c>
      <c r="G206" s="4" t="inlineStr">
        <is>
          <t>MIL</t>
        </is>
      </c>
      <c r="H206" s="4" t="inlineStr">
        <is>
          <t>EUR</t>
        </is>
      </c>
      <c r="I206" s="5" t="n">
        <v>90545.897472</v>
      </c>
      <c r="J206" s="6">
        <f>INDEX(FX!$B:$B,MATCH(H206,FX!$A:$A,0))</f>
        <v/>
      </c>
      <c r="K206" s="5">
        <f>I206*J206</f>
        <v/>
      </c>
      <c r="L206" s="4">
        <f>IF(U206&lt;&gt;"",U206,IF(K206&gt;=Umbrales!$B$2,"Legendaria",IF(K206&gt;=Umbrales!$B$3,"Épica",IF(K206&gt;=Umbrales!$B$4,"Rara",IF(K206&gt;=Umbrales!$B$5,"Poco común","Común")))))</f>
        <v/>
      </c>
      <c r="M206" s="5" t="n">
        <v>79497.003008</v>
      </c>
      <c r="N206" s="5" t="n">
        <v>4256</v>
      </c>
      <c r="O206" s="5">
        <f>IF(M206="","",M206*J206)</f>
        <v/>
      </c>
      <c r="P206" s="5">
        <f>IF(N206="","",N206*J206)</f>
        <v/>
      </c>
      <c r="Q206" s="7" t="n">
        <v>0.05769999999999999</v>
      </c>
      <c r="R206" s="8" t="n">
        <v>21.730953</v>
      </c>
      <c r="S206" s="4" t="inlineStr">
        <is>
          <t>EUROSTOXX50, FTSEMIB</t>
        </is>
      </c>
      <c r="T206" s="9" t="inlineStr">
        <is>
          <t>SI</t>
        </is>
      </c>
      <c r="U206" s="9" t="inlineStr"/>
      <c r="V206" s="10">
        <f>Umbrales!$B$9*(K206/1000)^Umbrales!$B$10</f>
        <v/>
      </c>
    </row>
    <row r="207">
      <c r="A207" s="4" t="inlineStr">
        <is>
          <t>CM.TO</t>
        </is>
      </c>
      <c r="B207" s="4" t="inlineStr">
        <is>
          <t>Canadian Imperial Bank of Commerce</t>
        </is>
      </c>
      <c r="C207" s="4" t="inlineStr">
        <is>
          <t>Canada</t>
        </is>
      </c>
      <c r="D207" s="4" t="inlineStr">
        <is>
          <t>CA</t>
        </is>
      </c>
      <c r="E207" s="4" t="inlineStr">
        <is>
          <t>Finanzas</t>
        </is>
      </c>
      <c r="F207" s="4" t="inlineStr">
        <is>
          <t>Banks - Diversified</t>
        </is>
      </c>
      <c r="G207" s="4" t="inlineStr">
        <is>
          <t>TOR</t>
        </is>
      </c>
      <c r="H207" s="4" t="inlineStr">
        <is>
          <t>CAD</t>
        </is>
      </c>
      <c r="I207" s="5" t="n">
        <v>143880.51968</v>
      </c>
      <c r="J207" s="6">
        <f>INDEX(FX!$B:$B,MATCH(H207,FX!$A:$A,0))</f>
        <v/>
      </c>
      <c r="K207" s="5">
        <f>I207*J207</f>
        <v/>
      </c>
      <c r="L207" s="4">
        <f>IF(U207&lt;&gt;"",U207,IF(K207&gt;=Umbrales!$B$2,"Legendaria",IF(K207&gt;=Umbrales!$B$3,"Épica",IF(K207&gt;=Umbrales!$B$4,"Rara",IF(K207&gt;=Umbrales!$B$5,"Poco común","Común")))))</f>
        <v/>
      </c>
      <c r="M207" s="5" t="n">
        <v>30005.999616</v>
      </c>
      <c r="N207" s="5" t="n">
        <v>9658.999808</v>
      </c>
      <c r="O207" s="5">
        <f>IF(M207="","",M207*J207)</f>
        <v/>
      </c>
      <c r="P207" s="5">
        <f>IF(N207="","",N207*J207)</f>
        <v/>
      </c>
      <c r="Q207" s="7" t="n">
        <v>0.027</v>
      </c>
      <c r="R207" s="8" t="n">
        <v>15.208253</v>
      </c>
      <c r="S207" s="4" t="inlineStr">
        <is>
          <t>TSX60</t>
        </is>
      </c>
      <c r="T207" s="9" t="inlineStr">
        <is>
          <t>SI</t>
        </is>
      </c>
      <c r="U207" s="9" t="inlineStr"/>
      <c r="V207" s="10">
        <f>Umbrales!$B$9*(K207/1000)^Umbrales!$B$10</f>
        <v/>
      </c>
    </row>
    <row r="208">
      <c r="A208" s="4" t="inlineStr">
        <is>
          <t>CS.PA</t>
        </is>
      </c>
      <c r="B208" s="4" t="inlineStr">
        <is>
          <t>AXA SA</t>
        </is>
      </c>
      <c r="C208" s="4" t="inlineStr">
        <is>
          <t>France</t>
        </is>
      </c>
      <c r="D208" s="4" t="inlineStr">
        <is>
          <t>FR</t>
        </is>
      </c>
      <c r="E208" s="4" t="inlineStr">
        <is>
          <t>Finanzas</t>
        </is>
      </c>
      <c r="F208" s="4" t="inlineStr">
        <is>
          <t>Insurance - Diversified</t>
        </is>
      </c>
      <c r="G208" s="4" t="inlineStr">
        <is>
          <t>PAR</t>
        </is>
      </c>
      <c r="H208" s="4" t="inlineStr">
        <is>
          <t>EUR</t>
        </is>
      </c>
      <c r="I208" s="5" t="n">
        <v>90245.88185600001</v>
      </c>
      <c r="J208" s="6">
        <f>INDEX(FX!$B:$B,MATCH(H208,FX!$A:$A,0))</f>
        <v/>
      </c>
      <c r="K208" s="5">
        <f>I208*J208</f>
        <v/>
      </c>
      <c r="L208" s="4">
        <f>IF(U208&lt;&gt;"",U208,IF(K208&gt;=Umbrales!$B$2,"Legendaria",IF(K208&gt;=Umbrales!$B$3,"Épica",IF(K208&gt;=Umbrales!$B$4,"Rara",IF(K208&gt;=Umbrales!$B$5,"Poco común","Común")))))</f>
        <v/>
      </c>
      <c r="M208" s="5" t="n">
        <v>96794.001408</v>
      </c>
      <c r="N208" s="5" t="n">
        <v>7654.000128</v>
      </c>
      <c r="O208" s="5">
        <f>IF(M208="","",M208*J208)</f>
        <v/>
      </c>
      <c r="P208" s="5">
        <f>IF(N208="","",N208*J208)</f>
        <v/>
      </c>
      <c r="Q208" s="7" t="n">
        <v>0.0552</v>
      </c>
      <c r="R208" s="8" t="n">
        <v>11.633423</v>
      </c>
      <c r="S208" s="4" t="inlineStr">
        <is>
          <t>CAC40, EUROSTOXX50</t>
        </is>
      </c>
      <c r="T208" s="9" t="inlineStr">
        <is>
          <t>SI</t>
        </is>
      </c>
      <c r="U208" s="9" t="inlineStr"/>
      <c r="V208" s="10">
        <f>Umbrales!$B$9*(K208/1000)^Umbrales!$B$10</f>
        <v/>
      </c>
    </row>
    <row r="209">
      <c r="A209" s="4" t="inlineStr">
        <is>
          <t>ABNB</t>
        </is>
      </c>
      <c r="B209" s="4" t="inlineStr">
        <is>
          <t>Airbnb, Inc.</t>
        </is>
      </c>
      <c r="C209" s="4" t="inlineStr">
        <is>
          <t>United States</t>
        </is>
      </c>
      <c r="D209" s="4" t="inlineStr">
        <is>
          <t>US</t>
        </is>
      </c>
      <c r="E209" s="4" t="inlineStr">
        <is>
          <t>Consumo cíclico</t>
        </is>
      </c>
      <c r="F209" s="4" t="inlineStr">
        <is>
          <t>Travel Services</t>
        </is>
      </c>
      <c r="G209" s="4" t="inlineStr">
        <is>
          <t>NMS</t>
        </is>
      </c>
      <c r="H209" s="4" t="inlineStr">
        <is>
          <t>USD</t>
        </is>
      </c>
      <c r="I209" s="5" t="n">
        <v>100033.134592</v>
      </c>
      <c r="J209" s="6">
        <f>INDEX(FX!$B:$B,MATCH(H209,FX!$A:$A,0))</f>
        <v/>
      </c>
      <c r="K209" s="5">
        <f>I209*J209</f>
        <v/>
      </c>
      <c r="L209" s="4">
        <f>IF(U209&lt;&gt;"",U209,IF(K209&gt;=Umbrales!$B$2,"Legendaria",IF(K209&gt;=Umbrales!$B$3,"Épica",IF(K209&gt;=Umbrales!$B$4,"Rara",IF(K209&gt;=Umbrales!$B$5,"Poco común","Común")))))</f>
        <v/>
      </c>
      <c r="M209" s="5" t="n">
        <v>13159.000064</v>
      </c>
      <c r="N209" s="5" t="n">
        <v>2691.000064</v>
      </c>
      <c r="O209" s="5">
        <f>IF(M209="","",M209*J209)</f>
        <v/>
      </c>
      <c r="P209" s="5">
        <f>IF(N209="","",N209*J209)</f>
        <v/>
      </c>
      <c r="Q209" s="7" t="n">
        <v>0</v>
      </c>
      <c r="R209" s="8" t="n">
        <v>37.711063</v>
      </c>
      <c r="S209" s="4" t="inlineStr">
        <is>
          <t>NASDAQ100, SP500</t>
        </is>
      </c>
      <c r="T209" s="9" t="inlineStr">
        <is>
          <t>SI</t>
        </is>
      </c>
      <c r="U209" s="9" t="inlineStr"/>
      <c r="V209" s="10">
        <f>Umbrales!$B$9*(K209/1000)^Umbrales!$B$10</f>
        <v/>
      </c>
    </row>
    <row r="210">
      <c r="A210" s="4" t="inlineStr">
        <is>
          <t>FCX</t>
        </is>
      </c>
      <c r="B210" s="4" t="inlineStr">
        <is>
          <t>Freeport-McMoRan Inc.</t>
        </is>
      </c>
      <c r="C210" s="4" t="inlineStr">
        <is>
          <t>United States</t>
        </is>
      </c>
      <c r="D210" s="4" t="inlineStr">
        <is>
          <t>US</t>
        </is>
      </c>
      <c r="E210" s="4" t="inlineStr">
        <is>
          <t>Materiales</t>
        </is>
      </c>
      <c r="F210" s="4" t="inlineStr">
        <is>
          <t>Copper</t>
        </is>
      </c>
      <c r="G210" s="4" t="inlineStr">
        <is>
          <t>NYQ</t>
        </is>
      </c>
      <c r="H210" s="4" t="inlineStr">
        <is>
          <t>USD</t>
        </is>
      </c>
      <c r="I210" s="5" t="n">
        <v>99975.544832</v>
      </c>
      <c r="J210" s="6">
        <f>INDEX(FX!$B:$B,MATCH(H210,FX!$A:$A,0))</f>
        <v/>
      </c>
      <c r="K210" s="5">
        <f>I210*J210</f>
        <v/>
      </c>
      <c r="L210" s="4">
        <f>IF(U210&lt;&gt;"",U210,IF(K210&gt;=Umbrales!$B$2,"Legendaria",IF(K210&gt;=Umbrales!$B$3,"Épica",IF(K210&gt;=Umbrales!$B$4,"Rara",IF(K210&gt;=Umbrales!$B$5,"Poco común","Común")))))</f>
        <v/>
      </c>
      <c r="M210" s="5" t="n">
        <v>25867.999232</v>
      </c>
      <c r="N210" s="5" t="n">
        <v>2936</v>
      </c>
      <c r="O210" s="5">
        <f>IF(M210="","",M210*J210)</f>
        <v/>
      </c>
      <c r="P210" s="5">
        <f>IF(N210="","",N210*J210)</f>
        <v/>
      </c>
      <c r="Q210" s="7" t="n">
        <v>0.0083</v>
      </c>
      <c r="R210" s="8" t="n">
        <v>35.702564</v>
      </c>
      <c r="S210" s="4" t="inlineStr">
        <is>
          <t>SP500</t>
        </is>
      </c>
      <c r="T210" s="9" t="inlineStr">
        <is>
          <t>SI</t>
        </is>
      </c>
      <c r="U210" s="9" t="inlineStr"/>
      <c r="V210" s="10">
        <f>Umbrales!$B$9*(K210/1000)^Umbrales!$B$10</f>
        <v/>
      </c>
    </row>
    <row r="211">
      <c r="A211" s="4" t="inlineStr">
        <is>
          <t>CEG</t>
        </is>
      </c>
      <c r="B211" s="4" t="inlineStr">
        <is>
          <t>Constellation Energy Corporation</t>
        </is>
      </c>
      <c r="C211" s="4" t="inlineStr">
        <is>
          <t>United States</t>
        </is>
      </c>
      <c r="D211" s="4" t="inlineStr">
        <is>
          <t>US</t>
        </is>
      </c>
      <c r="E211" s="4" t="inlineStr">
        <is>
          <t>Servicios públicos</t>
        </is>
      </c>
      <c r="F211" s="4" t="inlineStr">
        <is>
          <t>Utilities - Independent Power Producers</t>
        </is>
      </c>
      <c r="G211" s="4" t="inlineStr">
        <is>
          <t>NMS</t>
        </is>
      </c>
      <c r="H211" s="4" t="inlineStr">
        <is>
          <t>USD</t>
        </is>
      </c>
      <c r="I211" s="5" t="n">
        <v>99043.090432</v>
      </c>
      <c r="J211" s="6">
        <f>INDEX(FX!$B:$B,MATCH(H211,FX!$A:$A,0))</f>
        <v/>
      </c>
      <c r="K211" s="5">
        <f>I211*J211</f>
        <v/>
      </c>
      <c r="L211" s="4">
        <f>IF(U211&lt;&gt;"",U211,IF(K211&gt;=Umbrales!$B$2,"Legendaria",IF(K211&gt;=Umbrales!$B$3,"Épica",IF(K211&gt;=Umbrales!$B$4,"Rara",IF(K211&gt;=Umbrales!$B$5,"Poco común","Común")))))</f>
        <v/>
      </c>
      <c r="M211" s="5" t="n">
        <v>31270.00064</v>
      </c>
      <c r="N211" s="5" t="n">
        <v>3464.999936</v>
      </c>
      <c r="O211" s="5">
        <f>IF(M211="","",M211*J211)</f>
        <v/>
      </c>
      <c r="P211" s="5">
        <f>IF(N211="","",N211*J211)</f>
        <v/>
      </c>
      <c r="Q211" s="7" t="n">
        <v>0.0058</v>
      </c>
      <c r="R211" s="8" t="n">
        <v>27.325516</v>
      </c>
      <c r="S211" s="4" t="inlineStr">
        <is>
          <t>NASDAQ100, SP500</t>
        </is>
      </c>
      <c r="T211" s="9" t="inlineStr">
        <is>
          <t>SI</t>
        </is>
      </c>
      <c r="U211" s="9" t="inlineStr"/>
      <c r="V211" s="10">
        <f>Umbrales!$B$9*(K211/1000)^Umbrales!$B$10</f>
        <v/>
      </c>
    </row>
    <row r="212">
      <c r="A212" s="4" t="inlineStr">
        <is>
          <t>EQIX</t>
        </is>
      </c>
      <c r="B212" s="4" t="inlineStr">
        <is>
          <t>Equinix, Inc.</t>
        </is>
      </c>
      <c r="C212" s="4" t="inlineStr">
        <is>
          <t>United States</t>
        </is>
      </c>
      <c r="D212" s="4" t="inlineStr">
        <is>
          <t>US</t>
        </is>
      </c>
      <c r="E212" s="4" t="inlineStr">
        <is>
          <t>Inmobiliario</t>
        </is>
      </c>
      <c r="F212" s="4" t="inlineStr">
        <is>
          <t>REIT - Specialty</t>
        </is>
      </c>
      <c r="G212" s="4" t="inlineStr">
        <is>
          <t>NMS</t>
        </is>
      </c>
      <c r="H212" s="4" t="inlineStr">
        <is>
          <t>USD</t>
        </is>
      </c>
      <c r="I212" s="5" t="n">
        <v>98267.136</v>
      </c>
      <c r="J212" s="6">
        <f>INDEX(FX!$B:$B,MATCH(H212,FX!$A:$A,0))</f>
        <v/>
      </c>
      <c r="K212" s="5">
        <f>I212*J212</f>
        <v/>
      </c>
      <c r="L212" s="4">
        <f>IF(U212&lt;&gt;"",U212,IF(K212&gt;=Umbrales!$B$2,"Legendaria",IF(K212&gt;=Umbrales!$B$3,"Épica",IF(K212&gt;=Umbrales!$B$4,"Rara",IF(K212&gt;=Umbrales!$B$5,"Poco común","Común")))))</f>
        <v/>
      </c>
      <c r="M212" s="5" t="n">
        <v>9904</v>
      </c>
      <c r="N212" s="5" t="n">
        <v>1532.999936</v>
      </c>
      <c r="O212" s="5">
        <f>IF(M212="","",M212*J212)</f>
        <v/>
      </c>
      <c r="P212" s="5">
        <f>IF(N212="","",N212*J212)</f>
        <v/>
      </c>
      <c r="Q212" s="7" t="n">
        <v>0.0202</v>
      </c>
      <c r="R212" s="8" t="n">
        <v>64.08623</v>
      </c>
      <c r="S212" s="4" t="inlineStr">
        <is>
          <t>SP500</t>
        </is>
      </c>
      <c r="T212" s="9" t="inlineStr">
        <is>
          <t>SI</t>
        </is>
      </c>
      <c r="U212" s="9" t="inlineStr"/>
      <c r="V212" s="10">
        <f>Umbrales!$B$9*(K212/1000)^Umbrales!$B$10</f>
        <v/>
      </c>
    </row>
    <row r="213">
      <c r="A213" s="4" t="inlineStr">
        <is>
          <t>SAN.PA</t>
        </is>
      </c>
      <c r="B213" s="4" t="inlineStr">
        <is>
          <t>Sanofi</t>
        </is>
      </c>
      <c r="C213" s="4" t="inlineStr">
        <is>
          <t>France</t>
        </is>
      </c>
      <c r="D213" s="4" t="inlineStr">
        <is>
          <t>FR</t>
        </is>
      </c>
      <c r="E213" s="4" t="inlineStr">
        <is>
          <t>Salud</t>
        </is>
      </c>
      <c r="F213" s="4" t="inlineStr">
        <is>
          <t>Drug Manufacturers - General</t>
        </is>
      </c>
      <c r="G213" s="4" t="inlineStr">
        <is>
          <t>PAR</t>
        </is>
      </c>
      <c r="H213" s="4" t="inlineStr">
        <is>
          <t>EUR</t>
        </is>
      </c>
      <c r="I213" s="5" t="n">
        <v>86776.119296</v>
      </c>
      <c r="J213" s="6">
        <f>INDEX(FX!$B:$B,MATCH(H213,FX!$A:$A,0))</f>
        <v/>
      </c>
      <c r="K213" s="5">
        <f>I213*J213</f>
        <v/>
      </c>
      <c r="L213" s="4">
        <f>IF(U213&lt;&gt;"",U213,IF(K213&gt;=Umbrales!$B$2,"Legendaria",IF(K213&gt;=Umbrales!$B$3,"Épica",IF(K213&gt;=Umbrales!$B$4,"Rara",IF(K213&gt;=Umbrales!$B$5,"Poco común","Común")))))</f>
        <v/>
      </c>
      <c r="M213" s="5" t="n">
        <v>48918.99904</v>
      </c>
      <c r="N213" s="5" t="n">
        <v>3939.000064</v>
      </c>
      <c r="O213" s="5">
        <f>IF(M213="","",M213*J213)</f>
        <v/>
      </c>
      <c r="P213" s="5">
        <f>IF(N213="","",N213*J213)</f>
        <v/>
      </c>
      <c r="Q213" s="7" t="n">
        <v>0.0582</v>
      </c>
      <c r="R213" s="8" t="n">
        <v>22.286154</v>
      </c>
      <c r="S213" s="4" t="inlineStr">
        <is>
          <t>CAC40, EUROSTOXX50</t>
        </is>
      </c>
      <c r="T213" s="9" t="inlineStr">
        <is>
          <t>SI</t>
        </is>
      </c>
      <c r="U213" s="9" t="inlineStr"/>
      <c r="V213" s="10">
        <f>Umbrales!$B$9*(K213/1000)^Umbrales!$B$10</f>
        <v/>
      </c>
    </row>
    <row r="214">
      <c r="A214" s="4" t="inlineStr">
        <is>
          <t>MAR</t>
        </is>
      </c>
      <c r="B214" s="4" t="inlineStr">
        <is>
          <t>Marriott International, Inc.</t>
        </is>
      </c>
      <c r="C214" s="4" t="inlineStr">
        <is>
          <t>United States</t>
        </is>
      </c>
      <c r="D214" s="4" t="inlineStr">
        <is>
          <t>US</t>
        </is>
      </c>
      <c r="E214" s="4" t="inlineStr">
        <is>
          <t>Consumo cíclico</t>
        </is>
      </c>
      <c r="F214" s="4" t="inlineStr">
        <is>
          <t>Lodging</t>
        </is>
      </c>
      <c r="G214" s="4" t="inlineStr">
        <is>
          <t>NMS</t>
        </is>
      </c>
      <c r="H214" s="4" t="inlineStr">
        <is>
          <t>USD</t>
        </is>
      </c>
      <c r="I214" s="5" t="n">
        <v>96958.119936</v>
      </c>
      <c r="J214" s="6">
        <f>INDEX(FX!$B:$B,MATCH(H214,FX!$A:$A,0))</f>
        <v/>
      </c>
      <c r="K214" s="5">
        <f>I214*J214</f>
        <v/>
      </c>
      <c r="L214" s="4">
        <f>IF(U214&lt;&gt;"",U214,IF(K214&gt;=Umbrales!$B$2,"Legendaria",IF(K214&gt;=Umbrales!$B$3,"Épica",IF(K214&gt;=Umbrales!$B$4,"Rara",IF(K214&gt;=Umbrales!$B$5,"Poco común","Común")))))</f>
        <v/>
      </c>
      <c r="M214" s="5" t="n">
        <v>7384.999936</v>
      </c>
      <c r="N214" s="5" t="n">
        <v>2587.000064</v>
      </c>
      <c r="O214" s="5">
        <f>IF(M214="","",M214*J214)</f>
        <v/>
      </c>
      <c r="P214" s="5">
        <f>IF(N214="","",N214*J214)</f>
        <v/>
      </c>
      <c r="Q214" s="7" t="n">
        <v>0.007900000000000001</v>
      </c>
      <c r="R214" s="8" t="n">
        <v>38.852665</v>
      </c>
      <c r="S214" s="4" t="inlineStr">
        <is>
          <t>NASDAQ100, SP500</t>
        </is>
      </c>
      <c r="T214" s="9" t="inlineStr">
        <is>
          <t>SI</t>
        </is>
      </c>
      <c r="U214" s="9" t="inlineStr"/>
      <c r="V214" s="10">
        <f>Umbrales!$B$9*(K214/1000)^Umbrales!$B$10</f>
        <v/>
      </c>
    </row>
    <row r="215">
      <c r="A215" s="4" t="inlineStr">
        <is>
          <t>ATCO-A.ST</t>
        </is>
      </c>
      <c r="B215" s="4" t="inlineStr">
        <is>
          <t>Atlas Copco AB (publ)</t>
        </is>
      </c>
      <c r="C215" s="4" t="inlineStr">
        <is>
          <t>Sweden</t>
        </is>
      </c>
      <c r="D215" s="4" t="inlineStr">
        <is>
          <t>SE</t>
        </is>
      </c>
      <c r="E215" s="4" t="inlineStr">
        <is>
          <t>Industria</t>
        </is>
      </c>
      <c r="F215" s="4" t="inlineStr">
        <is>
          <t>Specialty Industrial Machinery</t>
        </is>
      </c>
      <c r="G215" s="4" t="inlineStr">
        <is>
          <t>STO</t>
        </is>
      </c>
      <c r="H215" s="4" t="inlineStr">
        <is>
          <t>SEK</t>
        </is>
      </c>
      <c r="I215" s="5" t="n">
        <v>964991.188992</v>
      </c>
      <c r="J215" s="6">
        <f>INDEX(FX!$B:$B,MATCH(H215,FX!$A:$A,0))</f>
        <v/>
      </c>
      <c r="K215" s="5">
        <f>I215*J215</f>
        <v/>
      </c>
      <c r="L215" s="4">
        <f>IF(U215&lt;&gt;"",U215,IF(K215&gt;=Umbrales!$B$2,"Legendaria",IF(K215&gt;=Umbrales!$B$3,"Épica",IF(K215&gt;=Umbrales!$B$4,"Rara",IF(K215&gt;=Umbrales!$B$5,"Poco común","Común")))))</f>
        <v/>
      </c>
      <c r="M215" s="5" t="n">
        <v>169917.005824</v>
      </c>
      <c r="N215" s="5" t="n">
        <v>26617.99936</v>
      </c>
      <c r="O215" s="5">
        <f>IF(M215="","",M215*J215)</f>
        <v/>
      </c>
      <c r="P215" s="5">
        <f>IF(N215="","",N215*J215)</f>
        <v/>
      </c>
      <c r="Q215" s="7" t="n">
        <v>0.0142</v>
      </c>
      <c r="R215" s="8" t="n">
        <v>36.227108</v>
      </c>
      <c r="S215" s="4" t="inlineStr">
        <is>
          <t>OMXS30</t>
        </is>
      </c>
      <c r="T215" s="9" t="inlineStr">
        <is>
          <t>SI</t>
        </is>
      </c>
      <c r="U215" s="9" t="inlineStr"/>
      <c r="V215" s="10">
        <f>Umbrales!$B$9*(K215/1000)^Umbrales!$B$10</f>
        <v/>
      </c>
    </row>
    <row r="216">
      <c r="A216" s="4" t="inlineStr">
        <is>
          <t>GSK.L</t>
        </is>
      </c>
      <c r="B216" s="4" t="inlineStr">
        <is>
          <t>GSK plc</t>
        </is>
      </c>
      <c r="C216" s="4" t="inlineStr">
        <is>
          <t>United Kingdom</t>
        </is>
      </c>
      <c r="D216" s="4" t="inlineStr">
        <is>
          <t>GB</t>
        </is>
      </c>
      <c r="E216" s="4" t="inlineStr">
        <is>
          <t>Salud</t>
        </is>
      </c>
      <c r="F216" s="4" t="inlineStr">
        <is>
          <t>Drug Manufacturers - General</t>
        </is>
      </c>
      <c r="G216" s="4" t="inlineStr">
        <is>
          <t>LSE</t>
        </is>
      </c>
      <c r="H216" s="4" t="inlineStr">
        <is>
          <t>GBP</t>
        </is>
      </c>
      <c r="I216" s="5" t="n">
        <v>73112.25651200001</v>
      </c>
      <c r="J216" s="6">
        <f>INDEX(FX!$B:$B,MATCH(H216,FX!$A:$A,0))</f>
        <v/>
      </c>
      <c r="K216" s="5">
        <f>I216*J216</f>
        <v/>
      </c>
      <c r="L216" s="4">
        <f>IF(U216&lt;&gt;"",U216,IF(K216&gt;=Umbrales!$B$2,"Legendaria",IF(K216&gt;=Umbrales!$B$3,"Épica",IF(K216&gt;=Umbrales!$B$4,"Rara",IF(K216&gt;=Umbrales!$B$5,"Poco común","Común")))))</f>
        <v/>
      </c>
      <c r="M216" s="5" t="n">
        <v>33202.999296</v>
      </c>
      <c r="N216" s="5" t="n">
        <v>4821.000192</v>
      </c>
      <c r="O216" s="5">
        <f>IF(M216="","",M216*J216)</f>
        <v/>
      </c>
      <c r="P216" s="5">
        <f>IF(N216="","",N216*J216)</f>
        <v/>
      </c>
      <c r="Q216" s="7" t="n">
        <v>0.0388</v>
      </c>
      <c r="R216" s="8" t="n">
        <v>15.4627075</v>
      </c>
      <c r="S216" s="4" t="inlineStr">
        <is>
          <t>FTSE100, UK_TOP</t>
        </is>
      </c>
      <c r="T216" s="9" t="inlineStr">
        <is>
          <t>SI</t>
        </is>
      </c>
      <c r="U216" s="9" t="inlineStr"/>
      <c r="V216" s="10">
        <f>Umbrales!$B$9*(K216/1000)^Umbrales!$B$10</f>
        <v/>
      </c>
    </row>
    <row r="217">
      <c r="A217" s="4" t="inlineStr">
        <is>
          <t>DDOG</t>
        </is>
      </c>
      <c r="B217" s="4" t="inlineStr">
        <is>
          <t>Datadog, Inc.</t>
        </is>
      </c>
      <c r="C217" s="4" t="inlineStr">
        <is>
          <t>United States</t>
        </is>
      </c>
      <c r="D217" s="4" t="inlineStr">
        <is>
          <t>US</t>
        </is>
      </c>
      <c r="E217" s="4" t="inlineStr">
        <is>
          <t>Tecnología</t>
        </is>
      </c>
      <c r="F217" s="4" t="inlineStr">
        <is>
          <t>Software - Application</t>
        </is>
      </c>
      <c r="G217" s="4" t="inlineStr">
        <is>
          <t>NMS</t>
        </is>
      </c>
      <c r="H217" s="4" t="inlineStr">
        <is>
          <t>USD</t>
        </is>
      </c>
      <c r="I217" s="5" t="n">
        <v>96709.664768</v>
      </c>
      <c r="J217" s="6">
        <f>INDEX(FX!$B:$B,MATCH(H217,FX!$A:$A,0))</f>
        <v/>
      </c>
      <c r="K217" s="5">
        <f>I217*J217</f>
        <v/>
      </c>
      <c r="L217" s="4">
        <f>IF(U217&lt;&gt;"",U217,IF(K217&gt;=Umbrales!$B$2,"Legendaria",IF(K217&gt;=Umbrales!$B$3,"Épica",IF(K217&gt;=Umbrales!$B$4,"Rara",IF(K217&gt;=Umbrales!$B$5,"Poco común","Común")))))</f>
        <v/>
      </c>
      <c r="M217" s="5" t="n">
        <v>3966.72512</v>
      </c>
      <c r="N217" s="5" t="n">
        <v>177.584</v>
      </c>
      <c r="O217" s="5">
        <f>IF(M217="","",M217*J217)</f>
        <v/>
      </c>
      <c r="P217" s="5">
        <f>IF(N217="","",N217*J217)</f>
        <v/>
      </c>
      <c r="Q217" s="7" t="n">
        <v>0</v>
      </c>
      <c r="R217" s="8" t="n">
        <v>561.1041</v>
      </c>
      <c r="S217" s="4" t="inlineStr">
        <is>
          <t>NASDAQ100, SP500</t>
        </is>
      </c>
      <c r="T217" s="9" t="inlineStr">
        <is>
          <t>SI</t>
        </is>
      </c>
      <c r="U217" s="9" t="inlineStr"/>
      <c r="V217" s="10">
        <f>Umbrales!$B$9*(K217/1000)^Umbrales!$B$10</f>
        <v/>
      </c>
    </row>
    <row r="218">
      <c r="A218" s="4" t="inlineStr">
        <is>
          <t>MRNA</t>
        </is>
      </c>
      <c r="B218" s="4" t="inlineStr">
        <is>
          <t>Moderna, Inc.</t>
        </is>
      </c>
      <c r="C218" s="4" t="inlineStr">
        <is>
          <t>United States</t>
        </is>
      </c>
      <c r="D218" s="4" t="inlineStr">
        <is>
          <t>US</t>
        </is>
      </c>
      <c r="E218" s="4" t="inlineStr">
        <is>
          <t>Salud</t>
        </is>
      </c>
      <c r="F218" s="4" t="inlineStr">
        <is>
          <t>Biotechnology</t>
        </is>
      </c>
      <c r="G218" s="4" t="inlineStr">
        <is>
          <t>NMS</t>
        </is>
      </c>
      <c r="H218" s="4" t="inlineStr">
        <is>
          <t>USD</t>
        </is>
      </c>
      <c r="I218" s="5" t="n">
        <v>95816.61388800001</v>
      </c>
      <c r="J218" s="6">
        <f>INDEX(FX!$B:$B,MATCH(H218,FX!$A:$A,0))</f>
        <v/>
      </c>
      <c r="K218" s="5">
        <f>I218*J218</f>
        <v/>
      </c>
      <c r="L218" s="4">
        <f>IF(U218&lt;&gt;"",U218,IF(K218&gt;=Umbrales!$B$2,"Legendaria",IF(K218&gt;=Umbrales!$B$3,"Épica",IF(K218&gt;=Umbrales!$B$4,"Rara",IF(K218&gt;=Umbrales!$B$5,"Poco común","Común")))))</f>
        <v/>
      </c>
      <c r="M218" s="5" t="n">
        <v>2228</v>
      </c>
      <c r="N218" s="5" t="n">
        <v>-3151.000064</v>
      </c>
      <c r="O218" s="5">
        <f>IF(M218="","",M218*J218)</f>
        <v/>
      </c>
      <c r="P218" s="5">
        <f>IF(N218="","",N218*J218)</f>
        <v/>
      </c>
      <c r="Q218" s="7" t="n">
        <v>0</v>
      </c>
      <c r="R218" s="8" t="n"/>
      <c r="S218" s="4" t="inlineStr">
        <is>
          <t>SP500</t>
        </is>
      </c>
      <c r="T218" s="9" t="inlineStr">
        <is>
          <t>SI</t>
        </is>
      </c>
      <c r="U218" s="9" t="inlineStr"/>
      <c r="V218" s="10">
        <f>Umbrales!$B$9*(K218/1000)^Umbrales!$B$10</f>
        <v/>
      </c>
    </row>
    <row r="219">
      <c r="A219" s="4" t="inlineStr">
        <is>
          <t>1299.HK</t>
        </is>
      </c>
      <c r="B219" s="4" t="inlineStr">
        <is>
          <t>AIA Group Limited</t>
        </is>
      </c>
      <c r="C219" s="4" t="inlineStr">
        <is>
          <t>Hong Kong</t>
        </is>
      </c>
      <c r="D219" s="4" t="inlineStr">
        <is>
          <t>HK</t>
        </is>
      </c>
      <c r="E219" s="4" t="inlineStr">
        <is>
          <t>Finanzas</t>
        </is>
      </c>
      <c r="F219" s="4" t="inlineStr">
        <is>
          <t>Insurance - Life</t>
        </is>
      </c>
      <c r="G219" s="4" t="inlineStr">
        <is>
          <t>HKG</t>
        </is>
      </c>
      <c r="H219" s="4" t="inlineStr">
        <is>
          <t>HKD</t>
        </is>
      </c>
      <c r="I219" s="5" t="n">
        <v>746462.445568</v>
      </c>
      <c r="J219" s="6">
        <f>INDEX(FX!$B:$B,MATCH(H219,FX!$A:$A,0))</f>
        <v/>
      </c>
      <c r="K219" s="5">
        <f>I219*J219</f>
        <v/>
      </c>
      <c r="L219" s="4">
        <f>IF(U219&lt;&gt;"",U219,IF(K219&gt;=Umbrales!$B$2,"Legendaria",IF(K219&gt;=Umbrales!$B$3,"Épica",IF(K219&gt;=Umbrales!$B$4,"Rara",IF(K219&gt;=Umbrales!$B$5,"Poco común","Común")))))</f>
        <v/>
      </c>
      <c r="M219" s="5" t="n">
        <v>25887.000576</v>
      </c>
      <c r="N219" s="5" t="n">
        <v>7993.999872</v>
      </c>
      <c r="O219" s="5">
        <f>IF(M219="","",M219*J219)</f>
        <v/>
      </c>
      <c r="P219" s="5">
        <f>IF(N219="","",N219*J219)</f>
        <v/>
      </c>
      <c r="Q219" s="7" t="n">
        <v>0.0272</v>
      </c>
      <c r="R219" s="8" t="n">
        <v>12.196969</v>
      </c>
      <c r="S219" s="4" t="inlineStr">
        <is>
          <t>HANGSENG</t>
        </is>
      </c>
      <c r="T219" s="9" t="inlineStr">
        <is>
          <t>SI</t>
        </is>
      </c>
      <c r="U219" s="9" t="inlineStr"/>
      <c r="V219" s="10">
        <f>Umbrales!$B$9*(K219/1000)^Umbrales!$B$10</f>
        <v/>
      </c>
    </row>
    <row r="220">
      <c r="A220" s="4" t="inlineStr">
        <is>
          <t>PWR</t>
        </is>
      </c>
      <c r="B220" s="4" t="inlineStr">
        <is>
          <t>Quanta Services, Inc.</t>
        </is>
      </c>
      <c r="C220" s="4" t="inlineStr">
        <is>
          <t>United States</t>
        </is>
      </c>
      <c r="D220" s="4" t="inlineStr">
        <is>
          <t>US</t>
        </is>
      </c>
      <c r="E220" s="4" t="inlineStr">
        <is>
          <t>Industria</t>
        </is>
      </c>
      <c r="F220" s="4" t="inlineStr">
        <is>
          <t>Engineering &amp; Construction</t>
        </is>
      </c>
      <c r="G220" s="4" t="inlineStr">
        <is>
          <t>NYQ</t>
        </is>
      </c>
      <c r="H220" s="4" t="inlineStr">
        <is>
          <t>USD</t>
        </is>
      </c>
      <c r="I220" s="5" t="n">
        <v>94348.74675200001</v>
      </c>
      <c r="J220" s="6">
        <f>INDEX(FX!$B:$B,MATCH(H220,FX!$A:$A,0))</f>
        <v/>
      </c>
      <c r="K220" s="5">
        <f>I220*J220</f>
        <v/>
      </c>
      <c r="L220" s="4">
        <f>IF(U220&lt;&gt;"",U220,IF(K220&gt;=Umbrales!$B$2,"Legendaria",IF(K220&gt;=Umbrales!$B$3,"Épica",IF(K220&gt;=Umbrales!$B$4,"Rara",IF(K220&gt;=Umbrales!$B$5,"Poco común","Común")))))</f>
        <v/>
      </c>
      <c r="M220" s="5" t="n">
        <v>32905.140224</v>
      </c>
      <c r="N220" s="5" t="n">
        <v>1326.876032</v>
      </c>
      <c r="O220" s="5">
        <f>IF(M220="","",M220*J220)</f>
        <v/>
      </c>
      <c r="P220" s="5">
        <f>IF(N220="","",N220*J220)</f>
        <v/>
      </c>
      <c r="Q220" s="7" t="n">
        <v>0.0005999999999999999</v>
      </c>
      <c r="R220" s="8" t="n">
        <v>74.97669999999999</v>
      </c>
      <c r="S220" s="4" t="inlineStr">
        <is>
          <t>SP500</t>
        </is>
      </c>
      <c r="T220" s="9" t="inlineStr">
        <is>
          <t>SI</t>
        </is>
      </c>
      <c r="U220" s="9" t="inlineStr"/>
      <c r="V220" s="10">
        <f>Umbrales!$B$9*(K220/1000)^Umbrales!$B$10</f>
        <v/>
      </c>
    </row>
    <row r="221">
      <c r="A221" s="4" t="inlineStr">
        <is>
          <t>INGA.AS</t>
        </is>
      </c>
      <c r="B221" s="4" t="inlineStr">
        <is>
          <t>ING Groep N.V.</t>
        </is>
      </c>
      <c r="C221" s="4" t="inlineStr">
        <is>
          <t>Netherlands</t>
        </is>
      </c>
      <c r="D221" s="4" t="inlineStr">
        <is>
          <t>NL</t>
        </is>
      </c>
      <c r="E221" s="4" t="inlineStr">
        <is>
          <t>Finanzas</t>
        </is>
      </c>
      <c r="F221" s="4" t="inlineStr">
        <is>
          <t>Banks - Diversified</t>
        </is>
      </c>
      <c r="G221" s="4" t="inlineStr">
        <is>
          <t>AMS</t>
        </is>
      </c>
      <c r="H221" s="4" t="inlineStr">
        <is>
          <t>EUR</t>
        </is>
      </c>
      <c r="I221" s="5" t="n">
        <v>83561.701376</v>
      </c>
      <c r="J221" s="6">
        <f>INDEX(FX!$B:$B,MATCH(H221,FX!$A:$A,0))</f>
        <v/>
      </c>
      <c r="K221" s="5">
        <f>I221*J221</f>
        <v/>
      </c>
      <c r="L221" s="4">
        <f>IF(U221&lt;&gt;"",U221,IF(K221&gt;=Umbrales!$B$2,"Legendaria",IF(K221&gt;=Umbrales!$B$3,"Épica",IF(K221&gt;=Umbrales!$B$4,"Rara",IF(K221&gt;=Umbrales!$B$5,"Poco común","Común")))))</f>
        <v/>
      </c>
      <c r="M221" s="5" t="n">
        <v>25213.999104</v>
      </c>
      <c r="N221" s="5" t="n">
        <v>8696.999936</v>
      </c>
      <c r="O221" s="5">
        <f>IF(M221="","",M221*J221)</f>
        <v/>
      </c>
      <c r="P221" s="5">
        <f>IF(N221="","",N221*J221)</f>
        <v/>
      </c>
      <c r="Q221" s="7" t="n">
        <v>0.0377</v>
      </c>
      <c r="R221" s="8" t="n">
        <v>12.912663</v>
      </c>
      <c r="S221" s="4" t="inlineStr">
        <is>
          <t>AEX, EUROSTOXX50</t>
        </is>
      </c>
      <c r="T221" s="9" t="inlineStr">
        <is>
          <t>SI</t>
        </is>
      </c>
      <c r="U221" s="9" t="inlineStr"/>
      <c r="V221" s="10">
        <f>Umbrales!$B$9*(K221/1000)^Umbrales!$B$10</f>
        <v/>
      </c>
    </row>
    <row r="222">
      <c r="A222" s="4" t="inlineStr">
        <is>
          <t>ADBE</t>
        </is>
      </c>
      <c r="B222" s="4" t="inlineStr">
        <is>
          <t>Adobe Inc.</t>
        </is>
      </c>
      <c r="C222" s="4" t="inlineStr">
        <is>
          <t>United States</t>
        </is>
      </c>
      <c r="D222" s="4" t="inlineStr">
        <is>
          <t>US</t>
        </is>
      </c>
      <c r="E222" s="4" t="inlineStr">
        <is>
          <t>Tecnología</t>
        </is>
      </c>
      <c r="F222" s="4" t="inlineStr">
        <is>
          <t>Software - Application</t>
        </is>
      </c>
      <c r="G222" s="4" t="inlineStr">
        <is>
          <t>NMS</t>
        </is>
      </c>
      <c r="H222" s="4" t="inlineStr">
        <is>
          <t>USD</t>
        </is>
      </c>
      <c r="I222" s="5" t="n">
        <v>93672.6528</v>
      </c>
      <c r="J222" s="6">
        <f>INDEX(FX!$B:$B,MATCH(H222,FX!$A:$A,0))</f>
        <v/>
      </c>
      <c r="K222" s="5">
        <f>I222*J222</f>
        <v/>
      </c>
      <c r="L222" s="4">
        <f>IF(U222&lt;&gt;"",U222,IF(K222&gt;=Umbrales!$B$2,"Legendaria",IF(K222&gt;=Umbrales!$B$3,"Épica",IF(K222&gt;=Umbrales!$B$4,"Rara",IF(K222&gt;=Umbrales!$B$5,"Poco común","Común")))))</f>
        <v/>
      </c>
      <c r="M222" s="5" t="n">
        <v>25969.999872</v>
      </c>
      <c r="N222" s="5" t="n">
        <v>7283.999744</v>
      </c>
      <c r="O222" s="5">
        <f>IF(M222="","",M222*J222)</f>
        <v/>
      </c>
      <c r="P222" s="5">
        <f>IF(N222="","",N222*J222)</f>
        <v/>
      </c>
      <c r="Q222" s="7" t="n">
        <v>0</v>
      </c>
      <c r="R222" s="8" t="n">
        <v>13.195175</v>
      </c>
      <c r="S222" s="4" t="inlineStr">
        <is>
          <t>NASDAQ100, SP500</t>
        </is>
      </c>
      <c r="T222" s="9" t="inlineStr">
        <is>
          <t>SI</t>
        </is>
      </c>
      <c r="U222" s="9" t="inlineStr"/>
      <c r="V222" s="10">
        <f>Umbrales!$B$9*(K222/1000)^Umbrales!$B$10</f>
        <v/>
      </c>
    </row>
    <row r="223">
      <c r="A223" s="4" t="inlineStr">
        <is>
          <t>BNY</t>
        </is>
      </c>
      <c r="B223" s="4" t="inlineStr">
        <is>
          <t>The Bank of New York Mellon Corporation</t>
        </is>
      </c>
      <c r="C223" s="4" t="inlineStr">
        <is>
          <t>United States</t>
        </is>
      </c>
      <c r="D223" s="4" t="inlineStr">
        <is>
          <t>US</t>
        </is>
      </c>
      <c r="E223" s="4" t="inlineStr">
        <is>
          <t>Finanzas</t>
        </is>
      </c>
      <c r="F223" s="4" t="inlineStr">
        <is>
          <t>Banks - Diversified</t>
        </is>
      </c>
      <c r="G223" s="4" t="inlineStr">
        <is>
          <t>NYQ</t>
        </is>
      </c>
      <c r="H223" s="4" t="inlineStr">
        <is>
          <t>USD</t>
        </is>
      </c>
      <c r="I223" s="5" t="n">
        <v>93365.55929600001</v>
      </c>
      <c r="J223" s="6">
        <f>INDEX(FX!$B:$B,MATCH(H223,FX!$A:$A,0))</f>
        <v/>
      </c>
      <c r="K223" s="5">
        <f>I223*J223</f>
        <v/>
      </c>
      <c r="L223" s="4">
        <f>IF(U223&lt;&gt;"",U223,IF(K223&gt;=Umbrales!$B$2,"Legendaria",IF(K223&gt;=Umbrales!$B$3,"Épica",IF(K223&gt;=Umbrales!$B$4,"Rara",IF(K223&gt;=Umbrales!$B$5,"Poco común","Común")))))</f>
        <v/>
      </c>
      <c r="M223" s="5" t="n">
        <v>21415.000064</v>
      </c>
      <c r="N223" s="5" t="n">
        <v>6024</v>
      </c>
      <c r="O223" s="5">
        <f>IF(M223="","",M223*J223)</f>
        <v/>
      </c>
      <c r="P223" s="5">
        <f>IF(N223="","",N223*J223)</f>
        <v/>
      </c>
      <c r="Q223" s="7" t="n">
        <v>0.0157</v>
      </c>
      <c r="R223" s="8" t="n">
        <v>16.056593</v>
      </c>
      <c r="S223" s="4" t="inlineStr">
        <is>
          <t>SP500</t>
        </is>
      </c>
      <c r="T223" s="9" t="inlineStr">
        <is>
          <t>SI</t>
        </is>
      </c>
      <c r="U223" s="9" t="inlineStr"/>
      <c r="V223" s="10">
        <f>Umbrales!$B$9*(K223/1000)^Umbrales!$B$10</f>
        <v/>
      </c>
    </row>
    <row r="224">
      <c r="A224" s="4" t="inlineStr">
        <is>
          <t>DUK</t>
        </is>
      </c>
      <c r="B224" s="4" t="inlineStr">
        <is>
          <t>Duke Energy Corporation</t>
        </is>
      </c>
      <c r="C224" s="4" t="inlineStr">
        <is>
          <t>United States</t>
        </is>
      </c>
      <c r="D224" s="4" t="inlineStr">
        <is>
          <t>US</t>
        </is>
      </c>
      <c r="E224" s="4" t="inlineStr">
        <is>
          <t>Servicios públicos</t>
        </is>
      </c>
      <c r="F224" s="4" t="inlineStr">
        <is>
          <t>Utilities - Regulated Electric</t>
        </is>
      </c>
      <c r="G224" s="4" t="inlineStr">
        <is>
          <t>NYQ</t>
        </is>
      </c>
      <c r="H224" s="4" t="inlineStr">
        <is>
          <t>USD</t>
        </is>
      </c>
      <c r="I224" s="5" t="n">
        <v>93283.57376</v>
      </c>
      <c r="J224" s="6">
        <f>INDEX(FX!$B:$B,MATCH(H224,FX!$A:$A,0))</f>
        <v/>
      </c>
      <c r="K224" s="5">
        <f>I224*J224</f>
        <v/>
      </c>
      <c r="L224" s="4">
        <f>IF(U224&lt;&gt;"",U224,IF(K224&gt;=Umbrales!$B$2,"Legendaria",IF(K224&gt;=Umbrales!$B$3,"Épica",IF(K224&gt;=Umbrales!$B$4,"Rara",IF(K224&gt;=Umbrales!$B$5,"Poco común","Común")))))</f>
        <v/>
      </c>
      <c r="M224" s="5" t="n">
        <v>32803.00032</v>
      </c>
      <c r="N224" s="5" t="n">
        <v>5168</v>
      </c>
      <c r="O224" s="5">
        <f>IF(M224="","",M224*J224)</f>
        <v/>
      </c>
      <c r="P224" s="5">
        <f>IF(N224="","",N224*J224)</f>
        <v/>
      </c>
      <c r="Q224" s="7" t="n">
        <v>0.0367</v>
      </c>
      <c r="R224" s="8" t="n">
        <v>18.018072</v>
      </c>
      <c r="S224" s="4" t="inlineStr">
        <is>
          <t>SP500</t>
        </is>
      </c>
      <c r="T224" s="9" t="inlineStr">
        <is>
          <t>SI</t>
        </is>
      </c>
      <c r="U224" s="9" t="inlineStr"/>
      <c r="V224" s="10">
        <f>Umbrales!$B$9*(K224/1000)^Umbrales!$B$10</f>
        <v/>
      </c>
    </row>
    <row r="225">
      <c r="A225" s="4" t="inlineStr">
        <is>
          <t>MELI</t>
        </is>
      </c>
      <c r="B225" s="4" t="inlineStr">
        <is>
          <t>MercadoLibre, Inc.</t>
        </is>
      </c>
      <c r="C225" s="4" t="inlineStr">
        <is>
          <t>Uruguay</t>
        </is>
      </c>
      <c r="D225" s="4" t="inlineStr">
        <is>
          <t>UY</t>
        </is>
      </c>
      <c r="E225" s="4" t="inlineStr">
        <is>
          <t>Consumo cíclico</t>
        </is>
      </c>
      <c r="F225" s="4" t="inlineStr">
        <is>
          <t>Internet Retail</t>
        </is>
      </c>
      <c r="G225" s="4" t="inlineStr">
        <is>
          <t>NMS</t>
        </is>
      </c>
      <c r="H225" s="4" t="inlineStr">
        <is>
          <t>USD</t>
        </is>
      </c>
      <c r="I225" s="5" t="n">
        <v>93236.99404799999</v>
      </c>
      <c r="J225" s="6">
        <f>INDEX(FX!$B:$B,MATCH(H225,FX!$A:$A,0))</f>
        <v/>
      </c>
      <c r="K225" s="5">
        <f>I225*J225</f>
        <v/>
      </c>
      <c r="L225" s="4">
        <f>IF(U225&lt;&gt;"",U225,IF(K225&gt;=Umbrales!$B$2,"Legendaria",IF(K225&gt;=Umbrales!$B$3,"Épica",IF(K225&gt;=Umbrales!$B$4,"Rara",IF(K225&gt;=Umbrales!$B$5,"Poco común","Común")))))</f>
        <v/>
      </c>
      <c r="M225" s="5" t="n">
        <v>35181.99808</v>
      </c>
      <c r="N225" s="5" t="n">
        <v>1863.000064</v>
      </c>
      <c r="O225" s="5">
        <f>IF(M225="","",M225*J225)</f>
        <v/>
      </c>
      <c r="P225" s="5">
        <f>IF(N225="","",N225*J225)</f>
        <v/>
      </c>
      <c r="Q225" s="7" t="n">
        <v>0</v>
      </c>
      <c r="R225" s="8" t="n">
        <v>50.01659</v>
      </c>
      <c r="S225" s="4" t="inlineStr">
        <is>
          <t>NASDAQ100</t>
        </is>
      </c>
      <c r="T225" s="9" t="inlineStr">
        <is>
          <t>SI</t>
        </is>
      </c>
      <c r="U225" s="9" t="inlineStr"/>
      <c r="V225" s="10">
        <f>Umbrales!$B$9*(K225/1000)^Umbrales!$B$10</f>
        <v/>
      </c>
    </row>
    <row r="226">
      <c r="A226" s="4" t="inlineStr">
        <is>
          <t>SBIN.NS</t>
        </is>
      </c>
      <c r="B226" s="4" t="inlineStr">
        <is>
          <t>State Bank of India</t>
        </is>
      </c>
      <c r="C226" s="4" t="inlineStr">
        <is>
          <t>India</t>
        </is>
      </c>
      <c r="D226" s="4" t="inlineStr">
        <is>
          <t>IN</t>
        </is>
      </c>
      <c r="E226" s="4" t="inlineStr">
        <is>
          <t>Finanzas</t>
        </is>
      </c>
      <c r="F226" s="4" t="inlineStr">
        <is>
          <t>Banks - Regional</t>
        </is>
      </c>
      <c r="G226" s="4" t="inlineStr">
        <is>
          <t>NSI</t>
        </is>
      </c>
      <c r="H226" s="4" t="inlineStr">
        <is>
          <t>INR</t>
        </is>
      </c>
      <c r="I226" s="5" t="n">
        <v>8861393.092607999</v>
      </c>
      <c r="J226" s="6">
        <f>INDEX(FX!$B:$B,MATCH(H226,FX!$A:$A,0))</f>
        <v/>
      </c>
      <c r="K226" s="5">
        <f>I226*J226</f>
        <v/>
      </c>
      <c r="L226" s="4">
        <f>IF(U226&lt;&gt;"",U226,IF(K226&gt;=Umbrales!$B$2,"Legendaria",IF(K226&gt;=Umbrales!$B$3,"Épica",IF(K226&gt;=Umbrales!$B$4,"Rara",IF(K226&gt;=Umbrales!$B$5,"Poco común","Común")))))</f>
        <v/>
      </c>
      <c r="M226" s="5" t="n">
        <v>3852830.244864</v>
      </c>
      <c r="N226" s="5" t="n">
        <v>862103.1424</v>
      </c>
      <c r="O226" s="5">
        <f>IF(M226="","",M226*J226)</f>
        <v/>
      </c>
      <c r="P226" s="5">
        <f>IF(N226="","",N226*J226)</f>
        <v/>
      </c>
      <c r="Q226" s="7" t="n">
        <v>0.0182</v>
      </c>
      <c r="R226" s="8" t="n">
        <v>10.289389</v>
      </c>
      <c r="S226" s="4" t="inlineStr">
        <is>
          <t>NIFTY50</t>
        </is>
      </c>
      <c r="T226" s="9" t="inlineStr">
        <is>
          <t>SI</t>
        </is>
      </c>
      <c r="U226" s="9" t="inlineStr"/>
      <c r="V226" s="10">
        <f>Umbrales!$B$9*(K226/1000)^Umbrales!$B$10</f>
        <v/>
      </c>
    </row>
    <row r="227">
      <c r="A227" s="4" t="inlineStr">
        <is>
          <t>AEM.TO</t>
        </is>
      </c>
      <c r="B227" s="4" t="inlineStr">
        <is>
          <t>Agnico Eagle Mines Limited</t>
        </is>
      </c>
      <c r="C227" s="4" t="inlineStr">
        <is>
          <t>Canada</t>
        </is>
      </c>
      <c r="D227" s="4" t="inlineStr">
        <is>
          <t>CA</t>
        </is>
      </c>
      <c r="E227" s="4" t="inlineStr">
        <is>
          <t>Materiales</t>
        </is>
      </c>
      <c r="F227" s="4" t="inlineStr">
        <is>
          <t>Gold</t>
        </is>
      </c>
      <c r="G227" s="4" t="inlineStr">
        <is>
          <t>TOR</t>
        </is>
      </c>
      <c r="H227" s="4" t="inlineStr">
        <is>
          <t>CAD</t>
        </is>
      </c>
      <c r="I227" s="5" t="n">
        <v>132004.257792</v>
      </c>
      <c r="J227" s="6">
        <f>INDEX(FX!$B:$B,MATCH(H227,FX!$A:$A,0))</f>
        <v/>
      </c>
      <c r="K227" s="5">
        <f>I227*J227</f>
        <v/>
      </c>
      <c r="L227" s="4">
        <f>IF(U227&lt;&gt;"",U227,IF(K227&gt;=Umbrales!$B$2,"Legendaria",IF(K227&gt;=Umbrales!$B$3,"Épica",IF(K227&gt;=Umbrales!$B$4,"Rara",IF(K227&gt;=Umbrales!$B$5,"Poco común","Común")))))</f>
        <v/>
      </c>
      <c r="M227" s="5" t="n">
        <v>14525.908992</v>
      </c>
      <c r="N227" s="5" t="n">
        <v>5873.9328</v>
      </c>
      <c r="O227" s="5">
        <f>IF(M227="","",M227*J227)</f>
        <v/>
      </c>
      <c r="P227" s="5">
        <f>IF(N227="","",N227*J227)</f>
        <v/>
      </c>
      <c r="Q227" s="7" t="n">
        <v>0.0097</v>
      </c>
      <c r="R227" s="8" t="n">
        <v>16.916937</v>
      </c>
      <c r="S227" s="4" t="inlineStr">
        <is>
          <t>TSX60</t>
        </is>
      </c>
      <c r="T227" s="9" t="inlineStr">
        <is>
          <t>SI</t>
        </is>
      </c>
      <c r="U227" s="9" t="inlineStr"/>
      <c r="V227" s="10">
        <f>Umbrales!$B$9*(K227/1000)^Umbrales!$B$10</f>
        <v/>
      </c>
    </row>
    <row r="228">
      <c r="A228" s="4" t="inlineStr">
        <is>
          <t>ELV</t>
        </is>
      </c>
      <c r="B228" s="4" t="inlineStr">
        <is>
          <t>Elevance Health, Inc.</t>
        </is>
      </c>
      <c r="C228" s="4" t="inlineStr">
        <is>
          <t>United States</t>
        </is>
      </c>
      <c r="D228" s="4" t="inlineStr">
        <is>
          <t>US</t>
        </is>
      </c>
      <c r="E228" s="4" t="inlineStr">
        <is>
          <t>Salud</t>
        </is>
      </c>
      <c r="F228" s="4" t="inlineStr">
        <is>
          <t>Healthcare Plans</t>
        </is>
      </c>
      <c r="G228" s="4" t="inlineStr">
        <is>
          <t>NYQ</t>
        </is>
      </c>
      <c r="H228" s="4" t="inlineStr">
        <is>
          <t>USD</t>
        </is>
      </c>
      <c r="I228" s="5" t="n">
        <v>92839.57555199999</v>
      </c>
      <c r="J228" s="6">
        <f>INDEX(FX!$B:$B,MATCH(H228,FX!$A:$A,0))</f>
        <v/>
      </c>
      <c r="K228" s="5">
        <f>I228*J228</f>
        <v/>
      </c>
      <c r="L228" s="4">
        <f>IF(U228&lt;&gt;"",U228,IF(K228&gt;=Umbrales!$B$2,"Legendaria",IF(K228&gt;=Umbrales!$B$3,"Épica",IF(K228&gt;=Umbrales!$B$4,"Rara",IF(K228&gt;=Umbrales!$B$5,"Poco común","Común")))))</f>
        <v/>
      </c>
      <c r="M228" s="5" t="n">
        <v>201113.993216</v>
      </c>
      <c r="N228" s="5" t="n">
        <v>4962.999808</v>
      </c>
      <c r="O228" s="5">
        <f>IF(M228="","",M228*J228)</f>
        <v/>
      </c>
      <c r="P228" s="5">
        <f>IF(N228="","",N228*J228)</f>
        <v/>
      </c>
      <c r="Q228" s="7" t="n">
        <v>0.0162</v>
      </c>
      <c r="R228" s="8" t="n">
        <v>18.825418</v>
      </c>
      <c r="S228" s="4" t="inlineStr">
        <is>
          <t>SP500</t>
        </is>
      </c>
      <c r="T228" s="9" t="inlineStr">
        <is>
          <t>SI</t>
        </is>
      </c>
      <c r="U228" s="9" t="inlineStr"/>
      <c r="V228" s="10">
        <f>Umbrales!$B$9*(K228/1000)^Umbrales!$B$10</f>
        <v/>
      </c>
    </row>
    <row r="229">
      <c r="A229" s="4" t="inlineStr">
        <is>
          <t>CABK.MC</t>
        </is>
      </c>
      <c r="B229" s="4" t="inlineStr">
        <is>
          <t>CaixaBank, S.A.</t>
        </is>
      </c>
      <c r="C229" s="4" t="inlineStr">
        <is>
          <t>Spain</t>
        </is>
      </c>
      <c r="D229" s="4" t="inlineStr">
        <is>
          <t>ES</t>
        </is>
      </c>
      <c r="E229" s="4" t="inlineStr">
        <is>
          <t>Finanzas</t>
        </is>
      </c>
      <c r="F229" s="4" t="inlineStr">
        <is>
          <t>Banks - Regional</t>
        </is>
      </c>
      <c r="G229" s="4" t="inlineStr">
        <is>
          <t>MCE</t>
        </is>
      </c>
      <c r="H229" s="4" t="inlineStr">
        <is>
          <t>EUR</t>
        </is>
      </c>
      <c r="I229" s="5" t="n">
        <v>82355.093504</v>
      </c>
      <c r="J229" s="6">
        <f>INDEX(FX!$B:$B,MATCH(H229,FX!$A:$A,0))</f>
        <v/>
      </c>
      <c r="K229" s="5">
        <f>I229*J229</f>
        <v/>
      </c>
      <c r="L229" s="4">
        <f>IF(U229&lt;&gt;"",U229,IF(K229&gt;=Umbrales!$B$2,"Legendaria",IF(K229&gt;=Umbrales!$B$3,"Épica",IF(K229&gt;=Umbrales!$B$4,"Rara",IF(K229&gt;=Umbrales!$B$5,"Poco común","Común")))))</f>
        <v/>
      </c>
      <c r="M229" s="5" t="n">
        <v>15733.999616</v>
      </c>
      <c r="N229" s="5" t="n">
        <v>5855.000064</v>
      </c>
      <c r="O229" s="5">
        <f>IF(M229="","",M229*J229)</f>
        <v/>
      </c>
      <c r="P229" s="5">
        <f>IF(N229="","",N229*J229)</f>
        <v/>
      </c>
      <c r="Q229" s="7" t="n">
        <v>0.042</v>
      </c>
      <c r="R229" s="8" t="n">
        <v>13.790697</v>
      </c>
      <c r="S229" s="4" t="inlineStr">
        <is>
          <t>IBEX35</t>
        </is>
      </c>
      <c r="T229" s="9" t="inlineStr">
        <is>
          <t>SI</t>
        </is>
      </c>
      <c r="U229" s="9" t="inlineStr"/>
      <c r="V229" s="10">
        <f>Umbrales!$B$9*(K229/1000)^Umbrales!$B$10</f>
        <v/>
      </c>
    </row>
    <row r="230">
      <c r="A230" s="4" t="inlineStr">
        <is>
          <t>SNPS</t>
        </is>
      </c>
      <c r="B230" s="4" t="inlineStr">
        <is>
          <t>Synopsys, Inc.</t>
        </is>
      </c>
      <c r="C230" s="4" t="inlineStr">
        <is>
          <t>United States</t>
        </is>
      </c>
      <c r="D230" s="4" t="inlineStr">
        <is>
          <t>US</t>
        </is>
      </c>
      <c r="E230" s="4" t="inlineStr">
        <is>
          <t>Tecnología</t>
        </is>
      </c>
      <c r="F230" s="4" t="inlineStr">
        <is>
          <t>Software - Infrastructure</t>
        </is>
      </c>
      <c r="G230" s="4" t="inlineStr">
        <is>
          <t>NMS</t>
        </is>
      </c>
      <c r="H230" s="4" t="inlineStr">
        <is>
          <t>USD</t>
        </is>
      </c>
      <c r="I230" s="5" t="n">
        <v>91972.173824</v>
      </c>
      <c r="J230" s="6">
        <f>INDEX(FX!$B:$B,MATCH(H230,FX!$A:$A,0))</f>
        <v/>
      </c>
      <c r="K230" s="5">
        <f>I230*J230</f>
        <v/>
      </c>
      <c r="L230" s="4">
        <f>IF(U230&lt;&gt;"",U230,IF(K230&gt;=Umbrales!$B$2,"Legendaria",IF(K230&gt;=Umbrales!$B$3,"Épica",IF(K230&gt;=Umbrales!$B$4,"Rara",IF(K230&gt;=Umbrales!$B$5,"Poco común","Común")))))</f>
        <v/>
      </c>
      <c r="M230" s="5" t="n">
        <v>9416.465408</v>
      </c>
      <c r="N230" s="5" t="n">
        <v>1076.558976</v>
      </c>
      <c r="O230" s="5">
        <f>IF(M230="","",M230*J230)</f>
        <v/>
      </c>
      <c r="P230" s="5">
        <f>IF(N230="","",N230*J230)</f>
        <v/>
      </c>
      <c r="Q230" s="7" t="n">
        <v>0</v>
      </c>
      <c r="R230" s="8" t="n">
        <v>87.41894499999999</v>
      </c>
      <c r="S230" s="4" t="inlineStr">
        <is>
          <t>NASDAQ100, SP500</t>
        </is>
      </c>
      <c r="T230" s="9" t="inlineStr">
        <is>
          <t>SI</t>
        </is>
      </c>
      <c r="U230" s="9" t="inlineStr"/>
      <c r="V230" s="10">
        <f>Umbrales!$B$9*(K230/1000)^Umbrales!$B$10</f>
        <v/>
      </c>
    </row>
    <row r="231">
      <c r="A231" s="4" t="inlineStr">
        <is>
          <t>0300.HK</t>
        </is>
      </c>
      <c r="B231" s="4" t="inlineStr">
        <is>
          <t>Midea Group Co., Ltd.</t>
        </is>
      </c>
      <c r="C231" s="4" t="inlineStr">
        <is>
          <t>China</t>
        </is>
      </c>
      <c r="D231" s="4" t="inlineStr">
        <is>
          <t>CN</t>
        </is>
      </c>
      <c r="E231" s="4" t="inlineStr">
        <is>
          <t>Consumo cíclico</t>
        </is>
      </c>
      <c r="F231" s="4" t="inlineStr">
        <is>
          <t>Furnishings, Fixtures &amp; Appliances</t>
        </is>
      </c>
      <c r="G231" s="4" t="inlineStr">
        <is>
          <t>HKG</t>
        </is>
      </c>
      <c r="H231" s="4" t="inlineStr">
        <is>
          <t>HKD</t>
        </is>
      </c>
      <c r="I231" s="5" t="n">
        <v>714561.814528</v>
      </c>
      <c r="J231" s="6">
        <f>INDEX(FX!$B:$B,MATCH(H231,FX!$A:$A,0))</f>
        <v/>
      </c>
      <c r="K231" s="5">
        <f>I231*J231</f>
        <v/>
      </c>
      <c r="L231" s="4">
        <f>IF(U231&lt;&gt;"",U231,IF(K231&gt;=Umbrales!$B$2,"Legendaria",IF(K231&gt;=Umbrales!$B$3,"Épica",IF(K231&gt;=Umbrales!$B$4,"Rara",IF(K231&gt;=Umbrales!$B$5,"Poco común","Común")))))</f>
        <v/>
      </c>
      <c r="M231" s="5" t="n">
        <v>465370.97216</v>
      </c>
      <c r="N231" s="5" t="n">
        <v>44256.395264</v>
      </c>
      <c r="O231" s="5">
        <f>IF(M231="","",M231*J231)</f>
        <v/>
      </c>
      <c r="P231" s="5">
        <f>IF(N231="","",N231*J231)</f>
        <v/>
      </c>
      <c r="Q231" s="7" t="n">
        <v>0.0524</v>
      </c>
      <c r="R231" s="8" t="n">
        <v>14.3415</v>
      </c>
      <c r="S231" s="4" t="inlineStr">
        <is>
          <t>HANGSENG</t>
        </is>
      </c>
      <c r="T231" s="9" t="inlineStr">
        <is>
          <t>SI</t>
        </is>
      </c>
      <c r="U231" s="9" t="inlineStr"/>
      <c r="V231" s="10">
        <f>Umbrales!$B$9*(K231/1000)^Umbrales!$B$10</f>
        <v/>
      </c>
    </row>
    <row r="232">
      <c r="A232" s="4" t="inlineStr">
        <is>
          <t>CDNS</t>
        </is>
      </c>
      <c r="B232" s="4" t="inlineStr">
        <is>
          <t>Cadence Design Systems, Inc.</t>
        </is>
      </c>
      <c r="C232" s="4" t="inlineStr">
        <is>
          <t>United States</t>
        </is>
      </c>
      <c r="D232" s="4" t="inlineStr">
        <is>
          <t>US</t>
        </is>
      </c>
      <c r="E232" s="4" t="inlineStr">
        <is>
          <t>Tecnología</t>
        </is>
      </c>
      <c r="F232" s="4" t="inlineStr">
        <is>
          <t>Software - Application</t>
        </is>
      </c>
      <c r="G232" s="4" t="inlineStr">
        <is>
          <t>NMS</t>
        </is>
      </c>
      <c r="H232" s="4" t="inlineStr">
        <is>
          <t>USD</t>
        </is>
      </c>
      <c r="I232" s="5" t="n">
        <v>90870.33344</v>
      </c>
      <c r="J232" s="6">
        <f>INDEX(FX!$B:$B,MATCH(H232,FX!$A:$A,0))</f>
        <v/>
      </c>
      <c r="K232" s="5">
        <f>I232*J232</f>
        <v/>
      </c>
      <c r="L232" s="4">
        <f>IF(U232&lt;&gt;"",U232,IF(K232&gt;=Umbrales!$B$2,"Legendaria",IF(K232&gt;=Umbrales!$B$3,"Épica",IF(K232&gt;=Umbrales!$B$4,"Rara",IF(K232&gt;=Umbrales!$B$5,"Poco común","Común")))))</f>
        <v/>
      </c>
      <c r="M232" s="5" t="n">
        <v>5837.622784</v>
      </c>
      <c r="N232" s="5" t="n">
        <v>1377.993984</v>
      </c>
      <c r="O232" s="5">
        <f>IF(M232="","",M232*J232)</f>
        <v/>
      </c>
      <c r="P232" s="5">
        <f>IF(N232="","",N232*J232)</f>
        <v/>
      </c>
      <c r="Q232" s="7" t="n">
        <v>0</v>
      </c>
      <c r="R232" s="8" t="n">
        <v>66.42338599999999</v>
      </c>
      <c r="S232" s="4" t="inlineStr">
        <is>
          <t>NASDAQ100, SP500</t>
        </is>
      </c>
      <c r="T232" s="9" t="inlineStr">
        <is>
          <t>SI</t>
        </is>
      </c>
      <c r="U232" s="9" t="inlineStr"/>
      <c r="V232" s="10">
        <f>Umbrales!$B$9*(K232/1000)^Umbrales!$B$10</f>
        <v/>
      </c>
    </row>
    <row r="233">
      <c r="A233" s="4" t="inlineStr">
        <is>
          <t>MRSH</t>
        </is>
      </c>
      <c r="B233" s="4" t="inlineStr">
        <is>
          <t>Marsh &amp; McLennan Companies, Inc.</t>
        </is>
      </c>
      <c r="C233" s="4" t="inlineStr">
        <is>
          <t>United States</t>
        </is>
      </c>
      <c r="D233" s="4" t="inlineStr">
        <is>
          <t>US</t>
        </is>
      </c>
      <c r="E233" s="4" t="inlineStr">
        <is>
          <t>Finanzas</t>
        </is>
      </c>
      <c r="F233" s="4" t="inlineStr">
        <is>
          <t>Insurance Brokers</t>
        </is>
      </c>
      <c r="G233" s="4" t="inlineStr">
        <is>
          <t>NYQ</t>
        </is>
      </c>
      <c r="H233" s="4" t="inlineStr">
        <is>
          <t>USD</t>
        </is>
      </c>
      <c r="I233" s="5" t="n">
        <v>90674.91327999999</v>
      </c>
      <c r="J233" s="6">
        <f>INDEX(FX!$B:$B,MATCH(H233,FX!$A:$A,0))</f>
        <v/>
      </c>
      <c r="K233" s="5">
        <f>I233*J233</f>
        <v/>
      </c>
      <c r="L233" s="4">
        <f>IF(U233&lt;&gt;"",U233,IF(K233&gt;=Umbrales!$B$2,"Legendaria",IF(K233&gt;=Umbrales!$B$3,"Épica",IF(K233&gt;=Umbrales!$B$4,"Rara",IF(K233&gt;=Umbrales!$B$5,"Poco común","Común")))))</f>
        <v/>
      </c>
      <c r="M233" s="5" t="n">
        <v>27946.999808</v>
      </c>
      <c r="N233" s="5" t="n">
        <v>3980</v>
      </c>
      <c r="O233" s="5">
        <f>IF(M233="","",M233*J233)</f>
        <v/>
      </c>
      <c r="P233" s="5">
        <f>IF(N233="","",N233*J233)</f>
        <v/>
      </c>
      <c r="Q233" s="7" t="n">
        <v>0.0224</v>
      </c>
      <c r="R233" s="8" t="n">
        <v>23.228605</v>
      </c>
      <c r="S233" s="4" t="inlineStr">
        <is>
          <t>SP500</t>
        </is>
      </c>
      <c r="T233" s="9" t="inlineStr">
        <is>
          <t>SI</t>
        </is>
      </c>
      <c r="U233" s="9" t="inlineStr"/>
      <c r="V233" s="10">
        <f>Umbrales!$B$9*(K233/1000)^Umbrales!$B$10</f>
        <v/>
      </c>
    </row>
    <row r="234">
      <c r="A234" s="4" t="inlineStr">
        <is>
          <t>GD</t>
        </is>
      </c>
      <c r="B234" s="4" t="inlineStr">
        <is>
          <t>General Dynamics Corporation</t>
        </is>
      </c>
      <c r="C234" s="4" t="inlineStr">
        <is>
          <t>United States</t>
        </is>
      </c>
      <c r="D234" s="4" t="inlineStr">
        <is>
          <t>US</t>
        </is>
      </c>
      <c r="E234" s="4" t="inlineStr">
        <is>
          <t>Industria</t>
        </is>
      </c>
      <c r="F234" s="4" t="inlineStr">
        <is>
          <t>Aerospace &amp; Defense</t>
        </is>
      </c>
      <c r="G234" s="4" t="inlineStr">
        <is>
          <t>NYQ</t>
        </is>
      </c>
      <c r="H234" s="4" t="inlineStr">
        <is>
          <t>USD</t>
        </is>
      </c>
      <c r="I234" s="5" t="n">
        <v>90544.668672</v>
      </c>
      <c r="J234" s="6">
        <f>INDEX(FX!$B:$B,MATCH(H234,FX!$A:$A,0))</f>
        <v/>
      </c>
      <c r="K234" s="5">
        <f>I234*J234</f>
        <v/>
      </c>
      <c r="L234" s="4">
        <f>IF(U234&lt;&gt;"",U234,IF(K234&gt;=Umbrales!$B$2,"Legendaria",IF(K234&gt;=Umbrales!$B$3,"Épica",IF(K234&gt;=Umbrales!$B$4,"Rara",IF(K234&gt;=Umbrales!$B$5,"Poco común","Común")))))</f>
        <v/>
      </c>
      <c r="M234" s="5" t="n">
        <v>54861.000704</v>
      </c>
      <c r="N234" s="5" t="n">
        <v>4487.000064</v>
      </c>
      <c r="O234" s="5">
        <f>IF(M234="","",M234*J234)</f>
        <v/>
      </c>
      <c r="P234" s="5">
        <f>IF(N234="","",N234*J234)</f>
        <v/>
      </c>
      <c r="Q234" s="7" t="n">
        <v>0.0191</v>
      </c>
      <c r="R234" s="8" t="n">
        <v>20.282425</v>
      </c>
      <c r="S234" s="4" t="inlineStr">
        <is>
          <t>SP500</t>
        </is>
      </c>
      <c r="T234" s="9" t="inlineStr">
        <is>
          <t>SI</t>
        </is>
      </c>
      <c r="U234" s="9" t="inlineStr"/>
      <c r="V234" s="10">
        <f>Umbrales!$B$9*(K234/1000)^Umbrales!$B$10</f>
        <v/>
      </c>
    </row>
    <row r="235">
      <c r="A235" s="4" t="inlineStr">
        <is>
          <t>EMR</t>
        </is>
      </c>
      <c r="B235" s="4" t="inlineStr">
        <is>
          <t>Emerson Electric Co.</t>
        </is>
      </c>
      <c r="C235" s="4" t="inlineStr">
        <is>
          <t>United States</t>
        </is>
      </c>
      <c r="D235" s="4" t="inlineStr">
        <is>
          <t>US</t>
        </is>
      </c>
      <c r="E235" s="4" t="inlineStr">
        <is>
          <t>Industria</t>
        </is>
      </c>
      <c r="F235" s="4" t="inlineStr">
        <is>
          <t>Specialty Industrial Machinery</t>
        </is>
      </c>
      <c r="G235" s="4" t="inlineStr">
        <is>
          <t>NYQ</t>
        </is>
      </c>
      <c r="H235" s="4" t="inlineStr">
        <is>
          <t>USD</t>
        </is>
      </c>
      <c r="I235" s="5" t="n">
        <v>90220.904448</v>
      </c>
      <c r="J235" s="6">
        <f>INDEX(FX!$B:$B,MATCH(H235,FX!$A:$A,0))</f>
        <v/>
      </c>
      <c r="K235" s="5">
        <f>I235*J235</f>
        <v/>
      </c>
      <c r="L235" s="4">
        <f>IF(U235&lt;&gt;"",U235,IF(K235&gt;=Umbrales!$B$2,"Legendaria",IF(K235&gt;=Umbrales!$B$3,"Épica",IF(K235&gt;=Umbrales!$B$4,"Rara",IF(K235&gt;=Umbrales!$B$5,"Poco común","Común")))))</f>
        <v/>
      </c>
      <c r="M235" s="5" t="n">
        <v>18635.999232</v>
      </c>
      <c r="N235" s="5" t="n">
        <v>2576</v>
      </c>
      <c r="O235" s="5">
        <f>IF(M235="","",M235*J235)</f>
        <v/>
      </c>
      <c r="P235" s="5">
        <f>IF(N235="","",N235*J235)</f>
        <v/>
      </c>
      <c r="Q235" s="7" t="n">
        <v>0.0136</v>
      </c>
      <c r="R235" s="8" t="n">
        <v>35.795555</v>
      </c>
      <c r="S235" s="4" t="inlineStr">
        <is>
          <t>SP500</t>
        </is>
      </c>
      <c r="T235" s="9" t="inlineStr">
        <is>
          <t>SI</t>
        </is>
      </c>
      <c r="U235" s="9" t="inlineStr"/>
      <c r="V235" s="10">
        <f>Umbrales!$B$9*(K235/1000)^Umbrales!$B$10</f>
        <v/>
      </c>
    </row>
    <row r="236">
      <c r="A236" s="4" t="inlineStr">
        <is>
          <t>TCS.NS</t>
        </is>
      </c>
      <c r="B236" s="4" t="inlineStr">
        <is>
          <t>Tata Consultancy Services Limited</t>
        </is>
      </c>
      <c r="C236" s="4" t="inlineStr">
        <is>
          <t>India</t>
        </is>
      </c>
      <c r="D236" s="4" t="inlineStr">
        <is>
          <t>IN</t>
        </is>
      </c>
      <c r="E236" s="4" t="inlineStr">
        <is>
          <t>Tecnología</t>
        </is>
      </c>
      <c r="F236" s="4" t="inlineStr">
        <is>
          <t>Information Technology Services</t>
        </is>
      </c>
      <c r="G236" s="4" t="inlineStr">
        <is>
          <t>NSI</t>
        </is>
      </c>
      <c r="H236" s="4" t="inlineStr">
        <is>
          <t>INR</t>
        </is>
      </c>
      <c r="I236" s="5" t="n">
        <v>8538686.488576001</v>
      </c>
      <c r="J236" s="6">
        <f>INDEX(FX!$B:$B,MATCH(H236,FX!$A:$A,0))</f>
        <v/>
      </c>
      <c r="K236" s="5">
        <f>I236*J236</f>
        <v/>
      </c>
      <c r="L236" s="4">
        <f>IF(U236&lt;&gt;"",U236,IF(K236&gt;=Umbrales!$B$2,"Legendaria",IF(K236&gt;=Umbrales!$B$3,"Épica",IF(K236&gt;=Umbrales!$B$4,"Rara",IF(K236&gt;=Umbrales!$B$5,"Poco común","Común")))))</f>
        <v/>
      </c>
      <c r="M236" s="5" t="n">
        <v>2832480.075776</v>
      </c>
      <c r="N236" s="5" t="n">
        <v>516080.009216</v>
      </c>
      <c r="O236" s="5">
        <f>IF(M236="","",M236*J236)</f>
        <v/>
      </c>
      <c r="P236" s="5">
        <f>IF(N236="","",N236*J236)</f>
        <v/>
      </c>
      <c r="Q236" s="7" t="n">
        <v>0.0208</v>
      </c>
      <c r="R236" s="8" t="n">
        <v>16.54283</v>
      </c>
      <c r="S236" s="4" t="inlineStr">
        <is>
          <t>ASIA_TOP, NIFTY50</t>
        </is>
      </c>
      <c r="T236" s="9" t="inlineStr">
        <is>
          <t>SI</t>
        </is>
      </c>
      <c r="U236" s="9" t="inlineStr"/>
      <c r="V236" s="10">
        <f>Umbrales!$B$9*(K236/1000)^Umbrales!$B$10</f>
        <v/>
      </c>
    </row>
    <row r="237">
      <c r="A237" s="4" t="inlineStr">
        <is>
          <t>CSX</t>
        </is>
      </c>
      <c r="B237" s="4" t="inlineStr">
        <is>
          <t>CSX Corporation</t>
        </is>
      </c>
      <c r="C237" s="4" t="inlineStr">
        <is>
          <t>United States</t>
        </is>
      </c>
      <c r="D237" s="4" t="inlineStr">
        <is>
          <t>US</t>
        </is>
      </c>
      <c r="E237" s="4" t="inlineStr">
        <is>
          <t>Industria</t>
        </is>
      </c>
      <c r="F237" s="4" t="inlineStr">
        <is>
          <t>Railroads</t>
        </is>
      </c>
      <c r="G237" s="4" t="inlineStr">
        <is>
          <t>NMS</t>
        </is>
      </c>
      <c r="H237" s="4" t="inlineStr">
        <is>
          <t>USD</t>
        </is>
      </c>
      <c r="I237" s="5" t="n">
        <v>89437.487104</v>
      </c>
      <c r="J237" s="6">
        <f>INDEX(FX!$B:$B,MATCH(H237,FX!$A:$A,0))</f>
        <v/>
      </c>
      <c r="K237" s="5">
        <f>I237*J237</f>
        <v/>
      </c>
      <c r="L237" s="4">
        <f>IF(U237&lt;&gt;"",U237,IF(K237&gt;=Umbrales!$B$2,"Legendaria",IF(K237&gt;=Umbrales!$B$3,"Épica",IF(K237&gt;=Umbrales!$B$4,"Rara",IF(K237&gt;=Umbrales!$B$5,"Poco común","Común")))))</f>
        <v/>
      </c>
      <c r="M237" s="5" t="n">
        <v>14512</v>
      </c>
      <c r="N237" s="5" t="n">
        <v>3223.000064</v>
      </c>
      <c r="O237" s="5">
        <f>IF(M237="","",M237*J237)</f>
        <v/>
      </c>
      <c r="P237" s="5">
        <f>IF(N237="","",N237*J237)</f>
        <v/>
      </c>
      <c r="Q237" s="7" t="n">
        <v>0.0117</v>
      </c>
      <c r="R237" s="8" t="n">
        <v>28.069767</v>
      </c>
      <c r="S237" s="4" t="inlineStr">
        <is>
          <t>NASDAQ100, SP500</t>
        </is>
      </c>
      <c r="T237" s="9" t="inlineStr">
        <is>
          <t>SI</t>
        </is>
      </c>
      <c r="U237" s="9" t="inlineStr"/>
      <c r="V237" s="10">
        <f>Umbrales!$B$9*(K237/1000)^Umbrales!$B$10</f>
        <v/>
      </c>
    </row>
    <row r="238">
      <c r="A238" s="4" t="inlineStr">
        <is>
          <t>SU.TO</t>
        </is>
      </c>
      <c r="B238" s="4" t="inlineStr">
        <is>
          <t>Suncor Energy Inc.</t>
        </is>
      </c>
      <c r="C238" s="4" t="inlineStr">
        <is>
          <t>Canada</t>
        </is>
      </c>
      <c r="D238" s="4" t="inlineStr">
        <is>
          <t>CA</t>
        </is>
      </c>
      <c r="E238" s="4" t="inlineStr">
        <is>
          <t>Energía</t>
        </is>
      </c>
      <c r="F238" s="4" t="inlineStr">
        <is>
          <t>Oil &amp; Gas Integrated</t>
        </is>
      </c>
      <c r="G238" s="4" t="inlineStr">
        <is>
          <t>TOR</t>
        </is>
      </c>
      <c r="H238" s="4" t="inlineStr">
        <is>
          <t>CAD</t>
        </is>
      </c>
      <c r="I238" s="5" t="n">
        <v>126612.39808</v>
      </c>
      <c r="J238" s="6">
        <f>INDEX(FX!$B:$B,MATCH(H238,FX!$A:$A,0))</f>
        <v/>
      </c>
      <c r="K238" s="5">
        <f>I238*J238</f>
        <v/>
      </c>
      <c r="L238" s="4">
        <f>IF(U238&lt;&gt;"",U238,IF(K238&gt;=Umbrales!$B$2,"Legendaria",IF(K238&gt;=Umbrales!$B$3,"Épica",IF(K238&gt;=Umbrales!$B$4,"Rara",IF(K238&gt;=Umbrales!$B$5,"Poco común","Común")))))</f>
        <v/>
      </c>
      <c r="M238" s="5" t="n">
        <v>56570.998784</v>
      </c>
      <c r="N238" s="5" t="n">
        <v>8926.999551999999</v>
      </c>
      <c r="O238" s="5">
        <f>IF(M238="","",M238*J238)</f>
        <v/>
      </c>
      <c r="P238" s="5">
        <f>IF(N238="","",N238*J238)</f>
        <v/>
      </c>
      <c r="Q238" s="7" t="n">
        <v>0.0225</v>
      </c>
      <c r="R238" s="8" t="n">
        <v>14.299868</v>
      </c>
      <c r="S238" s="4" t="inlineStr">
        <is>
          <t>TSX60</t>
        </is>
      </c>
      <c r="T238" s="9" t="inlineStr">
        <is>
          <t>SI</t>
        </is>
      </c>
      <c r="U238" s="9" t="inlineStr"/>
      <c r="V238" s="10">
        <f>Umbrales!$B$9*(K238/1000)^Umbrales!$B$10</f>
        <v/>
      </c>
    </row>
    <row r="239">
      <c r="A239" s="4" t="inlineStr">
        <is>
          <t>HOOD</t>
        </is>
      </c>
      <c r="B239" s="4" t="inlineStr">
        <is>
          <t>Robinhood Markets, Inc.</t>
        </is>
      </c>
      <c r="C239" s="4" t="inlineStr">
        <is>
          <t>United States</t>
        </is>
      </c>
      <c r="D239" s="4" t="inlineStr">
        <is>
          <t>US</t>
        </is>
      </c>
      <c r="E239" s="4" t="inlineStr">
        <is>
          <t>Finanzas</t>
        </is>
      </c>
      <c r="F239" s="4" t="inlineStr">
        <is>
          <t>Capital Markets</t>
        </is>
      </c>
      <c r="G239" s="4" t="inlineStr">
        <is>
          <t>NMS</t>
        </is>
      </c>
      <c r="H239" s="4" t="inlineStr">
        <is>
          <t>USD</t>
        </is>
      </c>
      <c r="I239" s="5" t="n">
        <v>89036.120064</v>
      </c>
      <c r="J239" s="6">
        <f>INDEX(FX!$B:$B,MATCH(H239,FX!$A:$A,0))</f>
        <v/>
      </c>
      <c r="K239" s="5">
        <f>I239*J239</f>
        <v/>
      </c>
      <c r="L239" s="4">
        <f>IF(U239&lt;&gt;"",U239,IF(K239&gt;=Umbrales!$B$2,"Legendaria",IF(K239&gt;=Umbrales!$B$3,"Épica",IF(K239&gt;=Umbrales!$B$4,"Rara",IF(K239&gt;=Umbrales!$B$5,"Poco común","Común")))))</f>
        <v/>
      </c>
      <c r="M239" s="5" t="n">
        <v>4931.999744</v>
      </c>
      <c r="N239" s="5" t="n">
        <v>2072</v>
      </c>
      <c r="O239" s="5">
        <f>IF(M239="","",M239*J239)</f>
        <v/>
      </c>
      <c r="P239" s="5">
        <f>IF(N239="","",N239*J239)</f>
        <v/>
      </c>
      <c r="Q239" s="7" t="n">
        <v>0</v>
      </c>
      <c r="R239" s="8" t="n">
        <v>47.610577</v>
      </c>
      <c r="S239" s="4" t="inlineStr">
        <is>
          <t>SP500</t>
        </is>
      </c>
      <c r="T239" s="9" t="inlineStr">
        <is>
          <t>SI</t>
        </is>
      </c>
      <c r="U239" s="9" t="inlineStr"/>
      <c r="V239" s="10">
        <f>Umbrales!$B$9*(K239/1000)^Umbrales!$B$10</f>
        <v/>
      </c>
    </row>
    <row r="240">
      <c r="A240" s="4" t="inlineStr">
        <is>
          <t>1810.HK</t>
        </is>
      </c>
      <c r="B240" s="4" t="inlineStr">
        <is>
          <t>Xiaomi Corporation</t>
        </is>
      </c>
      <c r="C240" s="4" t="inlineStr">
        <is>
          <t>China</t>
        </is>
      </c>
      <c r="D240" s="4" t="inlineStr">
        <is>
          <t>CN</t>
        </is>
      </c>
      <c r="E240" s="4" t="inlineStr">
        <is>
          <t>Tecnología</t>
        </is>
      </c>
      <c r="F240" s="4" t="inlineStr">
        <is>
          <t>Consumer Electronics</t>
        </is>
      </c>
      <c r="G240" s="4" t="inlineStr">
        <is>
          <t>HKG</t>
        </is>
      </c>
      <c r="H240" s="4" t="inlineStr">
        <is>
          <t>HKD</t>
        </is>
      </c>
      <c r="I240" s="5" t="n">
        <v>697170.919424</v>
      </c>
      <c r="J240" s="6">
        <f>INDEX(FX!$B:$B,MATCH(H240,FX!$A:$A,0))</f>
        <v/>
      </c>
      <c r="K240" s="5">
        <f>I240*J240</f>
        <v/>
      </c>
      <c r="L240" s="4">
        <f>IF(U240&lt;&gt;"",U240,IF(K240&gt;=Umbrales!$B$2,"Legendaria",IF(K240&gt;=Umbrales!$B$3,"Épica",IF(K240&gt;=Umbrales!$B$4,"Rara",IF(K240&gt;=Umbrales!$B$5,"Poco común","Común")))))</f>
        <v/>
      </c>
      <c r="M240" s="5" t="n">
        <v>438100.492288</v>
      </c>
      <c r="N240" s="5" t="n">
        <v>33000.187904</v>
      </c>
      <c r="O240" s="5">
        <f>IF(M240="","",M240*J240)</f>
        <v/>
      </c>
      <c r="P240" s="5">
        <f>IF(N240="","",N240*J240)</f>
        <v/>
      </c>
      <c r="Q240" s="7" t="n">
        <v>0</v>
      </c>
      <c r="R240" s="8" t="n">
        <v>18.805555</v>
      </c>
      <c r="S240" s="4" t="inlineStr">
        <is>
          <t>ASIA_TOP, HANGSENG</t>
        </is>
      </c>
      <c r="T240" s="9" t="inlineStr">
        <is>
          <t>SI</t>
        </is>
      </c>
      <c r="U240" s="9" t="inlineStr"/>
      <c r="V240" s="10">
        <f>Umbrales!$B$9*(K240/1000)^Umbrales!$B$10</f>
        <v/>
      </c>
    </row>
    <row r="241">
      <c r="A241" s="4" t="inlineStr">
        <is>
          <t>JCI</t>
        </is>
      </c>
      <c r="B241" s="4" t="inlineStr">
        <is>
          <t>Johnson Controls International plc</t>
        </is>
      </c>
      <c r="C241" s="4" t="inlineStr">
        <is>
          <t>Ireland</t>
        </is>
      </c>
      <c r="D241" s="4" t="inlineStr">
        <is>
          <t>IE</t>
        </is>
      </c>
      <c r="E241" s="4" t="inlineStr">
        <is>
          <t>Industria</t>
        </is>
      </c>
      <c r="F241" s="4" t="inlineStr">
        <is>
          <t>Building Products &amp; Equipment</t>
        </is>
      </c>
      <c r="G241" s="4" t="inlineStr">
        <is>
          <t>NYQ</t>
        </is>
      </c>
      <c r="H241" s="4" t="inlineStr">
        <is>
          <t>USD</t>
        </is>
      </c>
      <c r="I241" s="5" t="n">
        <v>88359.50182400001</v>
      </c>
      <c r="J241" s="6">
        <f>INDEX(FX!$B:$B,MATCH(H241,FX!$A:$A,0))</f>
        <v/>
      </c>
      <c r="K241" s="5">
        <f>I241*J241</f>
        <v/>
      </c>
      <c r="L241" s="4">
        <f>IF(U241&lt;&gt;"",U241,IF(K241&gt;=Umbrales!$B$2,"Legendaria",IF(K241&gt;=Umbrales!$B$3,"Épica",IF(K241&gt;=Umbrales!$B$4,"Rara",IF(K241&gt;=Umbrales!$B$5,"Poco común","Común")))))</f>
        <v/>
      </c>
      <c r="M241" s="5" t="n">
        <v>24995.00032</v>
      </c>
      <c r="N241" s="5" t="n">
        <v>2180</v>
      </c>
      <c r="O241" s="5">
        <f>IF(M241="","",M241*J241)</f>
        <v/>
      </c>
      <c r="P241" s="5">
        <f>IF(N241="","",N241*J241)</f>
        <v/>
      </c>
      <c r="Q241" s="7" t="n">
        <v>0.0102</v>
      </c>
      <c r="R241" s="8" t="n">
        <v>42.28116</v>
      </c>
      <c r="S241" s="4" t="inlineStr">
        <is>
          <t>SP500</t>
        </is>
      </c>
      <c r="T241" s="9" t="inlineStr">
        <is>
          <t>SI</t>
        </is>
      </c>
      <c r="U241" s="9" t="inlineStr"/>
      <c r="V241" s="10">
        <f>Umbrales!$B$9*(K241/1000)^Umbrales!$B$10</f>
        <v/>
      </c>
    </row>
    <row r="242">
      <c r="A242" s="4" t="inlineStr">
        <is>
          <t>APP</t>
        </is>
      </c>
      <c r="B242" s="4" t="inlineStr">
        <is>
          <t>AppLovin Corporation</t>
        </is>
      </c>
      <c r="C242" s="4" t="inlineStr">
        <is>
          <t>United States</t>
        </is>
      </c>
      <c r="D242" s="4" t="inlineStr">
        <is>
          <t>US</t>
        </is>
      </c>
      <c r="E242" s="4" t="inlineStr">
        <is>
          <t>Comunicación</t>
        </is>
      </c>
      <c r="F242" s="4" t="inlineStr">
        <is>
          <t>Advertising Agencies</t>
        </is>
      </c>
      <c r="G242" s="4" t="inlineStr">
        <is>
          <t>NMS</t>
        </is>
      </c>
      <c r="H242" s="4" t="inlineStr">
        <is>
          <t>USD</t>
        </is>
      </c>
      <c r="I242" s="5" t="n">
        <v>87742.021632</v>
      </c>
      <c r="J242" s="6">
        <f>INDEX(FX!$B:$B,MATCH(H242,FX!$A:$A,0))</f>
        <v/>
      </c>
      <c r="K242" s="5">
        <f>I242*J242</f>
        <v/>
      </c>
      <c r="L242" s="4">
        <f>IF(U242&lt;&gt;"",U242,IF(K242&gt;=Umbrales!$B$2,"Legendaria",IF(K242&gt;=Umbrales!$B$3,"Épica",IF(K242&gt;=Umbrales!$B$4,"Rara",IF(K242&gt;=Umbrales!$B$5,"Poco común","Común")))))</f>
        <v/>
      </c>
      <c r="M242" s="5" t="n">
        <v>6829.124096</v>
      </c>
      <c r="N242" s="5" t="n">
        <v>4409.847808</v>
      </c>
      <c r="O242" s="5">
        <f>IF(M242="","",M242*J242)</f>
        <v/>
      </c>
      <c r="P242" s="5">
        <f>IF(N242="","",N242*J242)</f>
        <v/>
      </c>
      <c r="Q242" s="7" t="n">
        <v>0</v>
      </c>
      <c r="R242" s="8" t="n">
        <v>20.92498</v>
      </c>
      <c r="S242" s="4" t="inlineStr">
        <is>
          <t>NASDAQ100, SP500</t>
        </is>
      </c>
      <c r="T242" s="9" t="inlineStr">
        <is>
          <t>SI</t>
        </is>
      </c>
      <c r="U242" s="9" t="inlineStr"/>
      <c r="V242" s="10">
        <f>Umbrales!$B$9*(K242/1000)^Umbrales!$B$10</f>
        <v/>
      </c>
    </row>
    <row r="243">
      <c r="A243" s="4" t="inlineStr">
        <is>
          <t>USB</t>
        </is>
      </c>
      <c r="B243" s="4" t="inlineStr">
        <is>
          <t>U.S. Bancorp</t>
        </is>
      </c>
      <c r="C243" s="4" t="inlineStr">
        <is>
          <t>United States</t>
        </is>
      </c>
      <c r="D243" s="4" t="inlineStr">
        <is>
          <t>US</t>
        </is>
      </c>
      <c r="E243" s="4" t="inlineStr">
        <is>
          <t>Finanzas</t>
        </is>
      </c>
      <c r="F243" s="4" t="inlineStr">
        <is>
          <t>Banks - Regional</t>
        </is>
      </c>
      <c r="G243" s="4" t="inlineStr">
        <is>
          <t>NYQ</t>
        </is>
      </c>
      <c r="H243" s="4" t="inlineStr">
        <is>
          <t>USD</t>
        </is>
      </c>
      <c r="I243" s="5" t="n">
        <v>87655.972864</v>
      </c>
      <c r="J243" s="6">
        <f>INDEX(FX!$B:$B,MATCH(H243,FX!$A:$A,0))</f>
        <v/>
      </c>
      <c r="K243" s="5">
        <f>I243*J243</f>
        <v/>
      </c>
      <c r="L243" s="4">
        <f>IF(U243&lt;&gt;"",U243,IF(K243&gt;=Umbrales!$B$2,"Legendaria",IF(K243&gt;=Umbrales!$B$3,"Épica",IF(K243&gt;=Umbrales!$B$4,"Rara",IF(K243&gt;=Umbrales!$B$5,"Poco común","Común")))))</f>
        <v/>
      </c>
      <c r="M243" s="5" t="n">
        <v>27320.999936</v>
      </c>
      <c r="N243" s="5" t="n">
        <v>7797.000192</v>
      </c>
      <c r="O243" s="5">
        <f>IF(M243="","",M243*J243)</f>
        <v/>
      </c>
      <c r="P243" s="5">
        <f>IF(N243="","",N243*J243)</f>
        <v/>
      </c>
      <c r="Q243" s="7" t="n">
        <v>0.038</v>
      </c>
      <c r="R243" s="8" t="n">
        <v>11.365657</v>
      </c>
      <c r="S243" s="4" t="inlineStr">
        <is>
          <t>SP500</t>
        </is>
      </c>
      <c r="T243" s="9" t="inlineStr">
        <is>
          <t>SI</t>
        </is>
      </c>
      <c r="U243" s="9" t="inlineStr"/>
      <c r="V243" s="10">
        <f>Umbrales!$B$9*(K243/1000)^Umbrales!$B$10</f>
        <v/>
      </c>
    </row>
    <row r="244">
      <c r="A244" s="4" t="inlineStr">
        <is>
          <t>2628.HK</t>
        </is>
      </c>
      <c r="B244" s="4" t="inlineStr">
        <is>
          <t>China Life Insurance Company Limited</t>
        </is>
      </c>
      <c r="C244" s="4" t="inlineStr">
        <is>
          <t>China</t>
        </is>
      </c>
      <c r="D244" s="4" t="inlineStr">
        <is>
          <t>CN</t>
        </is>
      </c>
      <c r="E244" s="4" t="inlineStr">
        <is>
          <t>Finanzas</t>
        </is>
      </c>
      <c r="F244" s="4" t="inlineStr">
        <is>
          <t>Insurance - Life</t>
        </is>
      </c>
      <c r="G244" s="4" t="inlineStr">
        <is>
          <t>HKG</t>
        </is>
      </c>
      <c r="H244" s="4" t="inlineStr">
        <is>
          <t>HKD</t>
        </is>
      </c>
      <c r="I244" s="5" t="n">
        <v>687397.6012799999</v>
      </c>
      <c r="J244" s="6">
        <f>INDEX(FX!$B:$B,MATCH(H244,FX!$A:$A,0))</f>
        <v/>
      </c>
      <c r="K244" s="5">
        <f>I244*J244</f>
        <v/>
      </c>
      <c r="L244" s="4">
        <f>IF(U244&lt;&gt;"",U244,IF(K244&gt;=Umbrales!$B$2,"Legendaria",IF(K244&gt;=Umbrales!$B$3,"Épica",IF(K244&gt;=Umbrales!$B$4,"Rara",IF(K244&gt;=Umbrales!$B$5,"Poco común","Común")))))</f>
        <v/>
      </c>
      <c r="M244" s="5" t="n">
        <v>456933.998592</v>
      </c>
      <c r="N244" s="5" t="n">
        <v>247636.000768</v>
      </c>
      <c r="O244" s="5">
        <f>IF(M244="","",M244*J244)</f>
        <v/>
      </c>
      <c r="P244" s="5">
        <f>IF(N244="","",N244*J244)</f>
        <v/>
      </c>
      <c r="Q244" s="7" t="n">
        <v>0.0452</v>
      </c>
      <c r="R244" s="8" t="n">
        <v>2.4867077</v>
      </c>
      <c r="S244" s="4" t="inlineStr">
        <is>
          <t>HANGSENG</t>
        </is>
      </c>
      <c r="T244" s="9" t="inlineStr">
        <is>
          <t>SI</t>
        </is>
      </c>
      <c r="U244" s="9" t="inlineStr"/>
      <c r="V244" s="10">
        <f>Umbrales!$B$9*(K244/1000)^Umbrales!$B$10</f>
        <v/>
      </c>
    </row>
    <row r="245">
      <c r="A245" s="4" t="inlineStr">
        <is>
          <t>GLEN.L</t>
        </is>
      </c>
      <c r="B245" s="4" t="inlineStr">
        <is>
          <t>Glencore plc</t>
        </is>
      </c>
      <c r="C245" s="4" t="inlineStr">
        <is>
          <t>Switzerland</t>
        </is>
      </c>
      <c r="D245" s="4" t="inlineStr">
        <is>
          <t>CH</t>
        </is>
      </c>
      <c r="E245" s="4" t="inlineStr">
        <is>
          <t>Materiales</t>
        </is>
      </c>
      <c r="F245" s="4" t="inlineStr">
        <is>
          <t>Other Industrial Metals &amp; Mining</t>
        </is>
      </c>
      <c r="G245" s="4" t="inlineStr">
        <is>
          <t>LSE</t>
        </is>
      </c>
      <c r="H245" s="4" t="inlineStr">
        <is>
          <t>GBP</t>
        </is>
      </c>
      <c r="I245" s="5" t="n">
        <v>65908.789248</v>
      </c>
      <c r="J245" s="6">
        <f>INDEX(FX!$B:$B,MATCH(H245,FX!$A:$A,0))</f>
        <v/>
      </c>
      <c r="K245" s="5">
        <f>I245*J245</f>
        <v/>
      </c>
      <c r="L245" s="4">
        <f>IF(U245&lt;&gt;"",U245,IF(K245&gt;=Umbrales!$B$2,"Legendaria",IF(K245&gt;=Umbrales!$B$3,"Épica",IF(K245&gt;=Umbrales!$B$4,"Rara",IF(K245&gt;=Umbrales!$B$5,"Poco común","Común")))))</f>
        <v/>
      </c>
      <c r="M245" s="5" t="n">
        <v>304568.991744</v>
      </c>
      <c r="N245" s="5" t="n">
        <v>5423.000064</v>
      </c>
      <c r="O245" s="5">
        <f>IF(M245="","",M245*J245)</f>
        <v/>
      </c>
      <c r="P245" s="5">
        <f>IF(N245="","",N245*J245)</f>
        <v/>
      </c>
      <c r="Q245" s="7" t="n">
        <v>0.0216</v>
      </c>
      <c r="R245" s="8" t="n">
        <v>16.535295</v>
      </c>
      <c r="S245" s="4" t="inlineStr">
        <is>
          <t>FTSE100, UK_TOP</t>
        </is>
      </c>
      <c r="T245" s="9" t="inlineStr">
        <is>
          <t>SI</t>
        </is>
      </c>
      <c r="U245" s="9" t="inlineStr"/>
      <c r="V245" s="10">
        <f>Umbrales!$B$9*(K245/1000)^Umbrales!$B$10</f>
        <v/>
      </c>
    </row>
    <row r="246">
      <c r="A246" s="4" t="inlineStr">
        <is>
          <t>ICE</t>
        </is>
      </c>
      <c r="B246" s="4" t="inlineStr">
        <is>
          <t>Intercontinental Exchange, Inc.</t>
        </is>
      </c>
      <c r="C246" s="4" t="inlineStr">
        <is>
          <t>United States</t>
        </is>
      </c>
      <c r="D246" s="4" t="inlineStr">
        <is>
          <t>US</t>
        </is>
      </c>
      <c r="E246" s="4" t="inlineStr">
        <is>
          <t>Finanzas</t>
        </is>
      </c>
      <c r="F246" s="4" t="inlineStr">
        <is>
          <t>Financial Data &amp; Stock Exchanges</t>
        </is>
      </c>
      <c r="G246" s="4" t="inlineStr">
        <is>
          <t>NYQ</t>
        </is>
      </c>
      <c r="H246" s="4" t="inlineStr">
        <is>
          <t>USD</t>
        </is>
      </c>
      <c r="I246" s="5" t="n">
        <v>87077.90438399999</v>
      </c>
      <c r="J246" s="6">
        <f>INDEX(FX!$B:$B,MATCH(H246,FX!$A:$A,0))</f>
        <v/>
      </c>
      <c r="K246" s="5">
        <f>I246*J246</f>
        <v/>
      </c>
      <c r="L246" s="4">
        <f>IF(U246&lt;&gt;"",U246,IF(K246&gt;=Umbrales!$B$2,"Legendaria",IF(K246&gt;=Umbrales!$B$3,"Épica",IF(K246&gt;=Umbrales!$B$4,"Rara",IF(K246&gt;=Umbrales!$B$5,"Poco común","Común")))))</f>
        <v/>
      </c>
      <c r="M246" s="5" t="n">
        <v>10558.000128</v>
      </c>
      <c r="N246" s="5" t="n">
        <v>4038.000128</v>
      </c>
      <c r="O246" s="5">
        <f>IF(M246="","",M246*J246)</f>
        <v/>
      </c>
      <c r="P246" s="5">
        <f>IF(N246="","",N246*J246)</f>
        <v/>
      </c>
      <c r="Q246" s="7" t="n">
        <v>0.0133</v>
      </c>
      <c r="R246" s="8" t="n">
        <v>22.06401</v>
      </c>
      <c r="S246" s="4" t="inlineStr">
        <is>
          <t>SP500</t>
        </is>
      </c>
      <c r="T246" s="9" t="inlineStr">
        <is>
          <t>SI</t>
        </is>
      </c>
      <c r="U246" s="9" t="inlineStr"/>
      <c r="V246" s="10">
        <f>Umbrales!$B$9*(K246/1000)^Umbrales!$B$10</f>
        <v/>
      </c>
    </row>
    <row r="247">
      <c r="A247" s="4" t="inlineStr">
        <is>
          <t>MNST</t>
        </is>
      </c>
      <c r="B247" s="4" t="inlineStr">
        <is>
          <t>Monster Beverage Corporation</t>
        </is>
      </c>
      <c r="C247" s="4" t="inlineStr">
        <is>
          <t>United States</t>
        </is>
      </c>
      <c r="D247" s="4" t="inlineStr">
        <is>
          <t>US</t>
        </is>
      </c>
      <c r="E247" s="4" t="inlineStr">
        <is>
          <t>Consumo básico</t>
        </is>
      </c>
      <c r="F247" s="4" t="inlineStr">
        <is>
          <t>Beverages - Non-Alcoholic</t>
        </is>
      </c>
      <c r="G247" s="4" t="inlineStr">
        <is>
          <t>NMS</t>
        </is>
      </c>
      <c r="H247" s="4" t="inlineStr">
        <is>
          <t>USD</t>
        </is>
      </c>
      <c r="I247" s="5" t="n">
        <v>86629.269504</v>
      </c>
      <c r="J247" s="6">
        <f>INDEX(FX!$B:$B,MATCH(H247,FX!$A:$A,0))</f>
        <v/>
      </c>
      <c r="K247" s="5">
        <f>I247*J247</f>
        <v/>
      </c>
      <c r="L247" s="4">
        <f>IF(U247&lt;&gt;"",U247,IF(K247&gt;=Umbrales!$B$2,"Legendaria",IF(K247&gt;=Umbrales!$B$3,"Épica",IF(K247&gt;=Umbrales!$B$4,"Rara",IF(K247&gt;=Umbrales!$B$5,"Poco común","Común")))))</f>
        <v/>
      </c>
      <c r="M247" s="5" t="n">
        <v>9218.957312</v>
      </c>
      <c r="N247" s="5" t="n">
        <v>2127.670016</v>
      </c>
      <c r="O247" s="5">
        <f>IF(M247="","",M247*J247)</f>
        <v/>
      </c>
      <c r="P247" s="5">
        <f>IF(N247="","",N247*J247)</f>
        <v/>
      </c>
      <c r="Q247" s="7" t="n">
        <v>0</v>
      </c>
      <c r="R247" s="8" t="n">
        <v>40.944443</v>
      </c>
      <c r="S247" s="4" t="inlineStr">
        <is>
          <t>NASDAQ100, SP500</t>
        </is>
      </c>
      <c r="T247" s="9" t="inlineStr">
        <is>
          <t>SI</t>
        </is>
      </c>
      <c r="U247" s="9" t="inlineStr"/>
      <c r="V247" s="10">
        <f>Umbrales!$B$9*(K247/1000)^Umbrales!$B$10</f>
        <v/>
      </c>
    </row>
    <row r="248">
      <c r="A248" s="4" t="inlineStr">
        <is>
          <t>HWM</t>
        </is>
      </c>
      <c r="B248" s="4" t="inlineStr">
        <is>
          <t>Howmet Aerospace Inc.</t>
        </is>
      </c>
      <c r="C248" s="4" t="inlineStr">
        <is>
          <t>United States</t>
        </is>
      </c>
      <c r="D248" s="4" t="inlineStr">
        <is>
          <t>US</t>
        </is>
      </c>
      <c r="E248" s="4" t="inlineStr">
        <is>
          <t>Industria</t>
        </is>
      </c>
      <c r="F248" s="4" t="inlineStr">
        <is>
          <t>Aerospace &amp; Defense</t>
        </is>
      </c>
      <c r="G248" s="4" t="inlineStr">
        <is>
          <t>NYQ</t>
        </is>
      </c>
      <c r="H248" s="4" t="inlineStr">
        <is>
          <t>USD</t>
        </is>
      </c>
      <c r="I248" s="5" t="n">
        <v>86340.501504</v>
      </c>
      <c r="J248" s="6">
        <f>INDEX(FX!$B:$B,MATCH(H248,FX!$A:$A,0))</f>
        <v/>
      </c>
      <c r="K248" s="5">
        <f>I248*J248</f>
        <v/>
      </c>
      <c r="L248" s="4">
        <f>IF(U248&lt;&gt;"",U248,IF(K248&gt;=Umbrales!$B$2,"Legendaria",IF(K248&gt;=Umbrales!$B$3,"Épica",IF(K248&gt;=Umbrales!$B$4,"Rara",IF(K248&gt;=Umbrales!$B$5,"Poco común","Común")))))</f>
        <v/>
      </c>
      <c r="M248" s="5" t="n">
        <v>9116.999680000001</v>
      </c>
      <c r="N248" s="5" t="n">
        <v>1870</v>
      </c>
      <c r="O248" s="5">
        <f>IF(M248="","",M248*J248)</f>
        <v/>
      </c>
      <c r="P248" s="5">
        <f>IF(N248="","",N248*J248)</f>
        <v/>
      </c>
      <c r="Q248" s="7" t="n">
        <v>0.0026</v>
      </c>
      <c r="R248" s="8" t="n">
        <v>46.55914</v>
      </c>
      <c r="S248" s="4" t="inlineStr">
        <is>
          <t>SP500</t>
        </is>
      </c>
      <c r="T248" s="9" t="inlineStr">
        <is>
          <t>SI</t>
        </is>
      </c>
      <c r="U248" s="9" t="inlineStr"/>
      <c r="V248" s="10">
        <f>Umbrales!$B$9*(K248/1000)^Umbrales!$B$10</f>
        <v/>
      </c>
    </row>
    <row r="249">
      <c r="A249" s="4" t="inlineStr">
        <is>
          <t>WM</t>
        </is>
      </c>
      <c r="B249" s="4" t="inlineStr">
        <is>
          <t>Waste Management, Inc.</t>
        </is>
      </c>
      <c r="C249" s="4" t="inlineStr">
        <is>
          <t>United States</t>
        </is>
      </c>
      <c r="D249" s="4" t="inlineStr">
        <is>
          <t>US</t>
        </is>
      </c>
      <c r="E249" s="4" t="inlineStr">
        <is>
          <t>Industria</t>
        </is>
      </c>
      <c r="F249" s="4" t="inlineStr">
        <is>
          <t>Waste Management</t>
        </is>
      </c>
      <c r="G249" s="4" t="inlineStr">
        <is>
          <t>NYQ</t>
        </is>
      </c>
      <c r="H249" s="4" t="inlineStr">
        <is>
          <t>USD</t>
        </is>
      </c>
      <c r="I249" s="5" t="n">
        <v>86238.552064</v>
      </c>
      <c r="J249" s="6">
        <f>INDEX(FX!$B:$B,MATCH(H249,FX!$A:$A,0))</f>
        <v/>
      </c>
      <c r="K249" s="5">
        <f>I249*J249</f>
        <v/>
      </c>
      <c r="L249" s="4">
        <f>IF(U249&lt;&gt;"",U249,IF(K249&gt;=Umbrales!$B$2,"Legendaria",IF(K249&gt;=Umbrales!$B$3,"Épica",IF(K249&gt;=Umbrales!$B$4,"Rara",IF(K249&gt;=Umbrales!$B$5,"Poco común","Común")))))</f>
        <v/>
      </c>
      <c r="M249" s="5" t="n">
        <v>25667.00032</v>
      </c>
      <c r="N249" s="5" t="n">
        <v>2852.999936</v>
      </c>
      <c r="O249" s="5">
        <f>IF(M249="","",M249*J249)</f>
        <v/>
      </c>
      <c r="P249" s="5">
        <f>IF(N249="","",N249*J249)</f>
        <v/>
      </c>
      <c r="Q249" s="7" t="n">
        <v>0.0178</v>
      </c>
      <c r="R249" s="8" t="n">
        <v>30.006954</v>
      </c>
      <c r="S249" s="4" t="inlineStr">
        <is>
          <t>SP500</t>
        </is>
      </c>
      <c r="T249" s="9" t="inlineStr">
        <is>
          <t>SI</t>
        </is>
      </c>
      <c r="U249" s="9" t="inlineStr"/>
      <c r="V249" s="10">
        <f>Umbrales!$B$9*(K249/1000)^Umbrales!$B$10</f>
        <v/>
      </c>
    </row>
    <row r="250">
      <c r="A250" s="4" t="inlineStr">
        <is>
          <t>PNC</t>
        </is>
      </c>
      <c r="B250" s="4" t="inlineStr">
        <is>
          <t>The PNC Financial Services Group, Inc.</t>
        </is>
      </c>
      <c r="C250" s="4" t="inlineStr">
        <is>
          <t>United States</t>
        </is>
      </c>
      <c r="D250" s="4" t="inlineStr">
        <is>
          <t>US</t>
        </is>
      </c>
      <c r="E250" s="4" t="inlineStr">
        <is>
          <t>Finanzas</t>
        </is>
      </c>
      <c r="F250" s="4" t="inlineStr">
        <is>
          <t>Banks - Regional</t>
        </is>
      </c>
      <c r="G250" s="4" t="inlineStr">
        <is>
          <t>NYQ</t>
        </is>
      </c>
      <c r="H250" s="4" t="inlineStr">
        <is>
          <t>USD</t>
        </is>
      </c>
      <c r="I250" s="5" t="n">
        <v>86092.046336</v>
      </c>
      <c r="J250" s="6">
        <f>INDEX(FX!$B:$B,MATCH(H250,FX!$A:$A,0))</f>
        <v/>
      </c>
      <c r="K250" s="5">
        <f>I250*J250</f>
        <v/>
      </c>
      <c r="L250" s="4">
        <f>IF(U250&lt;&gt;"",U250,IF(K250&gt;=Umbrales!$B$2,"Legendaria",IF(K250&gt;=Umbrales!$B$3,"Épica",IF(K250&gt;=Umbrales!$B$4,"Rara",IF(K250&gt;=Umbrales!$B$5,"Poco común","Común")))))</f>
        <v/>
      </c>
      <c r="M250" s="5" t="n">
        <v>24319.000576</v>
      </c>
      <c r="N250" s="5" t="n">
        <v>7261.000192</v>
      </c>
      <c r="O250" s="5">
        <f>IF(M250="","",M250*J250)</f>
        <v/>
      </c>
      <c r="P250" s="5">
        <f>IF(N250="","",N250*J250)</f>
        <v/>
      </c>
      <c r="Q250" s="7" t="n">
        <v>0.0365</v>
      </c>
      <c r="R250" s="8" t="n">
        <v>11.995553</v>
      </c>
      <c r="S250" s="4" t="inlineStr">
        <is>
          <t>SP500</t>
        </is>
      </c>
      <c r="T250" s="9" t="inlineStr">
        <is>
          <t>SI</t>
        </is>
      </c>
      <c r="U250" s="9" t="inlineStr"/>
      <c r="V250" s="10">
        <f>Umbrales!$B$9*(K250/1000)^Umbrales!$B$10</f>
        <v/>
      </c>
    </row>
    <row r="251">
      <c r="A251" s="4" t="inlineStr">
        <is>
          <t>WMB</t>
        </is>
      </c>
      <c r="B251" s="4" t="inlineStr">
        <is>
          <t>The Williams Companies, Inc.</t>
        </is>
      </c>
      <c r="C251" s="4" t="inlineStr">
        <is>
          <t>United States</t>
        </is>
      </c>
      <c r="D251" s="4" t="inlineStr">
        <is>
          <t>US</t>
        </is>
      </c>
      <c r="E251" s="4" t="inlineStr">
        <is>
          <t>Energía</t>
        </is>
      </c>
      <c r="F251" s="4" t="inlineStr">
        <is>
          <t>Oil &amp; Gas Midstream</t>
        </is>
      </c>
      <c r="G251" s="4" t="inlineStr">
        <is>
          <t>NYQ</t>
        </is>
      </c>
      <c r="H251" s="4" t="inlineStr">
        <is>
          <t>USD</t>
        </is>
      </c>
      <c r="I251" s="5" t="n">
        <v>85658.4192</v>
      </c>
      <c r="J251" s="6">
        <f>INDEX(FX!$B:$B,MATCH(H251,FX!$A:$A,0))</f>
        <v/>
      </c>
      <c r="K251" s="5">
        <f>I251*J251</f>
        <v/>
      </c>
      <c r="L251" s="4">
        <f>IF(U251&lt;&gt;"",U251,IF(K251&gt;=Umbrales!$B$2,"Legendaria",IF(K251&gt;=Umbrales!$B$3,"Épica",IF(K251&gt;=Umbrales!$B$4,"Rara",IF(K251&gt;=Umbrales!$B$5,"Poco común","Común")))))</f>
        <v/>
      </c>
      <c r="M251" s="5" t="n">
        <v>12323.00032</v>
      </c>
      <c r="N251" s="5" t="n">
        <v>3070.000128</v>
      </c>
      <c r="O251" s="5">
        <f>IF(M251="","",M251*J251)</f>
        <v/>
      </c>
      <c r="P251" s="5">
        <f>IF(N251="","",N251*J251)</f>
        <v/>
      </c>
      <c r="Q251" s="7" t="n">
        <v>0.0282</v>
      </c>
      <c r="R251" s="8" t="n">
        <v>28.583672</v>
      </c>
      <c r="S251" s="4" t="inlineStr">
        <is>
          <t>SP500</t>
        </is>
      </c>
      <c r="T251" s="9" t="inlineStr">
        <is>
          <t>SI</t>
        </is>
      </c>
      <c r="U251" s="9" t="inlineStr"/>
      <c r="V251" s="10">
        <f>Umbrales!$B$9*(K251/1000)^Umbrales!$B$10</f>
        <v/>
      </c>
    </row>
    <row r="252">
      <c r="A252" s="4" t="inlineStr">
        <is>
          <t>AMT</t>
        </is>
      </c>
      <c r="B252" s="4" t="inlineStr">
        <is>
          <t>American Tower Corporation</t>
        </is>
      </c>
      <c r="C252" s="4" t="inlineStr">
        <is>
          <t>United States</t>
        </is>
      </c>
      <c r="D252" s="4" t="inlineStr">
        <is>
          <t>US</t>
        </is>
      </c>
      <c r="E252" s="4" t="inlineStr">
        <is>
          <t>Inmobiliario</t>
        </is>
      </c>
      <c r="F252" s="4" t="inlineStr">
        <is>
          <t>REIT - Specialty</t>
        </is>
      </c>
      <c r="G252" s="4" t="inlineStr">
        <is>
          <t>NYQ</t>
        </is>
      </c>
      <c r="H252" s="4" t="inlineStr">
        <is>
          <t>USD</t>
        </is>
      </c>
      <c r="I252" s="5" t="n">
        <v>85501.3376</v>
      </c>
      <c r="J252" s="6">
        <f>INDEX(FX!$B:$B,MATCH(H252,FX!$A:$A,0))</f>
        <v/>
      </c>
      <c r="K252" s="5">
        <f>I252*J252</f>
        <v/>
      </c>
      <c r="L252" s="4">
        <f>IF(U252&lt;&gt;"",U252,IF(K252&gt;=Umbrales!$B$2,"Legendaria",IF(K252&gt;=Umbrales!$B$3,"Épica",IF(K252&gt;=Umbrales!$B$4,"Rara",IF(K252&gt;=Umbrales!$B$5,"Poco común","Común")))))</f>
        <v/>
      </c>
      <c r="M252" s="5" t="n">
        <v>10941.500416</v>
      </c>
      <c r="N252" s="5" t="n">
        <v>3400.999936</v>
      </c>
      <c r="O252" s="5">
        <f>IF(M252="","",M252*J252)</f>
        <v/>
      </c>
      <c r="P252" s="5">
        <f>IF(N252="","",N252*J252)</f>
        <v/>
      </c>
      <c r="Q252" s="7" t="n">
        <v>0.0399</v>
      </c>
      <c r="R252" s="8" t="n">
        <v>25.240026</v>
      </c>
      <c r="S252" s="4" t="inlineStr">
        <is>
          <t>SP500</t>
        </is>
      </c>
      <c r="T252" s="9" t="inlineStr">
        <is>
          <t>SI</t>
        </is>
      </c>
      <c r="U252" s="9" t="inlineStr"/>
      <c r="V252" s="10">
        <f>Umbrales!$B$9*(K252/1000)^Umbrales!$B$10</f>
        <v/>
      </c>
    </row>
    <row r="253">
      <c r="A253" s="4" t="inlineStr">
        <is>
          <t>MMM</t>
        </is>
      </c>
      <c r="B253" s="4" t="inlineStr">
        <is>
          <t>3M Company</t>
        </is>
      </c>
      <c r="C253" s="4" t="inlineStr">
        <is>
          <t>United States</t>
        </is>
      </c>
      <c r="D253" s="4" t="inlineStr">
        <is>
          <t>US</t>
        </is>
      </c>
      <c r="E253" s="4" t="inlineStr">
        <is>
          <t>Industria</t>
        </is>
      </c>
      <c r="F253" s="4" t="inlineStr">
        <is>
          <t>Conglomerates</t>
        </is>
      </c>
      <c r="G253" s="4" t="inlineStr">
        <is>
          <t>NYQ</t>
        </is>
      </c>
      <c r="H253" s="4" t="inlineStr">
        <is>
          <t>USD</t>
        </is>
      </c>
      <c r="I253" s="5" t="n">
        <v>84815.716352</v>
      </c>
      <c r="J253" s="6">
        <f>INDEX(FX!$B:$B,MATCH(H253,FX!$A:$A,0))</f>
        <v/>
      </c>
      <c r="K253" s="5">
        <f>I253*J253</f>
        <v/>
      </c>
      <c r="L253" s="4">
        <f>IF(U253&lt;&gt;"",U253,IF(K253&gt;=Umbrales!$B$2,"Legendaria",IF(K253&gt;=Umbrales!$B$3,"Épica",IF(K253&gt;=Umbrales!$B$4,"Rara",IF(K253&gt;=Umbrales!$B$5,"Poco común","Común")))))</f>
        <v/>
      </c>
      <c r="M253" s="5" t="n">
        <v>25180.000256</v>
      </c>
      <c r="N253" s="5" t="n">
        <v>2996.999936</v>
      </c>
      <c r="O253" s="5">
        <f>IF(M253="","",M253*J253)</f>
        <v/>
      </c>
      <c r="P253" s="5">
        <f>IF(N253="","",N253*J253)</f>
        <v/>
      </c>
      <c r="Q253" s="7" t="n">
        <v>0.0192</v>
      </c>
      <c r="R253" s="8" t="n">
        <v>28.90334</v>
      </c>
      <c r="S253" s="4" t="inlineStr">
        <is>
          <t>DOW30, SP500</t>
        </is>
      </c>
      <c r="T253" s="9" t="inlineStr">
        <is>
          <t>SI</t>
        </is>
      </c>
      <c r="U253" s="9" t="inlineStr"/>
      <c r="V253" s="10">
        <f>Umbrales!$B$9*(K253/1000)^Umbrales!$B$10</f>
        <v/>
      </c>
    </row>
    <row r="254">
      <c r="A254" s="4" t="inlineStr">
        <is>
          <t>1211.HK</t>
        </is>
      </c>
      <c r="B254" s="4" t="inlineStr">
        <is>
          <t>BYD Company Limited</t>
        </is>
      </c>
      <c r="C254" s="4" t="inlineStr">
        <is>
          <t>China</t>
        </is>
      </c>
      <c r="D254" s="4" t="inlineStr">
        <is>
          <t>CN</t>
        </is>
      </c>
      <c r="E254" s="4" t="inlineStr">
        <is>
          <t>Consumo cíclico</t>
        </is>
      </c>
      <c r="F254" s="4" t="inlineStr">
        <is>
          <t>Auto Manufacturers</t>
        </is>
      </c>
      <c r="G254" s="4" t="inlineStr">
        <is>
          <t>HKG</t>
        </is>
      </c>
      <c r="H254" s="4" t="inlineStr">
        <is>
          <t>HKD</t>
        </is>
      </c>
      <c r="I254" s="5" t="n">
        <v>665099.5015679999</v>
      </c>
      <c r="J254" s="6">
        <f>INDEX(FX!$B:$B,MATCH(H254,FX!$A:$A,0))</f>
        <v/>
      </c>
      <c r="K254" s="5">
        <f>I254*J254</f>
        <v/>
      </c>
      <c r="L254" s="4">
        <f>IF(U254&lt;&gt;"",U254,IF(K254&gt;=Umbrales!$B$2,"Legendaria",IF(K254&gt;=Umbrales!$B$3,"Épica",IF(K254&gt;=Umbrales!$B$4,"Rara",IF(K254&gt;=Umbrales!$B$5,"Poco común","Común")))))</f>
        <v/>
      </c>
      <c r="M254" s="5" t="n">
        <v>777499.4432</v>
      </c>
      <c r="N254" s="5" t="n">
        <v>29310.240768</v>
      </c>
      <c r="O254" s="5">
        <f>IF(M254="","",M254*J254)</f>
        <v/>
      </c>
      <c r="P254" s="5">
        <f>IF(N254="","",N254*J254)</f>
        <v/>
      </c>
      <c r="Q254" s="7" t="n">
        <v>0.005600000000000001</v>
      </c>
      <c r="R254" s="8" t="n">
        <v>20.320333</v>
      </c>
      <c r="S254" s="4" t="inlineStr">
        <is>
          <t>HANGSENG</t>
        </is>
      </c>
      <c r="T254" s="9" t="inlineStr">
        <is>
          <t>SI</t>
        </is>
      </c>
      <c r="U254" s="9" t="inlineStr"/>
      <c r="V254" s="10">
        <f>Umbrales!$B$9*(K254/1000)^Umbrales!$B$10</f>
        <v/>
      </c>
    </row>
    <row r="255">
      <c r="A255" s="4" t="inlineStr">
        <is>
          <t>WBC.AX</t>
        </is>
      </c>
      <c r="B255" s="4" t="inlineStr">
        <is>
          <t>Westpac Banking Corporation</t>
        </is>
      </c>
      <c r="C255" s="4" t="inlineStr">
        <is>
          <t>Australia</t>
        </is>
      </c>
      <c r="D255" s="4" t="inlineStr">
        <is>
          <t>AU</t>
        </is>
      </c>
      <c r="E255" s="4" t="inlineStr">
        <is>
          <t>Finanzas</t>
        </is>
      </c>
      <c r="F255" s="4" t="inlineStr">
        <is>
          <t>Banks - Diversified</t>
        </is>
      </c>
      <c r="G255" s="4" t="inlineStr">
        <is>
          <t>ASX</t>
        </is>
      </c>
      <c r="H255" s="4" t="inlineStr">
        <is>
          <t>AUD</t>
        </is>
      </c>
      <c r="I255" s="5" t="n">
        <v>121946.341376</v>
      </c>
      <c r="J255" s="6">
        <f>INDEX(FX!$B:$B,MATCH(H255,FX!$A:$A,0))</f>
        <v/>
      </c>
      <c r="K255" s="5">
        <f>I255*J255</f>
        <v/>
      </c>
      <c r="L255" s="4">
        <f>IF(U255&lt;&gt;"",U255,IF(K255&gt;=Umbrales!$B$2,"Legendaria",IF(K255&gt;=Umbrales!$B$3,"Épica",IF(K255&gt;=Umbrales!$B$4,"Rara",IF(K255&gt;=Umbrales!$B$5,"Poco común","Común")))))</f>
        <v/>
      </c>
      <c r="M255" s="5" t="n">
        <v>22267.000832</v>
      </c>
      <c r="N255" s="5" t="n">
        <v>7007.000064</v>
      </c>
      <c r="O255" s="5">
        <f>IF(M255="","",M255*J255)</f>
        <v/>
      </c>
      <c r="P255" s="5">
        <f>IF(N255="","",N255*J255)</f>
        <v/>
      </c>
      <c r="Q255" s="7" t="n">
        <v>0.0444</v>
      </c>
      <c r="R255" s="8" t="n">
        <v>17.086124</v>
      </c>
      <c r="S255" s="4" t="inlineStr">
        <is>
          <t>ASX50</t>
        </is>
      </c>
      <c r="T255" s="9" t="inlineStr">
        <is>
          <t>SI</t>
        </is>
      </c>
      <c r="U255" s="9" t="inlineStr"/>
      <c r="V255" s="10">
        <f>Umbrales!$B$9*(K255/1000)^Umbrales!$B$10</f>
        <v/>
      </c>
    </row>
    <row r="256">
      <c r="A256" s="4" t="inlineStr">
        <is>
          <t>NAB.AX</t>
        </is>
      </c>
      <c r="B256" s="4" t="inlineStr">
        <is>
          <t>National Australia Bank Limited</t>
        </is>
      </c>
      <c r="C256" s="4" t="inlineStr">
        <is>
          <t>Australia</t>
        </is>
      </c>
      <c r="D256" s="4" t="inlineStr">
        <is>
          <t>AU</t>
        </is>
      </c>
      <c r="E256" s="4" t="inlineStr">
        <is>
          <t>Finanzas</t>
        </is>
      </c>
      <c r="F256" s="4" t="inlineStr">
        <is>
          <t>Banks - Diversified</t>
        </is>
      </c>
      <c r="G256" s="4" t="inlineStr">
        <is>
          <t>ASX</t>
        </is>
      </c>
      <c r="H256" s="4" t="inlineStr">
        <is>
          <t>AUD</t>
        </is>
      </c>
      <c r="I256" s="5" t="n">
        <v>121565.609984</v>
      </c>
      <c r="J256" s="6">
        <f>INDEX(FX!$B:$B,MATCH(H256,FX!$A:$A,0))</f>
        <v/>
      </c>
      <c r="K256" s="5">
        <f>I256*J256</f>
        <v/>
      </c>
      <c r="L256" s="4">
        <f>IF(U256&lt;&gt;"",U256,IF(K256&gt;=Umbrales!$B$2,"Legendaria",IF(K256&gt;=Umbrales!$B$3,"Épica",IF(K256&gt;=Umbrales!$B$4,"Rara",IF(K256&gt;=Umbrales!$B$5,"Poco común","Común")))))</f>
        <v/>
      </c>
      <c r="M256" s="5" t="n">
        <v>20856.999936</v>
      </c>
      <c r="N256" s="5" t="n">
        <v>6112.999936</v>
      </c>
      <c r="O256" s="5">
        <f>IF(M256="","",M256*J256)</f>
        <v/>
      </c>
      <c r="P256" s="5">
        <f>IF(N256="","",N256*J256)</f>
        <v/>
      </c>
      <c r="Q256" s="7" t="n">
        <v>0.0441</v>
      </c>
      <c r="R256" s="8" t="n">
        <v>19.2767</v>
      </c>
      <c r="S256" s="4" t="inlineStr">
        <is>
          <t>ASX50</t>
        </is>
      </c>
      <c r="T256" s="9" t="inlineStr">
        <is>
          <t>SI</t>
        </is>
      </c>
      <c r="U256" s="9" t="inlineStr"/>
      <c r="V256" s="10">
        <f>Umbrales!$B$9*(K256/1000)^Umbrales!$B$10</f>
        <v/>
      </c>
    </row>
    <row r="257">
      <c r="A257" s="4" t="inlineStr">
        <is>
          <t>PRX.AS</t>
        </is>
      </c>
      <c r="B257" s="4" t="inlineStr">
        <is>
          <t>Prosus N.V.</t>
        </is>
      </c>
      <c r="C257" s="4" t="inlineStr">
        <is>
          <t>Netherlands</t>
        </is>
      </c>
      <c r="D257" s="4" t="inlineStr">
        <is>
          <t>NL</t>
        </is>
      </c>
      <c r="E257" s="4" t="inlineStr">
        <is>
          <t>Consumo cíclico</t>
        </is>
      </c>
      <c r="F257" s="4" t="inlineStr">
        <is>
          <t>Internet Retail</t>
        </is>
      </c>
      <c r="G257" s="4" t="inlineStr">
        <is>
          <t>AMS</t>
        </is>
      </c>
      <c r="H257" s="4" t="inlineStr">
        <is>
          <t>EUR</t>
        </is>
      </c>
      <c r="I257" s="5" t="n">
        <v>74308.386816</v>
      </c>
      <c r="J257" s="6">
        <f>INDEX(FX!$B:$B,MATCH(H257,FX!$A:$A,0))</f>
        <v/>
      </c>
      <c r="K257" s="5">
        <f>I257*J257</f>
        <v/>
      </c>
      <c r="L257" s="4">
        <f>IF(U257&lt;&gt;"",U257,IF(K257&gt;=Umbrales!$B$2,"Legendaria",IF(K257&gt;=Umbrales!$B$3,"Épica",IF(K257&gt;=Umbrales!$B$4,"Rara",IF(K257&gt;=Umbrales!$B$5,"Poco común","Común")))))</f>
        <v/>
      </c>
      <c r="M257" s="5" t="n">
        <v>9704.999936</v>
      </c>
      <c r="N257" s="5" t="n">
        <v>11649.000448</v>
      </c>
      <c r="O257" s="5">
        <f>IF(M257="","",M257*J257)</f>
        <v/>
      </c>
      <c r="P257" s="5">
        <f>IF(N257="","",N257*J257)</f>
        <v/>
      </c>
      <c r="Q257" s="7" t="n">
        <v>0.007800000000000001</v>
      </c>
      <c r="R257" s="8" t="n">
        <v>7.8835917</v>
      </c>
      <c r="S257" s="4" t="inlineStr">
        <is>
          <t>AEX, EUROSTOXX50</t>
        </is>
      </c>
      <c r="T257" s="9" t="inlineStr">
        <is>
          <t>SI</t>
        </is>
      </c>
      <c r="U257" s="9" t="inlineStr"/>
      <c r="V257" s="10">
        <f>Umbrales!$B$9*(K257/1000)^Umbrales!$B$10</f>
        <v/>
      </c>
    </row>
    <row r="258">
      <c r="A258" s="4" t="inlineStr">
        <is>
          <t>INTU</t>
        </is>
      </c>
      <c r="B258" s="4" t="inlineStr">
        <is>
          <t>Intuit Inc.</t>
        </is>
      </c>
      <c r="C258" s="4" t="inlineStr">
        <is>
          <t>United States</t>
        </is>
      </c>
      <c r="D258" s="4" t="inlineStr">
        <is>
          <t>US</t>
        </is>
      </c>
      <c r="E258" s="4" t="inlineStr">
        <is>
          <t>Tecnología</t>
        </is>
      </c>
      <c r="F258" s="4" t="inlineStr">
        <is>
          <t>Software - Application</t>
        </is>
      </c>
      <c r="G258" s="4" t="inlineStr">
        <is>
          <t>NMS</t>
        </is>
      </c>
      <c r="H258" s="4" t="inlineStr">
        <is>
          <t>USD</t>
        </is>
      </c>
      <c r="I258" s="5" t="n">
        <v>82960.744448</v>
      </c>
      <c r="J258" s="6">
        <f>INDEX(FX!$B:$B,MATCH(H258,FX!$A:$A,0))</f>
        <v/>
      </c>
      <c r="K258" s="5">
        <f>I258*J258</f>
        <v/>
      </c>
      <c r="L258" s="4">
        <f>IF(U258&lt;&gt;"",U258,IF(K258&gt;=Umbrales!$B$2,"Legendaria",IF(K258&gt;=Umbrales!$B$3,"Épica",IF(K258&gt;=Umbrales!$B$4,"Rara",IF(K258&gt;=Umbrales!$B$5,"Poco común","Común")))))</f>
        <v/>
      </c>
      <c r="M258" s="5" t="n">
        <v>21447.999488</v>
      </c>
      <c r="N258" s="5" t="n">
        <v>4566.000128</v>
      </c>
      <c r="O258" s="5">
        <f>IF(M258="","",M258*J258)</f>
        <v/>
      </c>
      <c r="P258" s="5">
        <f>IF(N258="","",N258*J258)</f>
        <v/>
      </c>
      <c r="Q258" s="7" t="n">
        <v>0.0183</v>
      </c>
      <c r="R258" s="8" t="n">
        <v>18.860268</v>
      </c>
      <c r="S258" s="4" t="inlineStr">
        <is>
          <t>NASDAQ100, SP500</t>
        </is>
      </c>
      <c r="T258" s="9" t="inlineStr">
        <is>
          <t>SI</t>
        </is>
      </c>
      <c r="U258" s="9" t="inlineStr"/>
      <c r="V258" s="10">
        <f>Umbrales!$B$9*(K258/1000)^Umbrales!$B$10</f>
        <v/>
      </c>
    </row>
    <row r="259">
      <c r="A259" s="4" t="inlineStr">
        <is>
          <t>CTAS</t>
        </is>
      </c>
      <c r="B259" s="4" t="inlineStr">
        <is>
          <t>Cintas Corporation</t>
        </is>
      </c>
      <c r="C259" s="4" t="inlineStr">
        <is>
          <t>United States</t>
        </is>
      </c>
      <c r="D259" s="4" t="inlineStr">
        <is>
          <t>US</t>
        </is>
      </c>
      <c r="E259" s="4" t="inlineStr">
        <is>
          <t>Industria</t>
        </is>
      </c>
      <c r="F259" s="4" t="inlineStr">
        <is>
          <t>Specialty Business Services</t>
        </is>
      </c>
      <c r="G259" s="4" t="inlineStr">
        <is>
          <t>NMS</t>
        </is>
      </c>
      <c r="H259" s="4" t="inlineStr">
        <is>
          <t>USD</t>
        </is>
      </c>
      <c r="I259" s="5" t="n">
        <v>82841.780224</v>
      </c>
      <c r="J259" s="6">
        <f>INDEX(FX!$B:$B,MATCH(H259,FX!$A:$A,0))</f>
        <v/>
      </c>
      <c r="K259" s="5">
        <f>I259*J259</f>
        <v/>
      </c>
      <c r="L259" s="4">
        <f>IF(U259&lt;&gt;"",U259,IF(K259&gt;=Umbrales!$B$2,"Legendaria",IF(K259&gt;=Umbrales!$B$3,"Épica",IF(K259&gt;=Umbrales!$B$4,"Rara",IF(K259&gt;=Umbrales!$B$5,"Poco común","Común")))))</f>
        <v/>
      </c>
      <c r="M259" s="5" t="n">
        <v>11560.620032</v>
      </c>
      <c r="N259" s="5" t="n">
        <v>2054.306944</v>
      </c>
      <c r="O259" s="5">
        <f>IF(M259="","",M259*J259)</f>
        <v/>
      </c>
      <c r="P259" s="5">
        <f>IF(N259="","",N259*J259)</f>
        <v/>
      </c>
      <c r="Q259" s="7" t="n">
        <v>0.0101</v>
      </c>
      <c r="R259" s="8" t="n">
        <v>41.149902</v>
      </c>
      <c r="S259" s="4" t="inlineStr">
        <is>
          <t>NASDAQ100, SP500</t>
        </is>
      </c>
      <c r="T259" s="9" t="inlineStr">
        <is>
          <t>SI</t>
        </is>
      </c>
      <c r="U259" s="9" t="inlineStr"/>
      <c r="V259" s="10">
        <f>Umbrales!$B$9*(K259/1000)^Umbrales!$B$10</f>
        <v/>
      </c>
    </row>
    <row r="260">
      <c r="A260" s="4" t="inlineStr">
        <is>
          <t>ENI.MI</t>
        </is>
      </c>
      <c r="B260" s="4" t="inlineStr">
        <is>
          <t>Eni S.p.A.</t>
        </is>
      </c>
      <c r="C260" s="4" t="inlineStr">
        <is>
          <t>Italy</t>
        </is>
      </c>
      <c r="D260" s="4" t="inlineStr">
        <is>
          <t>IT</t>
        </is>
      </c>
      <c r="E260" s="4" t="inlineStr">
        <is>
          <t>Energía</t>
        </is>
      </c>
      <c r="F260" s="4" t="inlineStr">
        <is>
          <t>Oil &amp; Gas Integrated</t>
        </is>
      </c>
      <c r="G260" s="4" t="inlineStr">
        <is>
          <t>MIL</t>
        </is>
      </c>
      <c r="H260" s="4" t="inlineStr">
        <is>
          <t>EUR</t>
        </is>
      </c>
      <c r="I260" s="5" t="n">
        <v>73716.18713599999</v>
      </c>
      <c r="J260" s="6">
        <f>INDEX(FX!$B:$B,MATCH(H260,FX!$A:$A,0))</f>
        <v/>
      </c>
      <c r="K260" s="5">
        <f>I260*J260</f>
        <v/>
      </c>
      <c r="L260" s="4">
        <f>IF(U260&lt;&gt;"",U260,IF(K260&gt;=Umbrales!$B$2,"Legendaria",IF(K260&gt;=Umbrales!$B$3,"Épica",IF(K260&gt;=Umbrales!$B$4,"Rara",IF(K260&gt;=Umbrales!$B$5,"Poco común","Común")))))</f>
        <v/>
      </c>
      <c r="M260" s="5" t="n">
        <v>89931.99718400001</v>
      </c>
      <c r="N260" s="5" t="n">
        <v>5784.999936</v>
      </c>
      <c r="O260" s="5">
        <f>IF(M260="","",M260*J260)</f>
        <v/>
      </c>
      <c r="P260" s="5">
        <f>IF(N260="","",N260*J260)</f>
        <v/>
      </c>
      <c r="Q260" s="7" t="n">
        <v>0.0421</v>
      </c>
      <c r="R260" s="8" t="n">
        <v>20.926828</v>
      </c>
      <c r="S260" s="4" t="inlineStr">
        <is>
          <t>EUROSTOXX50, FTSEMIB</t>
        </is>
      </c>
      <c r="T260" s="9" t="inlineStr">
        <is>
          <t>SI</t>
        </is>
      </c>
      <c r="U260" s="9" t="inlineStr"/>
      <c r="V260" s="10">
        <f>Umbrales!$B$9*(K260/1000)^Umbrales!$B$10</f>
        <v/>
      </c>
    </row>
    <row r="261">
      <c r="A261" s="4" t="inlineStr">
        <is>
          <t>EOG</t>
        </is>
      </c>
      <c r="B261" s="4" t="inlineStr">
        <is>
          <t>EOG Resources, Inc.</t>
        </is>
      </c>
      <c r="C261" s="4" t="inlineStr">
        <is>
          <t>United States</t>
        </is>
      </c>
      <c r="D261" s="4" t="inlineStr">
        <is>
          <t>US</t>
        </is>
      </c>
      <c r="E261" s="4" t="inlineStr">
        <is>
          <t>Energía</t>
        </is>
      </c>
      <c r="F261" s="4" t="inlineStr">
        <is>
          <t>Oil &amp; Gas E&amp;P</t>
        </is>
      </c>
      <c r="G261" s="4" t="inlineStr">
        <is>
          <t>NYQ</t>
        </is>
      </c>
      <c r="H261" s="4" t="inlineStr">
        <is>
          <t>USD</t>
        </is>
      </c>
      <c r="I261" s="5" t="n">
        <v>82125.996032</v>
      </c>
      <c r="J261" s="6">
        <f>INDEX(FX!$B:$B,MATCH(H261,FX!$A:$A,0))</f>
        <v/>
      </c>
      <c r="K261" s="5">
        <f>I261*J261</f>
        <v/>
      </c>
      <c r="L261" s="4">
        <f>IF(U261&lt;&gt;"",U261,IF(K261&gt;=Umbrales!$B$2,"Legendaria",IF(K261&gt;=Umbrales!$B$3,"Épica",IF(K261&gt;=Umbrales!$B$4,"Rara",IF(K261&gt;=Umbrales!$B$5,"Poco común","Común")))))</f>
        <v/>
      </c>
      <c r="M261" s="5" t="n">
        <v>26720.999424</v>
      </c>
      <c r="N261" s="5" t="n">
        <v>6876.000256</v>
      </c>
      <c r="O261" s="5">
        <f>IF(M261="","",M261*J261)</f>
        <v/>
      </c>
      <c r="P261" s="5">
        <f>IF(N261="","",N261*J261)</f>
        <v/>
      </c>
      <c r="Q261" s="7" t="n">
        <v>0.0266</v>
      </c>
      <c r="R261" s="8" t="n">
        <v>11.915766</v>
      </c>
      <c r="S261" s="4" t="inlineStr">
        <is>
          <t>SP500</t>
        </is>
      </c>
      <c r="T261" s="9" t="inlineStr">
        <is>
          <t>SI</t>
        </is>
      </c>
      <c r="U261" s="9" t="inlineStr"/>
      <c r="V261" s="10">
        <f>Umbrales!$B$9*(K261/1000)^Umbrales!$B$10</f>
        <v/>
      </c>
    </row>
    <row r="262">
      <c r="A262" s="4" t="inlineStr">
        <is>
          <t>UPS</t>
        </is>
      </c>
      <c r="B262" s="4" t="inlineStr">
        <is>
          <t>United Parcel Service, Inc.</t>
        </is>
      </c>
      <c r="C262" s="4" t="inlineStr">
        <is>
          <t>United States</t>
        </is>
      </c>
      <c r="D262" s="4" t="inlineStr">
        <is>
          <t>US</t>
        </is>
      </c>
      <c r="E262" s="4" t="inlineStr">
        <is>
          <t>Industria</t>
        </is>
      </c>
      <c r="F262" s="4" t="inlineStr">
        <is>
          <t>Integrated Freight &amp; Logistics</t>
        </is>
      </c>
      <c r="G262" s="4" t="inlineStr">
        <is>
          <t>NYQ</t>
        </is>
      </c>
      <c r="H262" s="4" t="inlineStr">
        <is>
          <t>USD</t>
        </is>
      </c>
      <c r="I262" s="5" t="n">
        <v>81487.855616</v>
      </c>
      <c r="J262" s="6">
        <f>INDEX(FX!$B:$B,MATCH(H262,FX!$A:$A,0))</f>
        <v/>
      </c>
      <c r="K262" s="5">
        <f>I262*J262</f>
        <v/>
      </c>
      <c r="L262" s="4">
        <f>IF(U262&lt;&gt;"",U262,IF(K262&gt;=Umbrales!$B$2,"Legendaria",IF(K262&gt;=Umbrales!$B$3,"Épica",IF(K262&gt;=Umbrales!$B$4,"Rara",IF(K262&gt;=Umbrales!$B$5,"Poco común","Común")))))</f>
        <v/>
      </c>
      <c r="M262" s="5" t="n">
        <v>89929.998336</v>
      </c>
      <c r="N262" s="5" t="n">
        <v>4569.999872</v>
      </c>
      <c r="O262" s="5">
        <f>IF(M262="","",M262*J262)</f>
        <v/>
      </c>
      <c r="P262" s="5">
        <f>IF(N262="","",N262*J262)</f>
        <v/>
      </c>
      <c r="Q262" s="7" t="n">
        <v>0.0692</v>
      </c>
      <c r="R262" s="8" t="n">
        <v>17.606617</v>
      </c>
      <c r="S262" s="4" t="inlineStr">
        <is>
          <t>SP500</t>
        </is>
      </c>
      <c r="T262" s="9" t="inlineStr">
        <is>
          <t>SI</t>
        </is>
      </c>
      <c r="U262" s="9" t="inlineStr"/>
      <c r="V262" s="10">
        <f>Umbrales!$B$9*(K262/1000)^Umbrales!$B$10</f>
        <v/>
      </c>
    </row>
    <row r="263">
      <c r="A263" s="4" t="inlineStr">
        <is>
          <t>ANZ.AX</t>
        </is>
      </c>
      <c r="B263" s="4" t="inlineStr">
        <is>
          <t>ANZ Group Holdings Limited</t>
        </is>
      </c>
      <c r="C263" s="4" t="inlineStr">
        <is>
          <t>Australia</t>
        </is>
      </c>
      <c r="D263" s="4" t="inlineStr">
        <is>
          <t>AU</t>
        </is>
      </c>
      <c r="E263" s="4" t="inlineStr">
        <is>
          <t>Finanzas</t>
        </is>
      </c>
      <c r="F263" s="4" t="inlineStr">
        <is>
          <t>Banks - Diversified</t>
        </is>
      </c>
      <c r="G263" s="4" t="inlineStr">
        <is>
          <t>ASX</t>
        </is>
      </c>
      <c r="H263" s="4" t="inlineStr">
        <is>
          <t>AUD</t>
        </is>
      </c>
      <c r="I263" s="5" t="n">
        <v>117460.287488</v>
      </c>
      <c r="J263" s="6">
        <f>INDEX(FX!$B:$B,MATCH(H263,FX!$A:$A,0))</f>
        <v/>
      </c>
      <c r="K263" s="5">
        <f>I263*J263</f>
        <v/>
      </c>
      <c r="L263" s="4">
        <f>IF(U263&lt;&gt;"",U263,IF(K263&gt;=Umbrales!$B$2,"Legendaria",IF(K263&gt;=Umbrales!$B$3,"Épica",IF(K263&gt;=Umbrales!$B$4,"Rara",IF(K263&gt;=Umbrales!$B$5,"Poco común","Común")))))</f>
        <v/>
      </c>
      <c r="M263" s="5" t="n">
        <v>21515.999232</v>
      </c>
      <c r="N263" s="5" t="n">
        <v>5898.999808</v>
      </c>
      <c r="O263" s="5">
        <f>IF(M263="","",M263*J263)</f>
        <v/>
      </c>
      <c r="P263" s="5">
        <f>IF(N263="","",N263*J263)</f>
        <v/>
      </c>
      <c r="Q263" s="7" t="n">
        <v>0.0433</v>
      </c>
      <c r="R263" s="8" t="n">
        <v>19.407959</v>
      </c>
      <c r="S263" s="4" t="inlineStr">
        <is>
          <t>ASX50</t>
        </is>
      </c>
      <c r="T263" s="9" t="inlineStr">
        <is>
          <t>SI</t>
        </is>
      </c>
      <c r="U263" s="9" t="inlineStr"/>
      <c r="V263" s="10">
        <f>Umbrales!$B$9*(K263/1000)^Umbrales!$B$10</f>
        <v/>
      </c>
    </row>
    <row r="264">
      <c r="A264" s="4" t="inlineStr">
        <is>
          <t>BN.TO</t>
        </is>
      </c>
      <c r="B264" s="4" t="inlineStr">
        <is>
          <t>Brookfield Corporation</t>
        </is>
      </c>
      <c r="C264" s="4" t="inlineStr">
        <is>
          <t>Canada</t>
        </is>
      </c>
      <c r="D264" s="4" t="inlineStr">
        <is>
          <t>CA</t>
        </is>
      </c>
      <c r="E264" s="4" t="inlineStr">
        <is>
          <t>Finanzas</t>
        </is>
      </c>
      <c r="F264" s="4" t="inlineStr">
        <is>
          <t>Asset Management</t>
        </is>
      </c>
      <c r="G264" s="4" t="inlineStr">
        <is>
          <t>TOR</t>
        </is>
      </c>
      <c r="H264" s="4" t="inlineStr">
        <is>
          <t>CAD</t>
        </is>
      </c>
      <c r="I264" s="5" t="n">
        <v>114474.983424</v>
      </c>
      <c r="J264" s="6">
        <f>INDEX(FX!$B:$B,MATCH(H264,FX!$A:$A,0))</f>
        <v/>
      </c>
      <c r="K264" s="5">
        <f>I264*J264</f>
        <v/>
      </c>
      <c r="L264" s="4">
        <f>IF(U264&lt;&gt;"",U264,IF(K264&gt;=Umbrales!$B$2,"Legendaria",IF(K264&gt;=Umbrales!$B$3,"Épica",IF(K264&gt;=Umbrales!$B$4,"Rara",IF(K264&gt;=Umbrales!$B$5,"Poco común","Común")))))</f>
        <v/>
      </c>
      <c r="M264" s="5" t="n">
        <v>80692.00281599999</v>
      </c>
      <c r="N264" s="5" t="n">
        <v>1256.999936</v>
      </c>
      <c r="O264" s="5">
        <f>IF(M264="","",M264*J264)</f>
        <v/>
      </c>
      <c r="P264" s="5">
        <f>IF(N264="","",N264*J264)</f>
        <v/>
      </c>
      <c r="Q264" s="7" t="n">
        <v>0.0076</v>
      </c>
      <c r="R264" s="8" t="n">
        <v>70.246574</v>
      </c>
      <c r="S264" s="4" t="inlineStr">
        <is>
          <t>TSX60</t>
        </is>
      </c>
      <c r="T264" s="9" t="inlineStr">
        <is>
          <t>SI</t>
        </is>
      </c>
      <c r="U264" s="9" t="inlineStr"/>
      <c r="V264" s="10">
        <f>Umbrales!$B$9*(K264/1000)^Umbrales!$B$10</f>
        <v/>
      </c>
    </row>
    <row r="265">
      <c r="A265" s="4" t="inlineStr">
        <is>
          <t>ECL</t>
        </is>
      </c>
      <c r="B265" s="4" t="inlineStr">
        <is>
          <t>Ecolab Inc.</t>
        </is>
      </c>
      <c r="C265" s="4" t="inlineStr">
        <is>
          <t>United States</t>
        </is>
      </c>
      <c r="D265" s="4" t="inlineStr">
        <is>
          <t>US</t>
        </is>
      </c>
      <c r="E265" s="4" t="inlineStr">
        <is>
          <t>Materiales</t>
        </is>
      </c>
      <c r="F265" s="4" t="inlineStr">
        <is>
          <t>Specialty Chemicals</t>
        </is>
      </c>
      <c r="G265" s="4" t="inlineStr">
        <is>
          <t>NYQ</t>
        </is>
      </c>
      <c r="H265" s="4" t="inlineStr">
        <is>
          <t>USD</t>
        </is>
      </c>
      <c r="I265" s="5" t="n">
        <v>80653.344768</v>
      </c>
      <c r="J265" s="6">
        <f>INDEX(FX!$B:$B,MATCH(H265,FX!$A:$A,0))</f>
        <v/>
      </c>
      <c r="K265" s="5">
        <f>I265*J265</f>
        <v/>
      </c>
      <c r="L265" s="4">
        <f>IF(U265&lt;&gt;"",U265,IF(K265&gt;=Umbrales!$B$2,"Legendaria",IF(K265&gt;=Umbrales!$B$3,"Épica",IF(K265&gt;=Umbrales!$B$4,"Rara",IF(K265&gt;=Umbrales!$B$5,"Poco común","Común")))))</f>
        <v/>
      </c>
      <c r="M265" s="5" t="n">
        <v>16842.500096</v>
      </c>
      <c r="N265" s="5" t="n">
        <v>2116.4</v>
      </c>
      <c r="O265" s="5">
        <f>IF(M265="","",M265*J265)</f>
        <v/>
      </c>
      <c r="P265" s="5">
        <f>IF(N265="","",N265*J265)</f>
        <v/>
      </c>
      <c r="Q265" s="7" t="n">
        <v>0.0102</v>
      </c>
      <c r="R265" s="8" t="n">
        <v>38.618793</v>
      </c>
      <c r="S265" s="4" t="inlineStr">
        <is>
          <t>SP500</t>
        </is>
      </c>
      <c r="T265" s="9" t="inlineStr">
        <is>
          <t>SI</t>
        </is>
      </c>
      <c r="U265" s="9" t="inlineStr"/>
      <c r="V265" s="10">
        <f>Umbrales!$B$9*(K265/1000)^Umbrales!$B$10</f>
        <v/>
      </c>
    </row>
    <row r="266">
      <c r="A266" s="4" t="inlineStr">
        <is>
          <t>VRT</t>
        </is>
      </c>
      <c r="B266" s="4" t="inlineStr">
        <is>
          <t>Vertiv Holdings Co</t>
        </is>
      </c>
      <c r="C266" s="4" t="inlineStr">
        <is>
          <t>United States</t>
        </is>
      </c>
      <c r="D266" s="4" t="inlineStr">
        <is>
          <t>US</t>
        </is>
      </c>
      <c r="E266" s="4" t="inlineStr">
        <is>
          <t>Industria</t>
        </is>
      </c>
      <c r="F266" s="4" t="inlineStr">
        <is>
          <t>Electrical Equipment &amp; Parts</t>
        </is>
      </c>
      <c r="G266" s="4" t="inlineStr">
        <is>
          <t>NYQ</t>
        </is>
      </c>
      <c r="H266" s="4" t="inlineStr">
        <is>
          <t>USD</t>
        </is>
      </c>
      <c r="I266" s="5" t="n">
        <v>80458.678272</v>
      </c>
      <c r="J266" s="6">
        <f>INDEX(FX!$B:$B,MATCH(H266,FX!$A:$A,0))</f>
        <v/>
      </c>
      <c r="K266" s="5">
        <f>I266*J266</f>
        <v/>
      </c>
      <c r="L266" s="4">
        <f>IF(U266&lt;&gt;"",U266,IF(K266&gt;=Umbrales!$B$2,"Legendaria",IF(K266&gt;=Umbrales!$B$3,"Épica",IF(K266&gt;=Umbrales!$B$4,"Rara",IF(K266&gt;=Umbrales!$B$5,"Poco común","Común")))))</f>
        <v/>
      </c>
      <c r="M266" s="5" t="n">
        <v>11479.600128</v>
      </c>
      <c r="N266" s="5" t="n">
        <v>1732</v>
      </c>
      <c r="O266" s="5">
        <f>IF(M266="","",M266*J266)</f>
        <v/>
      </c>
      <c r="P266" s="5">
        <f>IF(N266="","",N266*J266)</f>
        <v/>
      </c>
      <c r="Q266" s="7" t="n">
        <v>0.0011</v>
      </c>
      <c r="R266" s="8" t="n">
        <v>47.282806</v>
      </c>
      <c r="S266" s="4" t="inlineStr">
        <is>
          <t>SP500</t>
        </is>
      </c>
      <c r="T266" s="9" t="inlineStr">
        <is>
          <t>SI</t>
        </is>
      </c>
      <c r="U266" s="9" t="inlineStr"/>
      <c r="V266" s="10">
        <f>Umbrales!$B$9*(K266/1000)^Umbrales!$B$10</f>
        <v/>
      </c>
    </row>
    <row r="267">
      <c r="A267" s="4" t="inlineStr">
        <is>
          <t>MDLZ</t>
        </is>
      </c>
      <c r="B267" s="4" t="inlineStr">
        <is>
          <t>Mondelez International, Inc.</t>
        </is>
      </c>
      <c r="C267" s="4" t="inlineStr">
        <is>
          <t>United States</t>
        </is>
      </c>
      <c r="D267" s="4" t="inlineStr">
        <is>
          <t>US</t>
        </is>
      </c>
      <c r="E267" s="4" t="inlineStr">
        <is>
          <t>Consumo básico</t>
        </is>
      </c>
      <c r="F267" s="4" t="inlineStr">
        <is>
          <t>Confectioners</t>
        </is>
      </c>
      <c r="G267" s="4" t="inlineStr">
        <is>
          <t>NMS</t>
        </is>
      </c>
      <c r="H267" s="4" t="inlineStr">
        <is>
          <t>USD</t>
        </is>
      </c>
      <c r="I267" s="5" t="n">
        <v>80317.964288</v>
      </c>
      <c r="J267" s="6">
        <f>INDEX(FX!$B:$B,MATCH(H267,FX!$A:$A,0))</f>
        <v/>
      </c>
      <c r="K267" s="5">
        <f>I267*J267</f>
        <v/>
      </c>
      <c r="L267" s="4">
        <f>IF(U267&lt;&gt;"",U267,IF(K267&gt;=Umbrales!$B$2,"Legendaria",IF(K267&gt;=Umbrales!$B$3,"Épica",IF(K267&gt;=Umbrales!$B$4,"Rara",IF(K267&gt;=Umbrales!$B$5,"Poco común","Común")))))</f>
        <v/>
      </c>
      <c r="M267" s="5" t="n">
        <v>39674.998784</v>
      </c>
      <c r="N267" s="5" t="n">
        <v>3516</v>
      </c>
      <c r="O267" s="5">
        <f>IF(M267="","",M267*J267)</f>
        <v/>
      </c>
      <c r="P267" s="5">
        <f>IF(N267="","",N267*J267)</f>
        <v/>
      </c>
      <c r="Q267" s="7" t="n">
        <v>0.0338</v>
      </c>
      <c r="R267" s="8" t="n">
        <v>22.588448</v>
      </c>
      <c r="S267" s="4" t="inlineStr">
        <is>
          <t>NASDAQ100, SP500</t>
        </is>
      </c>
      <c r="T267" s="9" t="inlineStr">
        <is>
          <t>SI</t>
        </is>
      </c>
      <c r="U267" s="9" t="inlineStr"/>
      <c r="V267" s="10">
        <f>Umbrales!$B$9*(K267/1000)^Umbrales!$B$10</f>
        <v/>
      </c>
    </row>
    <row r="268">
      <c r="A268" s="4" t="inlineStr">
        <is>
          <t>LLOY.L</t>
        </is>
      </c>
      <c r="B268" s="4" t="inlineStr">
        <is>
          <t>Lloyds Banking Group plc</t>
        </is>
      </c>
      <c r="C268" s="4" t="inlineStr">
        <is>
          <t>United Kingdom</t>
        </is>
      </c>
      <c r="D268" s="4" t="inlineStr">
        <is>
          <t>GB</t>
        </is>
      </c>
      <c r="E268" s="4" t="inlineStr">
        <is>
          <t>Finanzas</t>
        </is>
      </c>
      <c r="F268" s="4" t="inlineStr">
        <is>
          <t>Banks - Regional</t>
        </is>
      </c>
      <c r="G268" s="4" t="inlineStr">
        <is>
          <t>LSE</t>
        </is>
      </c>
      <c r="H268" s="4" t="inlineStr">
        <is>
          <t>GBP</t>
        </is>
      </c>
      <c r="I268" s="5" t="n">
        <v>60517.482496</v>
      </c>
      <c r="J268" s="6">
        <f>INDEX(FX!$B:$B,MATCH(H268,FX!$A:$A,0))</f>
        <v/>
      </c>
      <c r="K268" s="5">
        <f>I268*J268</f>
        <v/>
      </c>
      <c r="L268" s="4">
        <f>IF(U268&lt;&gt;"",U268,IF(K268&gt;=Umbrales!$B$2,"Legendaria",IF(K268&gt;=Umbrales!$B$3,"Épica",IF(K268&gt;=Umbrales!$B$4,"Rara",IF(K268&gt;=Umbrales!$B$5,"Poco común","Común")))))</f>
        <v/>
      </c>
      <c r="M268" s="5" t="n">
        <v>19693.000704</v>
      </c>
      <c r="N268" s="5" t="n">
        <v>4758.000128</v>
      </c>
      <c r="O268" s="5">
        <f>IF(M268="","",M268*J268)</f>
        <v/>
      </c>
      <c r="P268" s="5">
        <f>IF(N268="","",N268*J268)</f>
        <v/>
      </c>
      <c r="Q268" s="7" t="n">
        <v>0.0384</v>
      </c>
      <c r="R268" s="8" t="n">
        <v>13.19375</v>
      </c>
      <c r="S268" s="4" t="inlineStr">
        <is>
          <t>FTSE100, UK_TOP</t>
        </is>
      </c>
      <c r="T268" s="9" t="inlineStr">
        <is>
          <t>SI</t>
        </is>
      </c>
      <c r="U268" s="9" t="inlineStr"/>
      <c r="V268" s="10">
        <f>Umbrales!$B$9*(K268/1000)^Umbrales!$B$10</f>
        <v/>
      </c>
    </row>
    <row r="269">
      <c r="A269" s="4" t="inlineStr">
        <is>
          <t>MCO</t>
        </is>
      </c>
      <c r="B269" s="4" t="inlineStr">
        <is>
          <t>Moody's Corporation</t>
        </is>
      </c>
      <c r="C269" s="4" t="inlineStr">
        <is>
          <t>United States</t>
        </is>
      </c>
      <c r="D269" s="4" t="inlineStr">
        <is>
          <t>US</t>
        </is>
      </c>
      <c r="E269" s="4" t="inlineStr">
        <is>
          <t>Finanzas</t>
        </is>
      </c>
      <c r="F269" s="4" t="inlineStr">
        <is>
          <t>Financial Data &amp; Stock Exchanges</t>
        </is>
      </c>
      <c r="G269" s="4" t="inlineStr">
        <is>
          <t>NYQ</t>
        </is>
      </c>
      <c r="H269" s="4" t="inlineStr">
        <is>
          <t>USD</t>
        </is>
      </c>
      <c r="I269" s="5" t="n">
        <v>80142.966784</v>
      </c>
      <c r="J269" s="6">
        <f>INDEX(FX!$B:$B,MATCH(H269,FX!$A:$A,0))</f>
        <v/>
      </c>
      <c r="K269" s="5">
        <f>I269*J269</f>
        <v/>
      </c>
      <c r="L269" s="4">
        <f>IF(U269&lt;&gt;"",U269,IF(K269&gt;=Umbrales!$B$2,"Legendaria",IF(K269&gt;=Umbrales!$B$3,"Épica",IF(K269&gt;=Umbrales!$B$4,"Rara",IF(K269&gt;=Umbrales!$B$5,"Poco común","Común")))))</f>
        <v/>
      </c>
      <c r="M269" s="5" t="n">
        <v>8160</v>
      </c>
      <c r="N269" s="5" t="n">
        <v>2795.000064</v>
      </c>
      <c r="O269" s="5">
        <f>IF(M269="","",M269*J269)</f>
        <v/>
      </c>
      <c r="P269" s="5">
        <f>IF(N269="","",N269*J269)</f>
        <v/>
      </c>
      <c r="Q269" s="7" t="n">
        <v>0.0089</v>
      </c>
      <c r="R269" s="8" t="n">
        <v>29.363577</v>
      </c>
      <c r="S269" s="4" t="inlineStr">
        <is>
          <t>SP500</t>
        </is>
      </c>
      <c r="T269" s="9" t="inlineStr">
        <is>
          <t>SI</t>
        </is>
      </c>
      <c r="U269" s="9" t="inlineStr"/>
      <c r="V269" s="10">
        <f>Umbrales!$B$9*(K269/1000)^Umbrales!$B$10</f>
        <v/>
      </c>
    </row>
    <row r="270">
      <c r="A270" s="4" t="inlineStr">
        <is>
          <t>REGN</t>
        </is>
      </c>
      <c r="B270" s="4" t="inlineStr">
        <is>
          <t>Regeneron Pharmaceuticals, Inc.</t>
        </is>
      </c>
      <c r="C270" s="4" t="inlineStr">
        <is>
          <t>United States</t>
        </is>
      </c>
      <c r="D270" s="4" t="inlineStr">
        <is>
          <t>US</t>
        </is>
      </c>
      <c r="E270" s="4" t="inlineStr">
        <is>
          <t>Salud</t>
        </is>
      </c>
      <c r="F270" s="4" t="inlineStr">
        <is>
          <t>Biotechnology</t>
        </is>
      </c>
      <c r="G270" s="4" t="inlineStr">
        <is>
          <t>NMS</t>
        </is>
      </c>
      <c r="H270" s="4" t="inlineStr">
        <is>
          <t>USD</t>
        </is>
      </c>
      <c r="I270" s="5" t="n">
        <v>80136.044544</v>
      </c>
      <c r="J270" s="6">
        <f>INDEX(FX!$B:$B,MATCH(H270,FX!$A:$A,0))</f>
        <v/>
      </c>
      <c r="K270" s="5">
        <f>I270*J270</f>
        <v/>
      </c>
      <c r="L270" s="4">
        <f>IF(U270&lt;&gt;"",U270,IF(K270&gt;=Umbrales!$B$2,"Legendaria",IF(K270&gt;=Umbrales!$B$3,"Épica",IF(K270&gt;=Umbrales!$B$4,"Rara",IF(K270&gt;=Umbrales!$B$5,"Poco común","Común")))))</f>
        <v/>
      </c>
      <c r="M270" s="5" t="n">
        <v>15534.69952</v>
      </c>
      <c r="N270" s="5" t="n">
        <v>4328.699904</v>
      </c>
      <c r="O270" s="5">
        <f>IF(M270="","",M270*J270)</f>
        <v/>
      </c>
      <c r="P270" s="5">
        <f>IF(N270="","",N270*J270)</f>
        <v/>
      </c>
      <c r="Q270" s="7" t="n">
        <v>0.005</v>
      </c>
      <c r="R270" s="8" t="n">
        <v>18.621052</v>
      </c>
      <c r="S270" s="4" t="inlineStr">
        <is>
          <t>NASDAQ100, SP500</t>
        </is>
      </c>
      <c r="T270" s="9" t="inlineStr">
        <is>
          <t>SI</t>
        </is>
      </c>
      <c r="U270" s="9" t="inlineStr"/>
      <c r="V270" s="10">
        <f>Umbrales!$B$9*(K270/1000)^Umbrales!$B$10</f>
        <v/>
      </c>
    </row>
    <row r="271">
      <c r="A271" s="4" t="inlineStr">
        <is>
          <t>9999.HK</t>
        </is>
      </c>
      <c r="B271" s="4" t="inlineStr">
        <is>
          <t>NetEase, Inc.</t>
        </is>
      </c>
      <c r="C271" s="4" t="inlineStr">
        <is>
          <t>China</t>
        </is>
      </c>
      <c r="D271" s="4" t="inlineStr">
        <is>
          <t>CN</t>
        </is>
      </c>
      <c r="E271" s="4" t="inlineStr">
        <is>
          <t>Comunicación</t>
        </is>
      </c>
      <c r="F271" s="4" t="inlineStr">
        <is>
          <t>Electronic Gaming &amp; Multimedia</t>
        </is>
      </c>
      <c r="G271" s="4" t="inlineStr">
        <is>
          <t>HKG</t>
        </is>
      </c>
      <c r="H271" s="4" t="inlineStr">
        <is>
          <t>HKD</t>
        </is>
      </c>
      <c r="I271" s="5" t="n">
        <v>628164.132864</v>
      </c>
      <c r="J271" s="6">
        <f>INDEX(FX!$B:$B,MATCH(H271,FX!$A:$A,0))</f>
        <v/>
      </c>
      <c r="K271" s="5">
        <f>I271*J271</f>
        <v/>
      </c>
      <c r="L271" s="4">
        <f>IF(U271&lt;&gt;"",U271,IF(K271&gt;=Umbrales!$B$2,"Legendaria",IF(K271&gt;=Umbrales!$B$3,"Épica",IF(K271&gt;=Umbrales!$B$4,"Rara",IF(K271&gt;=Umbrales!$B$5,"Poco común","Común")))))</f>
        <v/>
      </c>
      <c r="M271" s="5" t="n">
        <v>116603.428864</v>
      </c>
      <c r="N271" s="5" t="n">
        <v>32512.395264</v>
      </c>
      <c r="O271" s="5">
        <f>IF(M271="","",M271*J271)</f>
        <v/>
      </c>
      <c r="P271" s="5">
        <f>IF(N271="","",N271*J271)</f>
        <v/>
      </c>
      <c r="Q271" s="7" t="n">
        <v>0.0153</v>
      </c>
      <c r="R271" s="8" t="n">
        <v>17.455517</v>
      </c>
      <c r="S271" s="4" t="inlineStr">
        <is>
          <t>HANGSENG</t>
        </is>
      </c>
      <c r="T271" s="9" t="inlineStr">
        <is>
          <t>SI</t>
        </is>
      </c>
      <c r="U271" s="9" t="inlineStr"/>
      <c r="V271" s="10">
        <f>Umbrales!$B$9*(K271/1000)^Umbrales!$B$10</f>
        <v/>
      </c>
    </row>
    <row r="272">
      <c r="A272" s="4" t="inlineStr">
        <is>
          <t>NG.L</t>
        </is>
      </c>
      <c r="B272" s="4" t="inlineStr">
        <is>
          <t>National Grid plc</t>
        </is>
      </c>
      <c r="C272" s="4" t="inlineStr">
        <is>
          <t>United Kingdom</t>
        </is>
      </c>
      <c r="D272" s="4" t="inlineStr">
        <is>
          <t>GB</t>
        </is>
      </c>
      <c r="E272" s="4" t="inlineStr">
        <is>
          <t>Servicios públicos</t>
        </is>
      </c>
      <c r="F272" s="4" t="inlineStr">
        <is>
          <t>Utilities - Regulated Electric</t>
        </is>
      </c>
      <c r="G272" s="4" t="inlineStr">
        <is>
          <t>LSE</t>
        </is>
      </c>
      <c r="H272" s="4" t="inlineStr">
        <is>
          <t>GBP</t>
        </is>
      </c>
      <c r="I272" s="5" t="n">
        <v>60348.043264</v>
      </c>
      <c r="J272" s="6">
        <f>INDEX(FX!$B:$B,MATCH(H272,FX!$A:$A,0))</f>
        <v/>
      </c>
      <c r="K272" s="5">
        <f>I272*J272</f>
        <v/>
      </c>
      <c r="L272" s="4">
        <f>IF(U272&lt;&gt;"",U272,IF(K272&gt;=Umbrales!$B$2,"Legendaria",IF(K272&gt;=Umbrales!$B$3,"Épica",IF(K272&gt;=Umbrales!$B$4,"Rara",IF(K272&gt;=Umbrales!$B$5,"Poco común","Común")))))</f>
        <v/>
      </c>
      <c r="M272" s="5" t="n">
        <v>17686.99904</v>
      </c>
      <c r="N272" s="5" t="n">
        <v>3240.999936</v>
      </c>
      <c r="O272" s="5">
        <f>IF(M272="","",M272*J272)</f>
        <v/>
      </c>
      <c r="P272" s="5">
        <f>IF(N272="","",N272*J272)</f>
        <v/>
      </c>
      <c r="Q272" s="7" t="n">
        <v>0.0411</v>
      </c>
      <c r="R272" s="8" t="n">
        <v>18.469233</v>
      </c>
      <c r="S272" s="4" t="inlineStr">
        <is>
          <t>FTSE100, UK_TOP</t>
        </is>
      </c>
      <c r="T272" s="9" t="inlineStr">
        <is>
          <t>SI</t>
        </is>
      </c>
      <c r="U272" s="9" t="inlineStr"/>
      <c r="V272" s="10">
        <f>Umbrales!$B$9*(K272/1000)^Umbrales!$B$10</f>
        <v/>
      </c>
    </row>
    <row r="273">
      <c r="A273" s="4" t="inlineStr">
        <is>
          <t>DASH</t>
        </is>
      </c>
      <c r="B273" s="4" t="inlineStr">
        <is>
          <t>DoorDash, Inc.</t>
        </is>
      </c>
      <c r="C273" s="4" t="inlineStr">
        <is>
          <t>United States</t>
        </is>
      </c>
      <c r="D273" s="4" t="inlineStr">
        <is>
          <t>US</t>
        </is>
      </c>
      <c r="E273" s="4" t="inlineStr">
        <is>
          <t>Consumo cíclico</t>
        </is>
      </c>
      <c r="F273" s="4" t="inlineStr">
        <is>
          <t>Internet Retail</t>
        </is>
      </c>
      <c r="G273" s="4" t="inlineStr">
        <is>
          <t>NMS</t>
        </is>
      </c>
      <c r="H273" s="4" t="inlineStr">
        <is>
          <t>USD</t>
        </is>
      </c>
      <c r="I273" s="5" t="n">
        <v>79731.15494399999</v>
      </c>
      <c r="J273" s="6">
        <f>INDEX(FX!$B:$B,MATCH(H273,FX!$A:$A,0))</f>
        <v/>
      </c>
      <c r="K273" s="5">
        <f>I273*J273</f>
        <v/>
      </c>
      <c r="L273" s="4">
        <f>IF(U273&lt;&gt;"",U273,IF(K273&gt;=Umbrales!$B$2,"Legendaria",IF(K273&gt;=Umbrales!$B$3,"Épica",IF(K273&gt;=Umbrales!$B$4,"Rara",IF(K273&gt;=Umbrales!$B$5,"Poco común","Común")))))</f>
        <v/>
      </c>
      <c r="M273" s="5" t="n">
        <v>15891.00032</v>
      </c>
      <c r="N273" s="5" t="n">
        <v>841</v>
      </c>
      <c r="O273" s="5">
        <f>IF(M273="","",M273*J273)</f>
        <v/>
      </c>
      <c r="P273" s="5">
        <f>IF(N273="","",N273*J273)</f>
        <v/>
      </c>
      <c r="Q273" s="7" t="n">
        <v>0</v>
      </c>
      <c r="R273" s="8" t="n">
        <v>101.66299</v>
      </c>
      <c r="S273" s="4" t="inlineStr">
        <is>
          <t>NASDAQ100, SP500</t>
        </is>
      </c>
      <c r="T273" s="9" t="inlineStr">
        <is>
          <t>SI</t>
        </is>
      </c>
      <c r="U273" s="9" t="inlineStr"/>
      <c r="V273" s="10">
        <f>Umbrales!$B$9*(K273/1000)^Umbrales!$B$10</f>
        <v/>
      </c>
    </row>
    <row r="274">
      <c r="A274" s="4" t="inlineStr">
        <is>
          <t>KKR</t>
        </is>
      </c>
      <c r="B274" s="4" t="inlineStr">
        <is>
          <t>KKR &amp; Co. Inc.</t>
        </is>
      </c>
      <c r="C274" s="4" t="inlineStr">
        <is>
          <t>United States</t>
        </is>
      </c>
      <c r="D274" s="4" t="inlineStr">
        <is>
          <t>US</t>
        </is>
      </c>
      <c r="E274" s="4" t="inlineStr">
        <is>
          <t>Finanzas</t>
        </is>
      </c>
      <c r="F274" s="4" t="inlineStr">
        <is>
          <t>Asset Management</t>
        </is>
      </c>
      <c r="G274" s="4" t="inlineStr">
        <is>
          <t>NYQ</t>
        </is>
      </c>
      <c r="H274" s="4" t="inlineStr">
        <is>
          <t>USD</t>
        </is>
      </c>
      <c r="I274" s="5" t="n">
        <v>79059.34540799999</v>
      </c>
      <c r="J274" s="6">
        <f>INDEX(FX!$B:$B,MATCH(H274,FX!$A:$A,0))</f>
        <v/>
      </c>
      <c r="K274" s="5">
        <f>I274*J274</f>
        <v/>
      </c>
      <c r="L274" s="4">
        <f>IF(U274&lt;&gt;"",U274,IF(K274&gt;=Umbrales!$B$2,"Legendaria",IF(K274&gt;=Umbrales!$B$3,"Épica",IF(K274&gt;=Umbrales!$B$4,"Rara",IF(K274&gt;=Umbrales!$B$5,"Poco común","Común")))))</f>
        <v/>
      </c>
      <c r="M274" s="5" t="n">
        <v>25833.117696</v>
      </c>
      <c r="N274" s="5" t="n">
        <v>2990.256128</v>
      </c>
      <c r="O274" s="5">
        <f>IF(M274="","",M274*J274)</f>
        <v/>
      </c>
      <c r="P274" s="5">
        <f>IF(N274="","",N274*J274)</f>
        <v/>
      </c>
      <c r="Q274" s="7" t="n">
        <v>0.0089</v>
      </c>
      <c r="R274" s="8" t="n">
        <v>27.524117</v>
      </c>
      <c r="S274" s="4" t="inlineStr">
        <is>
          <t>SP500</t>
        </is>
      </c>
      <c r="T274" s="9" t="inlineStr">
        <is>
          <t>SI</t>
        </is>
      </c>
      <c r="U274" s="9" t="inlineStr"/>
      <c r="V274" s="10">
        <f>Umbrales!$B$9*(K274/1000)^Umbrales!$B$10</f>
        <v/>
      </c>
    </row>
    <row r="275">
      <c r="A275" s="4" t="inlineStr">
        <is>
          <t>TRV</t>
        </is>
      </c>
      <c r="B275" s="4" t="inlineStr">
        <is>
          <t>The Travelers Companies, Inc.</t>
        </is>
      </c>
      <c r="C275" s="4" t="inlineStr">
        <is>
          <t>United States</t>
        </is>
      </c>
      <c r="D275" s="4" t="inlineStr">
        <is>
          <t>US</t>
        </is>
      </c>
      <c r="E275" s="4" t="inlineStr">
        <is>
          <t>Finanzas</t>
        </is>
      </c>
      <c r="F275" s="4" t="inlineStr">
        <is>
          <t>Insurance - Property &amp; Casualty</t>
        </is>
      </c>
      <c r="G275" s="4" t="inlineStr">
        <is>
          <t>NYQ</t>
        </is>
      </c>
      <c r="H275" s="4" t="inlineStr">
        <is>
          <t>USD</t>
        </is>
      </c>
      <c r="I275" s="5" t="n">
        <v>78803.820544</v>
      </c>
      <c r="J275" s="6">
        <f>INDEX(FX!$B:$B,MATCH(H275,FX!$A:$A,0))</f>
        <v/>
      </c>
      <c r="K275" s="5">
        <f>I275*J275</f>
        <v/>
      </c>
      <c r="L275" s="4">
        <f>IF(U275&lt;&gt;"",U275,IF(K275&gt;=Umbrales!$B$2,"Legendaria",IF(K275&gt;=Umbrales!$B$3,"Épica",IF(K275&gt;=Umbrales!$B$4,"Rara",IF(K275&gt;=Umbrales!$B$5,"Poco común","Común")))))</f>
        <v/>
      </c>
      <c r="M275" s="5" t="n">
        <v>48979.001344</v>
      </c>
      <c r="N275" s="5" t="n">
        <v>8242.999808</v>
      </c>
      <c r="O275" s="5">
        <f>IF(M275="","",M275*J275)</f>
        <v/>
      </c>
      <c r="P275" s="5">
        <f>IF(N275="","",N275*J275)</f>
        <v/>
      </c>
      <c r="Q275" s="7" t="n">
        <v>0.0134</v>
      </c>
      <c r="R275" s="8" t="n">
        <v>10.02707</v>
      </c>
      <c r="S275" s="4" t="inlineStr">
        <is>
          <t>DOW30, SP500</t>
        </is>
      </c>
      <c r="T275" s="9" t="inlineStr">
        <is>
          <t>SI</t>
        </is>
      </c>
      <c r="U275" s="9" t="inlineStr"/>
      <c r="V275" s="10">
        <f>Umbrales!$B$9*(K275/1000)^Umbrales!$B$10</f>
        <v/>
      </c>
    </row>
    <row r="276">
      <c r="A276" s="4" t="inlineStr">
        <is>
          <t>SHW</t>
        </is>
      </c>
      <c r="B276" s="4" t="inlineStr">
        <is>
          <t>The Sherwin-Williams Company</t>
        </is>
      </c>
      <c r="C276" s="4" t="inlineStr">
        <is>
          <t>United States</t>
        </is>
      </c>
      <c r="D276" s="4" t="inlineStr">
        <is>
          <t>US</t>
        </is>
      </c>
      <c r="E276" s="4" t="inlineStr">
        <is>
          <t>Materiales</t>
        </is>
      </c>
      <c r="F276" s="4" t="inlineStr">
        <is>
          <t>Specialty Chemicals</t>
        </is>
      </c>
      <c r="G276" s="4" t="inlineStr">
        <is>
          <t>NYQ</t>
        </is>
      </c>
      <c r="H276" s="4" t="inlineStr">
        <is>
          <t>USD</t>
        </is>
      </c>
      <c r="I276" s="5" t="n">
        <v>78784.733184</v>
      </c>
      <c r="J276" s="6">
        <f>INDEX(FX!$B:$B,MATCH(H276,FX!$A:$A,0))</f>
        <v/>
      </c>
      <c r="K276" s="5">
        <f>I276*J276</f>
        <v/>
      </c>
      <c r="L276" s="4">
        <f>IF(U276&lt;&gt;"",U276,IF(K276&gt;=Umbrales!$B$2,"Legendaria",IF(K276&gt;=Umbrales!$B$3,"Épica",IF(K276&gt;=Umbrales!$B$4,"Rara",IF(K276&gt;=Umbrales!$B$5,"Poco común","Común")))))</f>
        <v/>
      </c>
      <c r="M276" s="5" t="n">
        <v>24410.300416</v>
      </c>
      <c r="N276" s="5" t="n">
        <v>2688.199936</v>
      </c>
      <c r="O276" s="5">
        <f>IF(M276="","",M276*J276)</f>
        <v/>
      </c>
      <c r="P276" s="5">
        <f>IF(N276="","",N276*J276)</f>
        <v/>
      </c>
      <c r="Q276" s="7" t="n">
        <v>0.009899999999999999</v>
      </c>
      <c r="R276" s="8" t="n">
        <v>29.88398</v>
      </c>
      <c r="S276" s="4" t="inlineStr">
        <is>
          <t>DOW30, SP500</t>
        </is>
      </c>
      <c r="T276" s="9" t="inlineStr">
        <is>
          <t>SI</t>
        </is>
      </c>
      <c r="U276" s="9" t="inlineStr"/>
      <c r="V276" s="10">
        <f>Umbrales!$B$9*(K276/1000)^Umbrales!$B$10</f>
        <v/>
      </c>
    </row>
    <row r="277">
      <c r="A277" s="4" t="inlineStr">
        <is>
          <t>WBD</t>
        </is>
      </c>
      <c r="B277" s="4" t="inlineStr">
        <is>
          <t>Warner Bros. Discovery, Inc.</t>
        </is>
      </c>
      <c r="C277" s="4" t="inlineStr">
        <is>
          <t>United States</t>
        </is>
      </c>
      <c r="D277" s="4" t="inlineStr">
        <is>
          <t>US</t>
        </is>
      </c>
      <c r="E277" s="4" t="inlineStr">
        <is>
          <t>Comunicación</t>
        </is>
      </c>
      <c r="F277" s="4" t="inlineStr">
        <is>
          <t>Entertainment</t>
        </is>
      </c>
      <c r="G277" s="4" t="inlineStr">
        <is>
          <t>NMS</t>
        </is>
      </c>
      <c r="H277" s="4" t="inlineStr">
        <is>
          <t>USD</t>
        </is>
      </c>
      <c r="I277" s="5" t="n">
        <v>77595.885568</v>
      </c>
      <c r="J277" s="6">
        <f>INDEX(FX!$B:$B,MATCH(H277,FX!$A:$A,0))</f>
        <v/>
      </c>
      <c r="K277" s="5">
        <f>I277*J277</f>
        <v/>
      </c>
      <c r="L277" s="4">
        <f>IF(U277&lt;&gt;"",U277,IF(K277&gt;=Umbrales!$B$2,"Legendaria",IF(K277&gt;=Umbrales!$B$3,"Épica",IF(K277&gt;=Umbrales!$B$4,"Rara",IF(K277&gt;=Umbrales!$B$5,"Poco común","Común")))))</f>
        <v/>
      </c>
      <c r="M277" s="5" t="n">
        <v>36115.001344</v>
      </c>
      <c r="N277" s="5" t="n">
        <v>-3166.000128</v>
      </c>
      <c r="O277" s="5">
        <f>IF(M277="","",M277*J277)</f>
        <v/>
      </c>
      <c r="P277" s="5">
        <f>IF(N277="","",N277*J277)</f>
        <v/>
      </c>
      <c r="Q277" s="7" t="n">
        <v>0</v>
      </c>
      <c r="R277" s="8" t="n"/>
      <c r="S277" s="4" t="inlineStr">
        <is>
          <t>NASDAQ100</t>
        </is>
      </c>
      <c r="T277" s="9" t="inlineStr">
        <is>
          <t>SI</t>
        </is>
      </c>
      <c r="U277" s="9" t="inlineStr"/>
      <c r="V277" s="10">
        <f>Umbrales!$B$9*(K277/1000)^Umbrales!$B$10</f>
        <v/>
      </c>
    </row>
    <row r="278">
      <c r="A278" s="4" t="inlineStr">
        <is>
          <t>2359.HK</t>
        </is>
      </c>
      <c r="B278" s="4" t="inlineStr">
        <is>
          <t>WuXi AppTec Co., Ltd.</t>
        </is>
      </c>
      <c r="C278" s="4" t="inlineStr">
        <is>
          <t>China</t>
        </is>
      </c>
      <c r="D278" s="4" t="inlineStr">
        <is>
          <t>CN</t>
        </is>
      </c>
      <c r="E278" s="4" t="inlineStr">
        <is>
          <t>Salud</t>
        </is>
      </c>
      <c r="F278" s="4" t="inlineStr">
        <is>
          <t>Diagnostics &amp; Research</t>
        </is>
      </c>
      <c r="G278" s="4" t="inlineStr">
        <is>
          <t>HKG</t>
        </is>
      </c>
      <c r="H278" s="4" t="inlineStr">
        <is>
          <t>HKD</t>
        </is>
      </c>
      <c r="I278" s="5" t="n">
        <v>608801.783808</v>
      </c>
      <c r="J278" s="6">
        <f>INDEX(FX!$B:$B,MATCH(H278,FX!$A:$A,0))</f>
        <v/>
      </c>
      <c r="K278" s="5">
        <f>I278*J278</f>
        <v/>
      </c>
      <c r="L278" s="4">
        <f>IF(U278&lt;&gt;"",U278,IF(K278&gt;=Umbrales!$B$2,"Legendaria",IF(K278&gt;=Umbrales!$B$3,"Épica",IF(K278&gt;=Umbrales!$B$4,"Rara",IF(K278&gt;=Umbrales!$B$5,"Poco común","Común")))))</f>
        <v/>
      </c>
      <c r="M278" s="5" t="n">
        <v>51519.021056</v>
      </c>
      <c r="N278" s="5" t="n">
        <v>20340.115456</v>
      </c>
      <c r="O278" s="5">
        <f>IF(M278="","",M278*J278)</f>
        <v/>
      </c>
      <c r="P278" s="5">
        <f>IF(N278="","",N278*J278)</f>
        <v/>
      </c>
      <c r="Q278" s="7" t="n">
        <v>0.0058</v>
      </c>
      <c r="R278" s="8" t="n">
        <v>24.344662</v>
      </c>
      <c r="S278" s="4" t="inlineStr">
        <is>
          <t>HANGSENG</t>
        </is>
      </c>
      <c r="T278" s="9" t="inlineStr">
        <is>
          <t>SI</t>
        </is>
      </c>
      <c r="U278" s="9" t="inlineStr"/>
      <c r="V278" s="10">
        <f>Umbrales!$B$9*(K278/1000)^Umbrales!$B$10</f>
        <v/>
      </c>
    </row>
    <row r="279">
      <c r="A279" s="4" t="inlineStr">
        <is>
          <t>HPE</t>
        </is>
      </c>
      <c r="B279" s="4" t="inlineStr">
        <is>
          <t>Hewlett Packard Enterprise Company</t>
        </is>
      </c>
      <c r="C279" s="4" t="inlineStr">
        <is>
          <t>United States</t>
        </is>
      </c>
      <c r="D279" s="4" t="inlineStr">
        <is>
          <t>US</t>
        </is>
      </c>
      <c r="E279" s="4" t="inlineStr">
        <is>
          <t>Tecnología</t>
        </is>
      </c>
      <c r="F279" s="4" t="inlineStr">
        <is>
          <t>Communication Equipment</t>
        </is>
      </c>
      <c r="G279" s="4" t="inlineStr">
        <is>
          <t>NYQ</t>
        </is>
      </c>
      <c r="H279" s="4" t="inlineStr">
        <is>
          <t>USD</t>
        </is>
      </c>
      <c r="I279" s="5" t="n">
        <v>77101.285376</v>
      </c>
      <c r="J279" s="6">
        <f>INDEX(FX!$B:$B,MATCH(H279,FX!$A:$A,0))</f>
        <v/>
      </c>
      <c r="K279" s="5">
        <f>I279*J279</f>
        <v/>
      </c>
      <c r="L279" s="4">
        <f>IF(U279&lt;&gt;"",U279,IF(K279&gt;=Umbrales!$B$2,"Legendaria",IF(K279&gt;=Umbrales!$B$3,"Épica",IF(K279&gt;=Umbrales!$B$4,"Rara",IF(K279&gt;=Umbrales!$B$5,"Poco común","Común")))))</f>
        <v/>
      </c>
      <c r="M279" s="5" t="n">
        <v>41870.999552</v>
      </c>
      <c r="N279" s="5" t="n">
        <v>2675.000064</v>
      </c>
      <c r="O279" s="5">
        <f>IF(M279="","",M279*J279)</f>
        <v/>
      </c>
      <c r="P279" s="5">
        <f>IF(N279="","",N279*J279)</f>
        <v/>
      </c>
      <c r="Q279" s="7" t="n">
        <v>0.0083</v>
      </c>
      <c r="R279" s="8" t="n">
        <v>28.611626</v>
      </c>
      <c r="S279" s="4" t="inlineStr">
        <is>
          <t>SP500</t>
        </is>
      </c>
      <c r="T279" s="9" t="inlineStr">
        <is>
          <t>SI</t>
        </is>
      </c>
      <c r="U279" s="9" t="inlineStr"/>
      <c r="V279" s="10">
        <f>Umbrales!$B$9*(K279/1000)^Umbrales!$B$10</f>
        <v/>
      </c>
    </row>
    <row r="280">
      <c r="A280" s="4" t="inlineStr">
        <is>
          <t>LITE</t>
        </is>
      </c>
      <c r="B280" s="4" t="inlineStr">
        <is>
          <t>Lumentum Holdings Inc.</t>
        </is>
      </c>
      <c r="C280" s="4" t="inlineStr">
        <is>
          <t>United States</t>
        </is>
      </c>
      <c r="D280" s="4" t="inlineStr">
        <is>
          <t>US</t>
        </is>
      </c>
      <c r="E280" s="4" t="inlineStr">
        <is>
          <t>Tecnología</t>
        </is>
      </c>
      <c r="F280" s="4" t="inlineStr">
        <is>
          <t>Communication Equipment</t>
        </is>
      </c>
      <c r="G280" s="4" t="inlineStr">
        <is>
          <t>NMS</t>
        </is>
      </c>
      <c r="H280" s="4" t="inlineStr">
        <is>
          <t>USD</t>
        </is>
      </c>
      <c r="I280" s="5" t="n">
        <v>76843.245568</v>
      </c>
      <c r="J280" s="6">
        <f>INDEX(FX!$B:$B,MATCH(H280,FX!$A:$A,0))</f>
        <v/>
      </c>
      <c r="K280" s="5">
        <f>I280*J280</f>
        <v/>
      </c>
      <c r="L280" s="4">
        <f>IF(U280&lt;&gt;"",U280,IF(K280&gt;=Umbrales!$B$2,"Legendaria",IF(K280&gt;=Umbrales!$B$3,"Épica",IF(K280&gt;=Umbrales!$B$4,"Rara",IF(K280&gt;=Umbrales!$B$5,"Poco común","Común")))))</f>
        <v/>
      </c>
      <c r="M280" s="5" t="n">
        <v>3014.000128</v>
      </c>
      <c r="N280" s="5" t="n">
        <v>-6935.099904</v>
      </c>
      <c r="O280" s="5">
        <f>IF(M280="","",M280*J280)</f>
        <v/>
      </c>
      <c r="P280" s="5">
        <f>IF(N280="","",N280*J280)</f>
        <v/>
      </c>
      <c r="Q280" s="7" t="n">
        <v>0</v>
      </c>
      <c r="R280" s="8" t="n"/>
      <c r="S280" s="4" t="inlineStr">
        <is>
          <t>SP500</t>
        </is>
      </c>
      <c r="T280" s="9" t="inlineStr">
        <is>
          <t>SI</t>
        </is>
      </c>
      <c r="U280" s="9" t="inlineStr"/>
      <c r="V280" s="10">
        <f>Umbrales!$B$9*(K280/1000)^Umbrales!$B$10</f>
        <v/>
      </c>
    </row>
    <row r="281">
      <c r="A281" s="4" t="inlineStr">
        <is>
          <t>EL.PA</t>
        </is>
      </c>
      <c r="B281" s="4" t="inlineStr">
        <is>
          <t>EssilorLuxottica Société anonyme</t>
        </is>
      </c>
      <c r="C281" s="4" t="inlineStr">
        <is>
          <t>France</t>
        </is>
      </c>
      <c r="D281" s="4" t="inlineStr">
        <is>
          <t>FR</t>
        </is>
      </c>
      <c r="E281" s="4" t="inlineStr">
        <is>
          <t>Salud</t>
        </is>
      </c>
      <c r="F281" s="4" t="inlineStr">
        <is>
          <t>Medical Instruments &amp; Supplies</t>
        </is>
      </c>
      <c r="G281" s="4" t="inlineStr">
        <is>
          <t>PAR</t>
        </is>
      </c>
      <c r="H281" s="4" t="inlineStr">
        <is>
          <t>EUR</t>
        </is>
      </c>
      <c r="I281" s="5" t="n">
        <v>68526.66572800001</v>
      </c>
      <c r="J281" s="6">
        <f>INDEX(FX!$B:$B,MATCH(H281,FX!$A:$A,0))</f>
        <v/>
      </c>
      <c r="K281" s="5">
        <f>I281*J281</f>
        <v/>
      </c>
      <c r="L281" s="4">
        <f>IF(U281&lt;&gt;"",U281,IF(K281&gt;=Umbrales!$B$2,"Legendaria",IF(K281&gt;=Umbrales!$B$3,"Épica",IF(K281&gt;=Umbrales!$B$4,"Rara",IF(K281&gt;=Umbrales!$B$5,"Poco común","Común")))))</f>
        <v/>
      </c>
      <c r="M281" s="5" t="n">
        <v>29284.999168</v>
      </c>
      <c r="N281" s="5" t="n">
        <v>2494.000128</v>
      </c>
      <c r="O281" s="5">
        <f>IF(M281="","",M281*J281)</f>
        <v/>
      </c>
      <c r="P281" s="5">
        <f>IF(N281="","",N281*J281)</f>
        <v/>
      </c>
      <c r="Q281" s="7" t="n">
        <v>0.0273</v>
      </c>
      <c r="R281" s="8" t="n">
        <v>27.943926</v>
      </c>
      <c r="S281" s="4" t="inlineStr">
        <is>
          <t>CAC40, EUROSTOXX50</t>
        </is>
      </c>
      <c r="T281" s="9" t="inlineStr">
        <is>
          <t>SI</t>
        </is>
      </c>
      <c r="U281" s="9" t="inlineStr"/>
      <c r="V281" s="10">
        <f>Umbrales!$B$9*(K281/1000)^Umbrales!$B$10</f>
        <v/>
      </c>
    </row>
    <row r="282">
      <c r="A282" s="4" t="inlineStr">
        <is>
          <t>ITW</t>
        </is>
      </c>
      <c r="B282" s="4" t="inlineStr">
        <is>
          <t>Illinois Tool Works Inc.</t>
        </is>
      </c>
      <c r="C282" s="4" t="inlineStr">
        <is>
          <t>United States</t>
        </is>
      </c>
      <c r="D282" s="4" t="inlineStr">
        <is>
          <t>US</t>
        </is>
      </c>
      <c r="E282" s="4" t="inlineStr">
        <is>
          <t>Industria</t>
        </is>
      </c>
      <c r="F282" s="4" t="inlineStr">
        <is>
          <t>Specialty Industrial Machinery</t>
        </is>
      </c>
      <c r="G282" s="4" t="inlineStr">
        <is>
          <t>NYQ</t>
        </is>
      </c>
      <c r="H282" s="4" t="inlineStr">
        <is>
          <t>USD</t>
        </is>
      </c>
      <c r="I282" s="5" t="n">
        <v>76745.056256</v>
      </c>
      <c r="J282" s="6">
        <f>INDEX(FX!$B:$B,MATCH(H282,FX!$A:$A,0))</f>
        <v/>
      </c>
      <c r="K282" s="5">
        <f>I282*J282</f>
        <v/>
      </c>
      <c r="L282" s="4">
        <f>IF(U282&lt;&gt;"",U282,IF(K282&gt;=Umbrales!$B$2,"Legendaria",IF(K282&gt;=Umbrales!$B$3,"Épica",IF(K282&gt;=Umbrales!$B$4,"Rara",IF(K282&gt;=Umbrales!$B$5,"Poco común","Común")))))</f>
        <v/>
      </c>
      <c r="M282" s="5" t="n">
        <v>16469.000192</v>
      </c>
      <c r="N282" s="5" t="n">
        <v>3193.999872</v>
      </c>
      <c r="O282" s="5">
        <f>IF(M282="","",M282*J282)</f>
        <v/>
      </c>
      <c r="P282" s="5">
        <f>IF(N282="","",N282*J282)</f>
        <v/>
      </c>
      <c r="Q282" s="7" t="n">
        <v>0.0258</v>
      </c>
      <c r="R282" s="8" t="n">
        <v>24.146057</v>
      </c>
      <c r="S282" s="4" t="inlineStr">
        <is>
          <t>SP500</t>
        </is>
      </c>
      <c r="T282" s="9" t="inlineStr">
        <is>
          <t>SI</t>
        </is>
      </c>
      <c r="U282" s="9" t="inlineStr"/>
      <c r="V282" s="10">
        <f>Umbrales!$B$9*(K282/1000)^Umbrales!$B$10</f>
        <v/>
      </c>
    </row>
    <row r="283">
      <c r="A283" s="4" t="inlineStr">
        <is>
          <t>MUV2.DE</t>
        </is>
      </c>
      <c r="B283" s="4" t="inlineStr">
        <is>
          <t>Münchener Rückversicherungs-Gesellschaft Aktiengesellschaft in München</t>
        </is>
      </c>
      <c r="C283" s="4" t="inlineStr">
        <is>
          <t>Germany</t>
        </is>
      </c>
      <c r="D283" s="4" t="inlineStr">
        <is>
          <t>DE</t>
        </is>
      </c>
      <c r="E283" s="4" t="inlineStr">
        <is>
          <t>Finanzas</t>
        </is>
      </c>
      <c r="F283" s="4" t="inlineStr">
        <is>
          <t>Insurance - Reinsurance</t>
        </is>
      </c>
      <c r="G283" s="4" t="inlineStr">
        <is>
          <t>GER</t>
        </is>
      </c>
      <c r="H283" s="4" t="inlineStr">
        <is>
          <t>EUR</t>
        </is>
      </c>
      <c r="I283" s="5" t="n">
        <v>68443.070464</v>
      </c>
      <c r="J283" s="6">
        <f>INDEX(FX!$B:$B,MATCH(H283,FX!$A:$A,0))</f>
        <v/>
      </c>
      <c r="K283" s="5">
        <f>I283*J283</f>
        <v/>
      </c>
      <c r="L283" s="4">
        <f>IF(U283&lt;&gt;"",U283,IF(K283&gt;=Umbrales!$B$2,"Legendaria",IF(K283&gt;=Umbrales!$B$3,"Épica",IF(K283&gt;=Umbrales!$B$4,"Rara",IF(K283&gt;=Umbrales!$B$5,"Poco común","Común")))))</f>
        <v/>
      </c>
      <c r="M283" s="5" t="n">
        <v>61540.999168</v>
      </c>
      <c r="N283" s="5" t="n">
        <v>6870.000128</v>
      </c>
      <c r="O283" s="5">
        <f>IF(M283="","",M283*J283)</f>
        <v/>
      </c>
      <c r="P283" s="5">
        <f>IF(N283="","",N283*J283)</f>
        <v/>
      </c>
      <c r="Q283" s="7" t="n">
        <v>0.04650000000000001</v>
      </c>
      <c r="R283" s="8" t="n">
        <v>10.0684805</v>
      </c>
      <c r="S283" s="4" t="inlineStr">
        <is>
          <t>DAX40, EUROSTOXX50</t>
        </is>
      </c>
      <c r="T283" s="9" t="inlineStr">
        <is>
          <t>SI</t>
        </is>
      </c>
      <c r="U283" s="9" t="inlineStr"/>
      <c r="V283" s="10">
        <f>Umbrales!$B$9*(K283/1000)^Umbrales!$B$10</f>
        <v/>
      </c>
    </row>
    <row r="284">
      <c r="A284" s="4" t="inlineStr">
        <is>
          <t>CI</t>
        </is>
      </c>
      <c r="B284" s="4" t="inlineStr">
        <is>
          <t>The Cigna Group</t>
        </is>
      </c>
      <c r="C284" s="4" t="inlineStr">
        <is>
          <t>United States</t>
        </is>
      </c>
      <c r="D284" s="4" t="inlineStr">
        <is>
          <t>US</t>
        </is>
      </c>
      <c r="E284" s="4" t="inlineStr">
        <is>
          <t>Salud</t>
        </is>
      </c>
      <c r="F284" s="4" t="inlineStr">
        <is>
          <t>Healthcare Plans</t>
        </is>
      </c>
      <c r="G284" s="4" t="inlineStr">
        <is>
          <t>NYQ</t>
        </is>
      </c>
      <c r="H284" s="4" t="inlineStr">
        <is>
          <t>USD</t>
        </is>
      </c>
      <c r="I284" s="5" t="n">
        <v>76518.75225600001</v>
      </c>
      <c r="J284" s="6">
        <f>INDEX(FX!$B:$B,MATCH(H284,FX!$A:$A,0))</f>
        <v/>
      </c>
      <c r="K284" s="5">
        <f>I284*J284</f>
        <v/>
      </c>
      <c r="L284" s="4">
        <f>IF(U284&lt;&gt;"",U284,IF(K284&gt;=Umbrales!$B$2,"Legendaria",IF(K284&gt;=Umbrales!$B$3,"Épica",IF(K284&gt;=Umbrales!$B$4,"Rara",IF(K284&gt;=Umbrales!$B$5,"Poco común","Común")))))</f>
        <v/>
      </c>
      <c r="M284" s="5" t="n">
        <v>282382.00832</v>
      </c>
      <c r="N284" s="5" t="n">
        <v>6416</v>
      </c>
      <c r="O284" s="5">
        <f>IF(M284="","",M284*J284)</f>
        <v/>
      </c>
      <c r="P284" s="5">
        <f>IF(N284="","",N284*J284)</f>
        <v/>
      </c>
      <c r="Q284" s="7" t="n">
        <v>0.0221</v>
      </c>
      <c r="R284" s="8" t="n">
        <v>11.681322</v>
      </c>
      <c r="S284" s="4" t="inlineStr">
        <is>
          <t>SP500</t>
        </is>
      </c>
      <c r="T284" s="9" t="inlineStr">
        <is>
          <t>SI</t>
        </is>
      </c>
      <c r="U284" s="9" t="inlineStr"/>
      <c r="V284" s="10">
        <f>Umbrales!$B$9*(K284/1000)^Umbrales!$B$10</f>
        <v/>
      </c>
    </row>
    <row r="285">
      <c r="A285" s="4" t="inlineStr">
        <is>
          <t>CP.TO</t>
        </is>
      </c>
      <c r="B285" s="4" t="inlineStr">
        <is>
          <t>Canadian Pacific Kansas City Limited</t>
        </is>
      </c>
      <c r="C285" s="4" t="inlineStr">
        <is>
          <t>Canada</t>
        </is>
      </c>
      <c r="D285" s="4" t="inlineStr">
        <is>
          <t>CA</t>
        </is>
      </c>
      <c r="E285" s="4" t="inlineStr">
        <is>
          <t>Industria</t>
        </is>
      </c>
      <c r="F285" s="4" t="inlineStr">
        <is>
          <t>Railroads</t>
        </is>
      </c>
      <c r="G285" s="4" t="inlineStr">
        <is>
          <t>TOR</t>
        </is>
      </c>
      <c r="H285" s="4" t="inlineStr">
        <is>
          <t>CAD</t>
        </is>
      </c>
      <c r="I285" s="5" t="n">
        <v>108284.977152</v>
      </c>
      <c r="J285" s="6">
        <f>INDEX(FX!$B:$B,MATCH(H285,FX!$A:$A,0))</f>
        <v/>
      </c>
      <c r="K285" s="5">
        <f>I285*J285</f>
        <v/>
      </c>
      <c r="L285" s="4">
        <f>IF(U285&lt;&gt;"",U285,IF(K285&gt;=Umbrales!$B$2,"Legendaria",IF(K285&gt;=Umbrales!$B$3,"Épica",IF(K285&gt;=Umbrales!$B$4,"Rara",IF(K285&gt;=Umbrales!$B$5,"Poco común","Común")))))</f>
        <v/>
      </c>
      <c r="M285" s="5" t="n">
        <v>15448.999936</v>
      </c>
      <c r="N285" s="5" t="n">
        <v>3867.000064</v>
      </c>
      <c r="O285" s="5">
        <f>IF(M285="","",M285*J285)</f>
        <v/>
      </c>
      <c r="P285" s="5">
        <f>IF(N285="","",N285*J285)</f>
        <v/>
      </c>
      <c r="Q285" s="7" t="n">
        <v>0.008800000000000001</v>
      </c>
      <c r="R285" s="8" t="n">
        <v>28.448038</v>
      </c>
      <c r="S285" s="4" t="inlineStr">
        <is>
          <t>TSX60</t>
        </is>
      </c>
      <c r="T285" s="9" t="inlineStr">
        <is>
          <t>SI</t>
        </is>
      </c>
      <c r="U285" s="9" t="inlineStr"/>
      <c r="V285" s="10">
        <f>Umbrales!$B$9*(K285/1000)^Umbrales!$B$10</f>
        <v/>
      </c>
    </row>
    <row r="286">
      <c r="A286" s="4" t="inlineStr">
        <is>
          <t>BARC.L</t>
        </is>
      </c>
      <c r="B286" s="4" t="inlineStr">
        <is>
          <t>Barclays PLC</t>
        </is>
      </c>
      <c r="C286" s="4" t="inlineStr">
        <is>
          <t>United Kingdom</t>
        </is>
      </c>
      <c r="D286" s="4" t="inlineStr">
        <is>
          <t>GB</t>
        </is>
      </c>
      <c r="E286" s="4" t="inlineStr">
        <is>
          <t>Finanzas</t>
        </is>
      </c>
      <c r="F286" s="4" t="inlineStr">
        <is>
          <t>Banks - Diversified</t>
        </is>
      </c>
      <c r="G286" s="4" t="inlineStr">
        <is>
          <t>LSE</t>
        </is>
      </c>
      <c r="H286" s="4" t="inlineStr">
        <is>
          <t>GBP</t>
        </is>
      </c>
      <c r="I286" s="5" t="n">
        <v>57431.666688</v>
      </c>
      <c r="J286" s="6">
        <f>INDEX(FX!$B:$B,MATCH(H286,FX!$A:$A,0))</f>
        <v/>
      </c>
      <c r="K286" s="5">
        <f>I286*J286</f>
        <v/>
      </c>
      <c r="L286" s="4">
        <f>IF(U286&lt;&gt;"",U286,IF(K286&gt;=Umbrales!$B$2,"Legendaria",IF(K286&gt;=Umbrales!$B$3,"Épica",IF(K286&gt;=Umbrales!$B$4,"Rara",IF(K286&gt;=Umbrales!$B$5,"Poco común","Común")))))</f>
        <v/>
      </c>
      <c r="M286" s="5" t="n">
        <v>28141.000704</v>
      </c>
      <c r="N286" s="5" t="n">
        <v>6842.999808</v>
      </c>
      <c r="O286" s="5">
        <f>IF(M286="","",M286*J286)</f>
        <v/>
      </c>
      <c r="P286" s="5">
        <f>IF(N286="","",N286*J286)</f>
        <v/>
      </c>
      <c r="Q286" s="7" t="n">
        <v>0.0264</v>
      </c>
      <c r="R286" s="8" t="n">
        <v>8.975</v>
      </c>
      <c r="S286" s="4" t="inlineStr">
        <is>
          <t>FTSE100, UK_TOP</t>
        </is>
      </c>
      <c r="T286" s="9" t="inlineStr">
        <is>
          <t>SI</t>
        </is>
      </c>
      <c r="U286" s="9" t="inlineStr"/>
      <c r="V286" s="10">
        <f>Umbrales!$B$9*(K286/1000)^Umbrales!$B$10</f>
        <v/>
      </c>
    </row>
    <row r="287">
      <c r="A287" s="4" t="inlineStr">
        <is>
          <t>SPG</t>
        </is>
      </c>
      <c r="B287" s="4" t="inlineStr">
        <is>
          <t>Simon Property Group, Inc.</t>
        </is>
      </c>
      <c r="C287" s="4" t="inlineStr">
        <is>
          <t>United States</t>
        </is>
      </c>
      <c r="D287" s="4" t="inlineStr">
        <is>
          <t>US</t>
        </is>
      </c>
      <c r="E287" s="4" t="inlineStr">
        <is>
          <t>Inmobiliario</t>
        </is>
      </c>
      <c r="F287" s="4" t="inlineStr">
        <is>
          <t>REIT - Retail</t>
        </is>
      </c>
      <c r="G287" s="4" t="inlineStr">
        <is>
          <t>NYQ</t>
        </is>
      </c>
      <c r="H287" s="4" t="inlineStr">
        <is>
          <t>USD</t>
        </is>
      </c>
      <c r="I287" s="5" t="n">
        <v>75431.182336</v>
      </c>
      <c r="J287" s="6">
        <f>INDEX(FX!$B:$B,MATCH(H287,FX!$A:$A,0))</f>
        <v/>
      </c>
      <c r="K287" s="5">
        <f>I287*J287</f>
        <v/>
      </c>
      <c r="L287" s="4">
        <f>IF(U287&lt;&gt;"",U287,IF(K287&gt;=Umbrales!$B$2,"Legendaria",IF(K287&gt;=Umbrales!$B$3,"Épica",IF(K287&gt;=Umbrales!$B$4,"Rara",IF(K287&gt;=Umbrales!$B$5,"Poco común","Común")))))</f>
        <v/>
      </c>
      <c r="M287" s="5" t="n">
        <v>6940.724224</v>
      </c>
      <c r="N287" s="5" t="n">
        <v>4617.150976</v>
      </c>
      <c r="O287" s="5">
        <f>IF(M287="","",M287*J287)</f>
        <v/>
      </c>
      <c r="P287" s="5">
        <f>IF(N287="","",N287*J287)</f>
        <v/>
      </c>
      <c r="Q287" s="7" t="n">
        <v>0.0444</v>
      </c>
      <c r="R287" s="8" t="n">
        <v>14.162509</v>
      </c>
      <c r="S287" s="4" t="inlineStr">
        <is>
          <t>SP500</t>
        </is>
      </c>
      <c r="T287" s="9" t="inlineStr">
        <is>
          <t>SI</t>
        </is>
      </c>
      <c r="U287" s="9" t="inlineStr"/>
      <c r="V287" s="10">
        <f>Umbrales!$B$9*(K287/1000)^Umbrales!$B$10</f>
        <v/>
      </c>
    </row>
    <row r="288">
      <c r="A288" s="4" t="inlineStr">
        <is>
          <t>MSI</t>
        </is>
      </c>
      <c r="B288" s="4" t="inlineStr">
        <is>
          <t>Motorola Solutions, Inc.</t>
        </is>
      </c>
      <c r="C288" s="4" t="inlineStr">
        <is>
          <t>United States</t>
        </is>
      </c>
      <c r="D288" s="4" t="inlineStr">
        <is>
          <t>US</t>
        </is>
      </c>
      <c r="E288" s="4" t="inlineStr">
        <is>
          <t>Tecnología</t>
        </is>
      </c>
      <c r="F288" s="4" t="inlineStr">
        <is>
          <t>Communication Equipment</t>
        </is>
      </c>
      <c r="G288" s="4" t="inlineStr">
        <is>
          <t>NYQ</t>
        </is>
      </c>
      <c r="H288" s="4" t="inlineStr">
        <is>
          <t>USD</t>
        </is>
      </c>
      <c r="I288" s="5" t="n">
        <v>75410.55488</v>
      </c>
      <c r="J288" s="6">
        <f>INDEX(FX!$B:$B,MATCH(H288,FX!$A:$A,0))</f>
        <v/>
      </c>
      <c r="K288" s="5">
        <f>I288*J288</f>
        <v/>
      </c>
      <c r="L288" s="4">
        <f>IF(U288&lt;&gt;"",U288,IF(K288&gt;=Umbrales!$B$2,"Legendaria",IF(K288&gt;=Umbrales!$B$3,"Épica",IF(K288&gt;=Umbrales!$B$4,"Rara",IF(K288&gt;=Umbrales!$B$5,"Poco común","Común")))))</f>
        <v/>
      </c>
      <c r="M288" s="5" t="n">
        <v>12236.99968</v>
      </c>
      <c r="N288" s="5" t="n">
        <v>2134</v>
      </c>
      <c r="O288" s="5">
        <f>IF(M288="","",M288*J288)</f>
        <v/>
      </c>
      <c r="P288" s="5">
        <f>IF(N288="","",N288*J288)</f>
        <v/>
      </c>
      <c r="Q288" s="7" t="n">
        <v>0.0108</v>
      </c>
      <c r="R288" s="8" t="n">
        <v>35.65493</v>
      </c>
      <c r="S288" s="4" t="inlineStr">
        <is>
          <t>SP500</t>
        </is>
      </c>
      <c r="T288" s="9" t="inlineStr">
        <is>
          <t>SI</t>
        </is>
      </c>
      <c r="U288" s="9" t="inlineStr"/>
      <c r="V288" s="10">
        <f>Umbrales!$B$9*(K288/1000)^Umbrales!$B$10</f>
        <v/>
      </c>
    </row>
    <row r="289">
      <c r="A289" s="4" t="inlineStr">
        <is>
          <t>BA.L</t>
        </is>
      </c>
      <c r="B289" s="4" t="inlineStr">
        <is>
          <t>BAE Systems plc</t>
        </is>
      </c>
      <c r="C289" s="4" t="inlineStr">
        <is>
          <t>United Kingdom</t>
        </is>
      </c>
      <c r="D289" s="4" t="inlineStr">
        <is>
          <t>GB</t>
        </is>
      </c>
      <c r="E289" s="4" t="inlineStr">
        <is>
          <t>Industria</t>
        </is>
      </c>
      <c r="F289" s="4" t="inlineStr">
        <is>
          <t>Aerospace &amp; Defense</t>
        </is>
      </c>
      <c r="G289" s="4" t="inlineStr">
        <is>
          <t>LSE</t>
        </is>
      </c>
      <c r="H289" s="4" t="inlineStr">
        <is>
          <t>GBP</t>
        </is>
      </c>
      <c r="I289" s="5" t="n">
        <v>56566.74304</v>
      </c>
      <c r="J289" s="6">
        <f>INDEX(FX!$B:$B,MATCH(H289,FX!$A:$A,0))</f>
        <v/>
      </c>
      <c r="K289" s="5">
        <f>I289*J289</f>
        <v/>
      </c>
      <c r="L289" s="4">
        <f>IF(U289&lt;&gt;"",U289,IF(K289&gt;=Umbrales!$B$2,"Legendaria",IF(K289&gt;=Umbrales!$B$3,"Épica",IF(K289&gt;=Umbrales!$B$4,"Rara",IF(K289&gt;=Umbrales!$B$5,"Poco común","Común")))))</f>
        <v/>
      </c>
      <c r="M289" s="5" t="n">
        <v>29379.999744</v>
      </c>
      <c r="N289" s="5" t="n">
        <v>2112.999936</v>
      </c>
      <c r="O289" s="5">
        <f>IF(M289="","",M289*J289)</f>
        <v/>
      </c>
      <c r="P289" s="5">
        <f>IF(N289="","",N289*J289)</f>
        <v/>
      </c>
      <c r="Q289" s="7" t="n">
        <v>0.0195</v>
      </c>
      <c r="R289" s="8" t="n">
        <v>27.621428</v>
      </c>
      <c r="S289" s="4" t="inlineStr">
        <is>
          <t>FTSE100, UK_TOP</t>
        </is>
      </c>
      <c r="T289" s="9" t="inlineStr">
        <is>
          <t>SI</t>
        </is>
      </c>
      <c r="U289" s="9" t="inlineStr"/>
      <c r="V289" s="10">
        <f>Umbrales!$B$9*(K289/1000)^Umbrales!$B$10</f>
        <v/>
      </c>
    </row>
    <row r="290">
      <c r="A290" s="4" t="inlineStr">
        <is>
          <t>CMCSA</t>
        </is>
      </c>
      <c r="B290" s="4" t="inlineStr">
        <is>
          <t>Comcast Corporation</t>
        </is>
      </c>
      <c r="C290" s="4" t="inlineStr">
        <is>
          <t>United States</t>
        </is>
      </c>
      <c r="D290" s="4" t="inlineStr">
        <is>
          <t>US</t>
        </is>
      </c>
      <c r="E290" s="4" t="inlineStr">
        <is>
          <t>Comunicación</t>
        </is>
      </c>
      <c r="F290" s="4" t="inlineStr">
        <is>
          <t>Telecom Services</t>
        </is>
      </c>
      <c r="G290" s="4" t="inlineStr">
        <is>
          <t>NMS</t>
        </is>
      </c>
      <c r="H290" s="4" t="inlineStr">
        <is>
          <t>USD</t>
        </is>
      </c>
      <c r="I290" s="5" t="n">
        <v>74698.801152</v>
      </c>
      <c r="J290" s="6">
        <f>INDEX(FX!$B:$B,MATCH(H290,FX!$A:$A,0))</f>
        <v/>
      </c>
      <c r="K290" s="5">
        <f>I290*J290</f>
        <v/>
      </c>
      <c r="L290" s="4">
        <f>IF(U290&lt;&gt;"",U290,IF(K290&gt;=Umbrales!$B$2,"Legendaria",IF(K290&gt;=Umbrales!$B$3,"Épica",IF(K290&gt;=Umbrales!$B$4,"Rara",IF(K290&gt;=Umbrales!$B$5,"Poco común","Común")))))</f>
        <v/>
      </c>
      <c r="M290" s="5" t="n">
        <v>124903.99744</v>
      </c>
      <c r="N290" s="5" t="n">
        <v>11198.999552</v>
      </c>
      <c r="O290" s="5">
        <f>IF(M290="","",M290*J290)</f>
        <v/>
      </c>
      <c r="P290" s="5">
        <f>IF(N290="","",N290*J290)</f>
        <v/>
      </c>
      <c r="Q290" s="7" t="n">
        <v>0.06320000000000001</v>
      </c>
      <c r="R290" s="8" t="n">
        <v>6.7252393</v>
      </c>
      <c r="S290" s="4" t="inlineStr">
        <is>
          <t>NASDAQ100, SP500</t>
        </is>
      </c>
      <c r="T290" s="9" t="inlineStr">
        <is>
          <t>SI</t>
        </is>
      </c>
      <c r="U290" s="9" t="inlineStr"/>
      <c r="V290" s="10">
        <f>Umbrales!$B$9*(K290/1000)^Umbrales!$B$10</f>
        <v/>
      </c>
    </row>
    <row r="291">
      <c r="A291" s="4" t="inlineStr">
        <is>
          <t>RCL</t>
        </is>
      </c>
      <c r="B291" s="4" t="inlineStr">
        <is>
          <t>Royal Caribbean Cruises Ltd.</t>
        </is>
      </c>
      <c r="C291" s="4" t="inlineStr">
        <is>
          <t>United States</t>
        </is>
      </c>
      <c r="D291" s="4" t="inlineStr">
        <is>
          <t>US</t>
        </is>
      </c>
      <c r="E291" s="4" t="inlineStr">
        <is>
          <t>Consumo cíclico</t>
        </is>
      </c>
      <c r="F291" s="4" t="inlineStr">
        <is>
          <t>Travel Services</t>
        </is>
      </c>
      <c r="G291" s="4" t="inlineStr">
        <is>
          <t>NYQ</t>
        </is>
      </c>
      <c r="H291" s="4" t="inlineStr">
        <is>
          <t>USD</t>
        </is>
      </c>
      <c r="I291" s="5" t="n">
        <v>74517.49580800001</v>
      </c>
      <c r="J291" s="6">
        <f>INDEX(FX!$B:$B,MATCH(H291,FX!$A:$A,0))</f>
        <v/>
      </c>
      <c r="K291" s="5">
        <f>I291*J291</f>
        <v/>
      </c>
      <c r="L291" s="4">
        <f>IF(U291&lt;&gt;"",U291,IF(K291&gt;=Umbrales!$B$2,"Legendaria",IF(K291&gt;=Umbrales!$B$3,"Épica",IF(K291&gt;=Umbrales!$B$4,"Rara",IF(K291&gt;=Umbrales!$B$5,"Poco común","Común")))))</f>
        <v/>
      </c>
      <c r="M291" s="5" t="n">
        <v>18681.99936</v>
      </c>
      <c r="N291" s="5" t="n">
        <v>4398.000128</v>
      </c>
      <c r="O291" s="5">
        <f>IF(M291="","",M291*J291)</f>
        <v/>
      </c>
      <c r="P291" s="5">
        <f>IF(N291="","",N291*J291)</f>
        <v/>
      </c>
      <c r="Q291" s="7" t="n">
        <v>0.0213</v>
      </c>
      <c r="R291" s="8" t="n">
        <v>17.645346</v>
      </c>
      <c r="S291" s="4" t="inlineStr">
        <is>
          <t>SP500</t>
        </is>
      </c>
      <c r="T291" s="9" t="inlineStr">
        <is>
          <t>SI</t>
        </is>
      </c>
      <c r="U291" s="9" t="inlineStr"/>
      <c r="V291" s="10">
        <f>Umbrales!$B$9*(K291/1000)^Umbrales!$B$10</f>
        <v/>
      </c>
    </row>
    <row r="292">
      <c r="A292" s="4" t="inlineStr">
        <is>
          <t>IFX.DE</t>
        </is>
      </c>
      <c r="B292" s="4" t="inlineStr">
        <is>
          <t>Infineon Technologies AG</t>
        </is>
      </c>
      <c r="C292" s="4" t="inlineStr">
        <is>
          <t>Germany</t>
        </is>
      </c>
      <c r="D292" s="4" t="inlineStr">
        <is>
          <t>DE</t>
        </is>
      </c>
      <c r="E292" s="4" t="inlineStr">
        <is>
          <t>Tecnología</t>
        </is>
      </c>
      <c r="F292" s="4" t="inlineStr">
        <is>
          <t>Semiconductors</t>
        </is>
      </c>
      <c r="G292" s="4" t="inlineStr">
        <is>
          <t>GER</t>
        </is>
      </c>
      <c r="H292" s="4" t="inlineStr">
        <is>
          <t>EUR</t>
        </is>
      </c>
      <c r="I292" s="5" t="n">
        <v>66014.580736</v>
      </c>
      <c r="J292" s="6">
        <f>INDEX(FX!$B:$B,MATCH(H292,FX!$A:$A,0))</f>
        <v/>
      </c>
      <c r="K292" s="5">
        <f>I292*J292</f>
        <v/>
      </c>
      <c r="L292" s="4">
        <f>IF(U292&lt;&gt;"",U292,IF(K292&gt;=Umbrales!$B$2,"Legendaria",IF(K292&gt;=Umbrales!$B$3,"Épica",IF(K292&gt;=Umbrales!$B$4,"Rara",IF(K292&gt;=Umbrales!$B$5,"Poco común","Común")))))</f>
        <v/>
      </c>
      <c r="M292" s="5" t="n">
        <v>15591.000064</v>
      </c>
      <c r="N292" s="5" t="n">
        <v>1204</v>
      </c>
      <c r="O292" s="5">
        <f>IF(M292="","",M292*J292)</f>
        <v/>
      </c>
      <c r="P292" s="5">
        <f>IF(N292="","",N292*J292)</f>
        <v/>
      </c>
      <c r="Q292" s="7" t="n">
        <v>0.005699999999999999</v>
      </c>
      <c r="R292" s="8" t="n">
        <v>59.7647</v>
      </c>
      <c r="S292" s="4" t="inlineStr">
        <is>
          <t>DAX40, EUROSTOXX50</t>
        </is>
      </c>
      <c r="T292" s="9" t="inlineStr">
        <is>
          <t>SI</t>
        </is>
      </c>
      <c r="U292" s="9" t="inlineStr"/>
      <c r="V292" s="10">
        <f>Umbrales!$B$9*(K292/1000)^Umbrales!$B$10</f>
        <v/>
      </c>
    </row>
    <row r="293">
      <c r="A293" s="4" t="inlineStr">
        <is>
          <t>CL</t>
        </is>
      </c>
      <c r="B293" s="4" t="inlineStr">
        <is>
          <t>Colgate-Palmolive Company</t>
        </is>
      </c>
      <c r="C293" s="4" t="inlineStr">
        <is>
          <t>United States</t>
        </is>
      </c>
      <c r="D293" s="4" t="inlineStr">
        <is>
          <t>US</t>
        </is>
      </c>
      <c r="E293" s="4" t="inlineStr">
        <is>
          <t>Consumo básico</t>
        </is>
      </c>
      <c r="F293" s="4" t="inlineStr">
        <is>
          <t>Household &amp; Personal Products</t>
        </is>
      </c>
      <c r="G293" s="4" t="inlineStr">
        <is>
          <t>NYQ</t>
        </is>
      </c>
      <c r="H293" s="4" t="inlineStr">
        <is>
          <t>USD</t>
        </is>
      </c>
      <c r="I293" s="5" t="n">
        <v>73961.693184</v>
      </c>
      <c r="J293" s="6">
        <f>INDEX(FX!$B:$B,MATCH(H293,FX!$A:$A,0))</f>
        <v/>
      </c>
      <c r="K293" s="5">
        <f>I293*J293</f>
        <v/>
      </c>
      <c r="L293" s="4">
        <f>IF(U293&lt;&gt;"",U293,IF(K293&gt;=Umbrales!$B$2,"Legendaria",IF(K293&gt;=Umbrales!$B$3,"Épica",IF(K293&gt;=Umbrales!$B$4,"Rara",IF(K293&gt;=Umbrales!$B$5,"Poco común","Común")))))</f>
        <v/>
      </c>
      <c r="M293" s="5" t="n">
        <v>21046.99904</v>
      </c>
      <c r="N293" s="5" t="n">
        <v>2038</v>
      </c>
      <c r="O293" s="5">
        <f>IF(M293="","",M293*J293)</f>
        <v/>
      </c>
      <c r="P293" s="5">
        <f>IF(N293="","",N293*J293)</f>
        <v/>
      </c>
      <c r="Q293" s="7" t="n">
        <v>0.0236</v>
      </c>
      <c r="R293" s="8" t="n">
        <v>35.412216</v>
      </c>
      <c r="S293" s="4" t="inlineStr">
        <is>
          <t>SP500</t>
        </is>
      </c>
      <c r="T293" s="9" t="inlineStr">
        <is>
          <t>SI</t>
        </is>
      </c>
      <c r="U293" s="9" t="inlineStr"/>
      <c r="V293" s="10">
        <f>Umbrales!$B$9*(K293/1000)^Umbrales!$B$10</f>
        <v/>
      </c>
    </row>
    <row r="294">
      <c r="A294" s="4" t="inlineStr">
        <is>
          <t>HLT</t>
        </is>
      </c>
      <c r="B294" s="4" t="inlineStr">
        <is>
          <t>Hilton Worldwide Holdings Inc.</t>
        </is>
      </c>
      <c r="C294" s="4" t="inlineStr">
        <is>
          <t>United States</t>
        </is>
      </c>
      <c r="D294" s="4" t="inlineStr">
        <is>
          <t>US</t>
        </is>
      </c>
      <c r="E294" s="4" t="inlineStr">
        <is>
          <t>Consumo cíclico</t>
        </is>
      </c>
      <c r="F294" s="4" t="inlineStr">
        <is>
          <t>Lodging</t>
        </is>
      </c>
      <c r="G294" s="4" t="inlineStr">
        <is>
          <t>NYQ</t>
        </is>
      </c>
      <c r="H294" s="4" t="inlineStr">
        <is>
          <t>USD</t>
        </is>
      </c>
      <c r="I294" s="5" t="n">
        <v>73821.290496</v>
      </c>
      <c r="J294" s="6">
        <f>INDEX(FX!$B:$B,MATCH(H294,FX!$A:$A,0))</f>
        <v/>
      </c>
      <c r="K294" s="5">
        <f>I294*J294</f>
        <v/>
      </c>
      <c r="L294" s="4">
        <f>IF(U294&lt;&gt;"",U294,IF(K294&gt;=Umbrales!$B$2,"Legendaria",IF(K294&gt;=Umbrales!$B$3,"Épica",IF(K294&gt;=Umbrales!$B$4,"Rara",IF(K294&gt;=Umbrales!$B$5,"Poco común","Común")))))</f>
        <v/>
      </c>
      <c r="M294" s="5" t="n">
        <v>5104</v>
      </c>
      <c r="N294" s="5" t="n">
        <v>1584</v>
      </c>
      <c r="O294" s="5">
        <f>IF(M294="","",M294*J294)</f>
        <v/>
      </c>
      <c r="P294" s="5">
        <f>IF(N294="","",N294*J294)</f>
        <v/>
      </c>
      <c r="Q294" s="7" t="n">
        <v>0.0018</v>
      </c>
      <c r="R294" s="8" t="n">
        <v>48.09384</v>
      </c>
      <c r="S294" s="4" t="inlineStr">
        <is>
          <t>SP500</t>
        </is>
      </c>
      <c r="T294" s="9" t="inlineStr">
        <is>
          <t>SI</t>
        </is>
      </c>
      <c r="U294" s="9" t="inlineStr"/>
      <c r="V294" s="10">
        <f>Umbrales!$B$9*(K294/1000)^Umbrales!$B$10</f>
        <v/>
      </c>
    </row>
    <row r="295">
      <c r="A295" s="4" t="inlineStr">
        <is>
          <t>ROST</t>
        </is>
      </c>
      <c r="B295" s="4" t="inlineStr">
        <is>
          <t>Ross Stores, Inc.</t>
        </is>
      </c>
      <c r="C295" s="4" t="inlineStr">
        <is>
          <t>United States</t>
        </is>
      </c>
      <c r="D295" s="4" t="inlineStr">
        <is>
          <t>US</t>
        </is>
      </c>
      <c r="E295" s="4" t="inlineStr">
        <is>
          <t>Consumo cíclico</t>
        </is>
      </c>
      <c r="F295" s="4" t="inlineStr">
        <is>
          <t>Apparel Retail</t>
        </is>
      </c>
      <c r="G295" s="4" t="inlineStr">
        <is>
          <t>NMS</t>
        </is>
      </c>
      <c r="H295" s="4" t="inlineStr">
        <is>
          <t>USD</t>
        </is>
      </c>
      <c r="I295" s="5" t="n">
        <v>73656.311808</v>
      </c>
      <c r="J295" s="6">
        <f>INDEX(FX!$B:$B,MATCH(H295,FX!$A:$A,0))</f>
        <v/>
      </c>
      <c r="K295" s="5">
        <f>I295*J295</f>
        <v/>
      </c>
      <c r="L295" s="4">
        <f>IF(U295&lt;&gt;"",U295,IF(K295&gt;=Umbrales!$B$2,"Legendaria",IF(K295&gt;=Umbrales!$B$3,"Épica",IF(K295&gt;=Umbrales!$B$4,"Rara",IF(K295&gt;=Umbrales!$B$5,"Poco común","Común")))))</f>
        <v/>
      </c>
      <c r="M295" s="5" t="n">
        <v>24511.797248</v>
      </c>
      <c r="N295" s="5" t="n">
        <v>2659.06304</v>
      </c>
      <c r="O295" s="5">
        <f>IF(M295="","",M295*J295)</f>
        <v/>
      </c>
      <c r="P295" s="5">
        <f>IF(N295="","",N295*J295)</f>
        <v/>
      </c>
      <c r="Q295" s="7" t="n">
        <v>0.007900000000000001</v>
      </c>
      <c r="R295" s="8" t="n">
        <v>27.286392</v>
      </c>
      <c r="S295" s="4" t="inlineStr">
        <is>
          <t>NASDAQ100, SP500</t>
        </is>
      </c>
      <c r="T295" s="9" t="inlineStr">
        <is>
          <t>SI</t>
        </is>
      </c>
      <c r="U295" s="9" t="inlineStr"/>
      <c r="V295" s="10">
        <f>Umbrales!$B$9*(K295/1000)^Umbrales!$B$10</f>
        <v/>
      </c>
    </row>
    <row r="296">
      <c r="A296" s="4" t="inlineStr">
        <is>
          <t>CNR.TO</t>
        </is>
      </c>
      <c r="B296" s="4" t="inlineStr">
        <is>
          <t>Canadian National Railway Company</t>
        </is>
      </c>
      <c r="C296" s="4" t="inlineStr">
        <is>
          <t>Canada</t>
        </is>
      </c>
      <c r="D296" s="4" t="inlineStr">
        <is>
          <t>CA</t>
        </is>
      </c>
      <c r="E296" s="4" t="inlineStr">
        <is>
          <t>Industria</t>
        </is>
      </c>
      <c r="F296" s="4" t="inlineStr">
        <is>
          <t>Railroads</t>
        </is>
      </c>
      <c r="G296" s="4" t="inlineStr">
        <is>
          <t>TOR</t>
        </is>
      </c>
      <c r="H296" s="4" t="inlineStr">
        <is>
          <t>CAD</t>
        </is>
      </c>
      <c r="I296" s="5" t="n">
        <v>103730.01216</v>
      </c>
      <c r="J296" s="6">
        <f>INDEX(FX!$B:$B,MATCH(H296,FX!$A:$A,0))</f>
        <v/>
      </c>
      <c r="K296" s="5">
        <f>I296*J296</f>
        <v/>
      </c>
      <c r="L296" s="4">
        <f>IF(U296&lt;&gt;"",U296,IF(K296&gt;=Umbrales!$B$2,"Legendaria",IF(K296&gt;=Umbrales!$B$3,"Épica",IF(K296&gt;=Umbrales!$B$4,"Rara",IF(K296&gt;=Umbrales!$B$5,"Poco común","Común")))))</f>
        <v/>
      </c>
      <c r="M296" s="5" t="n">
        <v>17760.999424</v>
      </c>
      <c r="N296" s="5" t="n">
        <v>4782.000128</v>
      </c>
      <c r="O296" s="5">
        <f>IF(M296="","",M296*J296)</f>
        <v/>
      </c>
      <c r="P296" s="5">
        <f>IF(N296="","",N296*J296)</f>
        <v/>
      </c>
      <c r="Q296" s="7" t="n">
        <v>0.0216</v>
      </c>
      <c r="R296" s="8" t="n">
        <v>22.042362</v>
      </c>
      <c r="S296" s="4" t="inlineStr">
        <is>
          <t>TSX60</t>
        </is>
      </c>
      <c r="T296" s="9" t="inlineStr">
        <is>
          <t>SI</t>
        </is>
      </c>
      <c r="U296" s="9" t="inlineStr"/>
      <c r="V296" s="10">
        <f>Umbrales!$B$9*(K296/1000)^Umbrales!$B$10</f>
        <v/>
      </c>
    </row>
    <row r="297">
      <c r="A297" s="4" t="inlineStr">
        <is>
          <t>KMI</t>
        </is>
      </c>
      <c r="B297" s="4" t="inlineStr">
        <is>
          <t>Kinder Morgan, Inc.</t>
        </is>
      </c>
      <c r="C297" s="4" t="inlineStr">
        <is>
          <t>United States</t>
        </is>
      </c>
      <c r="D297" s="4" t="inlineStr">
        <is>
          <t>US</t>
        </is>
      </c>
      <c r="E297" s="4" t="inlineStr">
        <is>
          <t>Energía</t>
        </is>
      </c>
      <c r="F297" s="4" t="inlineStr">
        <is>
          <t>Oil &amp; Gas Midstream</t>
        </is>
      </c>
      <c r="G297" s="4" t="inlineStr">
        <is>
          <t>NYQ</t>
        </is>
      </c>
      <c r="H297" s="4" t="inlineStr">
        <is>
          <t>USD</t>
        </is>
      </c>
      <c r="I297" s="5" t="n">
        <v>72974.286848</v>
      </c>
      <c r="J297" s="6">
        <f>INDEX(FX!$B:$B,MATCH(H297,FX!$A:$A,0))</f>
        <v/>
      </c>
      <c r="K297" s="5">
        <f>I297*J297</f>
        <v/>
      </c>
      <c r="L297" s="4">
        <f>IF(U297&lt;&gt;"",U297,IF(K297&gt;=Umbrales!$B$2,"Legendaria",IF(K297&gt;=Umbrales!$B$3,"Épica",IF(K297&gt;=Umbrales!$B$4,"Rara",IF(K297&gt;=Umbrales!$B$5,"Poco común","Común")))))</f>
        <v/>
      </c>
      <c r="M297" s="5" t="n">
        <v>17959.000064</v>
      </c>
      <c r="N297" s="5" t="n">
        <v>3448.999936</v>
      </c>
      <c r="O297" s="5">
        <f>IF(M297="","",M297*J297)</f>
        <v/>
      </c>
      <c r="P297" s="5">
        <f>IF(N297="","",N297*J297)</f>
        <v/>
      </c>
      <c r="Q297" s="7" t="n">
        <v>0.0353</v>
      </c>
      <c r="R297" s="8" t="n">
        <v>21.161291</v>
      </c>
      <c r="S297" s="4" t="inlineStr">
        <is>
          <t>SP500</t>
        </is>
      </c>
      <c r="T297" s="9" t="inlineStr">
        <is>
          <t>SI</t>
        </is>
      </c>
      <c r="U297" s="9" t="inlineStr"/>
      <c r="V297" s="10">
        <f>Umbrales!$B$9*(K297/1000)^Umbrales!$B$10</f>
        <v/>
      </c>
    </row>
    <row r="298">
      <c r="A298" s="4" t="inlineStr">
        <is>
          <t>GM</t>
        </is>
      </c>
      <c r="B298" s="4" t="inlineStr">
        <is>
          <t>General Motors Company</t>
        </is>
      </c>
      <c r="C298" s="4" t="inlineStr">
        <is>
          <t>United States</t>
        </is>
      </c>
      <c r="D298" s="4" t="inlineStr">
        <is>
          <t>US</t>
        </is>
      </c>
      <c r="E298" s="4" t="inlineStr">
        <is>
          <t>Consumo cíclico</t>
        </is>
      </c>
      <c r="F298" s="4" t="inlineStr">
        <is>
          <t>Auto Manufacturers</t>
        </is>
      </c>
      <c r="G298" s="4" t="inlineStr">
        <is>
          <t>NYQ</t>
        </is>
      </c>
      <c r="H298" s="4" t="inlineStr">
        <is>
          <t>USD</t>
        </is>
      </c>
      <c r="I298" s="5" t="n">
        <v>72872.35379199999</v>
      </c>
      <c r="J298" s="6">
        <f>INDEX(FX!$B:$B,MATCH(H298,FX!$A:$A,0))</f>
        <v/>
      </c>
      <c r="K298" s="5">
        <f>I298*J298</f>
        <v/>
      </c>
      <c r="L298" s="4">
        <f>IF(U298&lt;&gt;"",U298,IF(K298&gt;=Umbrales!$B$2,"Legendaria",IF(K298&gt;=Umbrales!$B$3,"Épica",IF(K298&gt;=Umbrales!$B$4,"Rara",IF(K298&gt;=Umbrales!$B$5,"Poco común","Común")))))</f>
        <v/>
      </c>
      <c r="M298" s="5" t="n">
        <v>185527.99232</v>
      </c>
      <c r="N298" s="5" t="n">
        <v>1856.999936</v>
      </c>
      <c r="O298" s="5">
        <f>IF(M298="","",M298*J298)</f>
        <v/>
      </c>
      <c r="P298" s="5">
        <f>IF(N298="","",N298*J298)</f>
        <v/>
      </c>
      <c r="Q298" s="7" t="n">
        <v>0.0086</v>
      </c>
      <c r="R298" s="8" t="n">
        <v>37.75</v>
      </c>
      <c r="S298" s="4" t="inlineStr">
        <is>
          <t>SP500</t>
        </is>
      </c>
      <c r="T298" s="9" t="inlineStr">
        <is>
          <t>SI</t>
        </is>
      </c>
      <c r="U298" s="9" t="inlineStr"/>
      <c r="V298" s="10">
        <f>Umbrales!$B$9*(K298/1000)^Umbrales!$B$10</f>
        <v/>
      </c>
    </row>
    <row r="299">
      <c r="A299" s="4" t="inlineStr">
        <is>
          <t>NSC</t>
        </is>
      </c>
      <c r="B299" s="4" t="inlineStr">
        <is>
          <t>Norfolk Southern Corporation</t>
        </is>
      </c>
      <c r="C299" s="4" t="inlineStr">
        <is>
          <t>United States</t>
        </is>
      </c>
      <c r="D299" s="4" t="inlineStr">
        <is>
          <t>US</t>
        </is>
      </c>
      <c r="E299" s="4" t="inlineStr">
        <is>
          <t>Industria</t>
        </is>
      </c>
      <c r="F299" s="4" t="inlineStr">
        <is>
          <t>Railroads</t>
        </is>
      </c>
      <c r="G299" s="4" t="inlineStr">
        <is>
          <t>NYQ</t>
        </is>
      </c>
      <c r="H299" s="4" t="inlineStr">
        <is>
          <t>USD</t>
        </is>
      </c>
      <c r="I299" s="5" t="n">
        <v>72712.47052800001</v>
      </c>
      <c r="J299" s="6">
        <f>INDEX(FX!$B:$B,MATCH(H299,FX!$A:$A,0))</f>
        <v/>
      </c>
      <c r="K299" s="5">
        <f>I299*J299</f>
        <v/>
      </c>
      <c r="L299" s="4">
        <f>IF(U299&lt;&gt;"",U299,IF(K299&gt;=Umbrales!$B$2,"Legendaria",IF(K299&gt;=Umbrales!$B$3,"Épica",IF(K299&gt;=Umbrales!$B$4,"Rara",IF(K299&gt;=Umbrales!$B$5,"Poco común","Común")))))</f>
        <v/>
      </c>
      <c r="M299" s="5" t="n">
        <v>12540.000256</v>
      </c>
      <c r="N299" s="5" t="n">
        <v>2632.999936</v>
      </c>
      <c r="O299" s="5">
        <f>IF(M299="","",M299*J299)</f>
        <v/>
      </c>
      <c r="P299" s="5">
        <f>IF(N299="","",N299*J299)</f>
        <v/>
      </c>
      <c r="Q299" s="7" t="n">
        <v>0.0168</v>
      </c>
      <c r="R299" s="8" t="n">
        <v>27.622013</v>
      </c>
      <c r="S299" s="4" t="inlineStr">
        <is>
          <t>SP500</t>
        </is>
      </c>
      <c r="T299" s="9" t="inlineStr">
        <is>
          <t>SI</t>
        </is>
      </c>
      <c r="U299" s="9" t="inlineStr"/>
      <c r="V299" s="10">
        <f>Umbrales!$B$9*(K299/1000)^Umbrales!$B$10</f>
        <v/>
      </c>
    </row>
    <row r="300">
      <c r="A300" s="4" t="inlineStr">
        <is>
          <t>CMI</t>
        </is>
      </c>
      <c r="B300" s="4" t="inlineStr">
        <is>
          <t>Cummins Inc.</t>
        </is>
      </c>
      <c r="C300" s="4" t="inlineStr">
        <is>
          <t>United States</t>
        </is>
      </c>
      <c r="D300" s="4" t="inlineStr">
        <is>
          <t>US</t>
        </is>
      </c>
      <c r="E300" s="4" t="inlineStr">
        <is>
          <t>Industria</t>
        </is>
      </c>
      <c r="F300" s="4" t="inlineStr">
        <is>
          <t>Specialty Industrial Machinery</t>
        </is>
      </c>
      <c r="G300" s="4" t="inlineStr">
        <is>
          <t>NYQ</t>
        </is>
      </c>
      <c r="H300" s="4" t="inlineStr">
        <is>
          <t>USD</t>
        </is>
      </c>
      <c r="I300" s="5" t="n">
        <v>72477.376512</v>
      </c>
      <c r="J300" s="6">
        <f>INDEX(FX!$B:$B,MATCH(H300,FX!$A:$A,0))</f>
        <v/>
      </c>
      <c r="K300" s="5">
        <f>I300*J300</f>
        <v/>
      </c>
      <c r="L300" s="4">
        <f>IF(U300&lt;&gt;"",U300,IF(K300&gt;=Umbrales!$B$2,"Legendaria",IF(K300&gt;=Umbrales!$B$3,"Épica",IF(K300&gt;=Umbrales!$B$4,"Rara",IF(K300&gt;=Umbrales!$B$5,"Poco común","Común")))))</f>
        <v/>
      </c>
      <c r="M300" s="5" t="n">
        <v>34708.000768</v>
      </c>
      <c r="N300" s="5" t="n">
        <v>2715.000064</v>
      </c>
      <c r="O300" s="5">
        <f>IF(M300="","",M300*J300)</f>
        <v/>
      </c>
      <c r="P300" s="5">
        <f>IF(N300="","",N300*J300)</f>
        <v/>
      </c>
      <c r="Q300" s="7" t="n">
        <v>0.0166</v>
      </c>
      <c r="R300" s="8" t="n">
        <v>27.018517</v>
      </c>
      <c r="S300" s="4" t="inlineStr">
        <is>
          <t>SP500</t>
        </is>
      </c>
      <c r="T300" s="9" t="inlineStr">
        <is>
          <t>SI</t>
        </is>
      </c>
      <c r="U300" s="9" t="inlineStr"/>
      <c r="V300" s="10">
        <f>Umbrales!$B$9*(K300/1000)^Umbrales!$B$10</f>
        <v/>
      </c>
    </row>
    <row r="301">
      <c r="A301" s="4" t="inlineStr">
        <is>
          <t>SLB</t>
        </is>
      </c>
      <c r="B301" s="4" t="inlineStr">
        <is>
          <t>SLB N.V.</t>
        </is>
      </c>
      <c r="C301" s="4" t="inlineStr">
        <is>
          <t>United States</t>
        </is>
      </c>
      <c r="D301" s="4" t="inlineStr">
        <is>
          <t>US</t>
        </is>
      </c>
      <c r="E301" s="4" t="inlineStr">
        <is>
          <t>Energía</t>
        </is>
      </c>
      <c r="F301" s="4" t="inlineStr">
        <is>
          <t>Oil &amp; Gas Equipment &amp; Services</t>
        </is>
      </c>
      <c r="G301" s="4" t="inlineStr">
        <is>
          <t>NYQ</t>
        </is>
      </c>
      <c r="H301" s="4" t="inlineStr">
        <is>
          <t>USD</t>
        </is>
      </c>
      <c r="I301" s="5" t="n">
        <v>71995.785216</v>
      </c>
      <c r="J301" s="6">
        <f>INDEX(FX!$B:$B,MATCH(H301,FX!$A:$A,0))</f>
        <v/>
      </c>
      <c r="K301" s="5">
        <f>I301*J301</f>
        <v/>
      </c>
      <c r="L301" s="4">
        <f>IF(U301&lt;&gt;"",U301,IF(K301&gt;=Umbrales!$B$2,"Legendaria",IF(K301&gt;=Umbrales!$B$3,"Épica",IF(K301&gt;=Umbrales!$B$4,"Rara",IF(K301&gt;=Umbrales!$B$5,"Poco común","Común")))))</f>
        <v/>
      </c>
      <c r="M301" s="5" t="n">
        <v>36366.000128</v>
      </c>
      <c r="N301" s="5" t="n">
        <v>3100.999936</v>
      </c>
      <c r="O301" s="5">
        <f>IF(M301="","",M301*J301)</f>
        <v/>
      </c>
      <c r="P301" s="5">
        <f>IF(N301="","",N301*J301)</f>
        <v/>
      </c>
      <c r="Q301" s="7" t="n">
        <v>0.0242</v>
      </c>
      <c r="R301" s="8" t="n">
        <v>23.434782</v>
      </c>
      <c r="S301" s="4" t="inlineStr">
        <is>
          <t>SP500</t>
        </is>
      </c>
      <c r="T301" s="9" t="inlineStr">
        <is>
          <t>SI</t>
        </is>
      </c>
      <c r="U301" s="9" t="inlineStr"/>
      <c r="V301" s="10">
        <f>Umbrales!$B$9*(K301/1000)^Umbrales!$B$10</f>
        <v/>
      </c>
    </row>
    <row r="302">
      <c r="A302" s="4" t="inlineStr">
        <is>
          <t>BAM.TO</t>
        </is>
      </c>
      <c r="B302" s="4" t="inlineStr">
        <is>
          <t>Brookfield Asset Management Ltd.</t>
        </is>
      </c>
      <c r="C302" s="4" t="inlineStr">
        <is>
          <t>United States</t>
        </is>
      </c>
      <c r="D302" s="4" t="inlineStr">
        <is>
          <t>US</t>
        </is>
      </c>
      <c r="E302" s="4" t="inlineStr">
        <is>
          <t>Finanzas</t>
        </is>
      </c>
      <c r="F302" s="4" t="inlineStr">
        <is>
          <t>Asset Management</t>
        </is>
      </c>
      <c r="G302" s="4" t="inlineStr">
        <is>
          <t>TOR</t>
        </is>
      </c>
      <c r="H302" s="4" t="inlineStr">
        <is>
          <t>CAD</t>
        </is>
      </c>
      <c r="I302" s="5" t="n">
        <v>102080.34816</v>
      </c>
      <c r="J302" s="6">
        <f>INDEX(FX!$B:$B,MATCH(H302,FX!$A:$A,0))</f>
        <v/>
      </c>
      <c r="K302" s="5">
        <f>I302*J302</f>
        <v/>
      </c>
      <c r="L302" s="4">
        <f>IF(U302&lt;&gt;"",U302,IF(K302&gt;=Umbrales!$B$2,"Legendaria",IF(K302&gt;=Umbrales!$B$3,"Épica",IF(K302&gt;=Umbrales!$B$4,"Rara",IF(K302&gt;=Umbrales!$B$5,"Poco común","Común")))))</f>
        <v/>
      </c>
      <c r="M302" s="5" t="n">
        <v>5736.999936</v>
      </c>
      <c r="N302" s="5" t="n">
        <v>2804.999936</v>
      </c>
      <c r="O302" s="5">
        <f>IF(M302="","",M302*J302)</f>
        <v/>
      </c>
      <c r="P302" s="5">
        <f>IF(N302="","",N302*J302)</f>
        <v/>
      </c>
      <c r="Q302" s="7" t="n">
        <v>0.0443</v>
      </c>
      <c r="R302" s="8" t="n">
        <v>26.966246</v>
      </c>
      <c r="S302" s="4" t="inlineStr">
        <is>
          <t>TSX60</t>
        </is>
      </c>
      <c r="T302" s="9" t="inlineStr">
        <is>
          <t>SI</t>
        </is>
      </c>
      <c r="U302" s="9" t="inlineStr"/>
      <c r="V302" s="10">
        <f>Umbrales!$B$9*(K302/1000)^Umbrales!$B$10</f>
        <v/>
      </c>
    </row>
    <row r="303">
      <c r="A303" s="4" t="inlineStr">
        <is>
          <t>MFC.TO</t>
        </is>
      </c>
      <c r="B303" s="4" t="inlineStr">
        <is>
          <t>Manulife Financial Corporation</t>
        </is>
      </c>
      <c r="C303" s="4" t="inlineStr">
        <is>
          <t>Canada</t>
        </is>
      </c>
      <c r="D303" s="4" t="inlineStr">
        <is>
          <t>CA</t>
        </is>
      </c>
      <c r="E303" s="4" t="inlineStr">
        <is>
          <t>Finanzas</t>
        </is>
      </c>
      <c r="F303" s="4" t="inlineStr">
        <is>
          <t>Insurance - Life</t>
        </is>
      </c>
      <c r="G303" s="4" t="inlineStr">
        <is>
          <t>TOR</t>
        </is>
      </c>
      <c r="H303" s="4" t="inlineStr">
        <is>
          <t>CAD</t>
        </is>
      </c>
      <c r="I303" s="5" t="n">
        <v>102037.004288</v>
      </c>
      <c r="J303" s="6">
        <f>INDEX(FX!$B:$B,MATCH(H303,FX!$A:$A,0))</f>
        <v/>
      </c>
      <c r="K303" s="5">
        <f>I303*J303</f>
        <v/>
      </c>
      <c r="L303" s="4">
        <f>IF(U303&lt;&gt;"",U303,IF(K303&gt;=Umbrales!$B$2,"Legendaria",IF(K303&gt;=Umbrales!$B$3,"Épica",IF(K303&gt;=Umbrales!$B$4,"Rara",IF(K303&gt;=Umbrales!$B$5,"Poco común","Común")))))</f>
        <v/>
      </c>
      <c r="M303" s="5" t="n">
        <v>33108.000768</v>
      </c>
      <c r="N303" s="5" t="n">
        <v>6232.999936</v>
      </c>
      <c r="O303" s="5">
        <f>IF(M303="","",M303*J303)</f>
        <v/>
      </c>
      <c r="P303" s="5">
        <f>IF(N303="","",N303*J303)</f>
        <v/>
      </c>
      <c r="Q303" s="7" t="n">
        <v>0.0315</v>
      </c>
      <c r="R303" s="8" t="n">
        <v>16.76087</v>
      </c>
      <c r="S303" s="4" t="inlineStr">
        <is>
          <t>TSX60</t>
        </is>
      </c>
      <c r="T303" s="9" t="inlineStr">
        <is>
          <t>SI</t>
        </is>
      </c>
      <c r="U303" s="9" t="inlineStr"/>
      <c r="V303" s="10">
        <f>Umbrales!$B$9*(K303/1000)^Umbrales!$B$10</f>
        <v/>
      </c>
    </row>
    <row r="304">
      <c r="A304" s="4" t="inlineStr">
        <is>
          <t>DHL.DE</t>
        </is>
      </c>
      <c r="B304" s="4" t="inlineStr">
        <is>
          <t>DHL AG</t>
        </is>
      </c>
      <c r="C304" s="4" t="inlineStr">
        <is>
          <t>Germany</t>
        </is>
      </c>
      <c r="D304" s="4" t="inlineStr">
        <is>
          <t>DE</t>
        </is>
      </c>
      <c r="E304" s="4" t="inlineStr">
        <is>
          <t>Industria</t>
        </is>
      </c>
      <c r="F304" s="4" t="inlineStr">
        <is>
          <t>Integrated Freight &amp; Logistics</t>
        </is>
      </c>
      <c r="G304" s="4" t="inlineStr">
        <is>
          <t>GER</t>
        </is>
      </c>
      <c r="H304" s="4" t="inlineStr">
        <is>
          <t>EUR</t>
        </is>
      </c>
      <c r="I304" s="5" t="n">
        <v>63998.328832</v>
      </c>
      <c r="J304" s="6">
        <f>INDEX(FX!$B:$B,MATCH(H304,FX!$A:$A,0))</f>
        <v/>
      </c>
      <c r="K304" s="5">
        <f>I304*J304</f>
        <v/>
      </c>
      <c r="L304" s="4">
        <f>IF(U304&lt;&gt;"",U304,IF(K304&gt;=Umbrales!$B$2,"Legendaria",IF(K304&gt;=Umbrales!$B$3,"Épica",IF(K304&gt;=Umbrales!$B$4,"Rara",IF(K304&gt;=Umbrales!$B$5,"Poco común","Común")))))</f>
        <v/>
      </c>
      <c r="M304" s="5" t="n">
        <v>85574.00064</v>
      </c>
      <c r="N304" s="5" t="n">
        <v>3716.999936</v>
      </c>
      <c r="O304" s="5">
        <f>IF(M304="","",M304*J304)</f>
        <v/>
      </c>
      <c r="P304" s="5">
        <f>IF(N304="","",N304*J304)</f>
        <v/>
      </c>
      <c r="Q304" s="7" t="n">
        <v>0.0342</v>
      </c>
      <c r="R304" s="8" t="n">
        <v>17.274925</v>
      </c>
      <c r="S304" s="4" t="inlineStr">
        <is>
          <t>DAX40, EUROSTOXX50</t>
        </is>
      </c>
      <c r="T304" s="9" t="inlineStr">
        <is>
          <t>SI</t>
        </is>
      </c>
      <c r="U304" s="9" t="inlineStr"/>
      <c r="V304" s="10">
        <f>Umbrales!$B$9*(K304/1000)^Umbrales!$B$10</f>
        <v/>
      </c>
    </row>
    <row r="305">
      <c r="A305" s="4" t="inlineStr">
        <is>
          <t>G.MI</t>
        </is>
      </c>
      <c r="B305" s="4" t="inlineStr">
        <is>
          <t>Assicurazioni Generali S.p.A.</t>
        </is>
      </c>
      <c r="C305" s="4" t="inlineStr">
        <is>
          <t>Italy</t>
        </is>
      </c>
      <c r="D305" s="4" t="inlineStr">
        <is>
          <t>IT</t>
        </is>
      </c>
      <c r="E305" s="4" t="inlineStr">
        <is>
          <t>Finanzas</t>
        </is>
      </c>
      <c r="F305" s="4" t="inlineStr">
        <is>
          <t>Insurance - Diversified</t>
        </is>
      </c>
      <c r="G305" s="4" t="inlineStr">
        <is>
          <t>MIL</t>
        </is>
      </c>
      <c r="H305" s="4" t="inlineStr">
        <is>
          <t>EUR</t>
        </is>
      </c>
      <c r="I305" s="5" t="n">
        <v>63828.832256</v>
      </c>
      <c r="J305" s="6">
        <f>INDEX(FX!$B:$B,MATCH(H305,FX!$A:$A,0))</f>
        <v/>
      </c>
      <c r="K305" s="5">
        <f>I305*J305</f>
        <v/>
      </c>
      <c r="L305" s="4">
        <f>IF(U305&lt;&gt;"",U305,IF(K305&gt;=Umbrales!$B$2,"Legendaria",IF(K305&gt;=Umbrales!$B$3,"Épica",IF(K305&gt;=Umbrales!$B$4,"Rara",IF(K305&gt;=Umbrales!$B$5,"Poco común","Común")))))</f>
        <v/>
      </c>
      <c r="M305" s="5" t="n">
        <v>59320.000512</v>
      </c>
      <c r="N305" s="5" t="n">
        <v>4526.000128</v>
      </c>
      <c r="O305" s="5">
        <f>IF(M305="","",M305*J305)</f>
        <v/>
      </c>
      <c r="P305" s="5">
        <f>IF(N305="","",N305*J305)</f>
        <v/>
      </c>
      <c r="Q305" s="7" t="n">
        <v>0.0389</v>
      </c>
      <c r="R305" s="8" t="n">
        <v>14.40339</v>
      </c>
      <c r="S305" s="4" t="inlineStr">
        <is>
          <t>FTSEMIB</t>
        </is>
      </c>
      <c r="T305" s="9" t="inlineStr">
        <is>
          <t>SI</t>
        </is>
      </c>
      <c r="U305" s="9" t="inlineStr"/>
      <c r="V305" s="10">
        <f>Umbrales!$B$9*(K305/1000)^Umbrales!$B$10</f>
        <v/>
      </c>
    </row>
    <row r="306">
      <c r="A306" s="4" t="inlineStr">
        <is>
          <t>NWG.L</t>
        </is>
      </c>
      <c r="B306" s="4" t="inlineStr">
        <is>
          <t>NatWest Group plc</t>
        </is>
      </c>
      <c r="C306" s="4" t="inlineStr">
        <is>
          <t>United Kingdom</t>
        </is>
      </c>
      <c r="D306" s="4" t="inlineStr">
        <is>
          <t>GB</t>
        </is>
      </c>
      <c r="E306" s="4" t="inlineStr">
        <is>
          <t>Finanzas</t>
        </is>
      </c>
      <c r="F306" s="4" t="inlineStr">
        <is>
          <t>Banks - Regional</t>
        </is>
      </c>
      <c r="G306" s="4" t="inlineStr">
        <is>
          <t>LSE</t>
        </is>
      </c>
      <c r="H306" s="4" t="inlineStr">
        <is>
          <t>GBP</t>
        </is>
      </c>
      <c r="I306" s="5" t="n">
        <v>53513.080832</v>
      </c>
      <c r="J306" s="6">
        <f>INDEX(FX!$B:$B,MATCH(H306,FX!$A:$A,0))</f>
        <v/>
      </c>
      <c r="K306" s="5">
        <f>I306*J306</f>
        <v/>
      </c>
      <c r="L306" s="4">
        <f>IF(U306&lt;&gt;"",U306,IF(K306&gt;=Umbrales!$B$2,"Legendaria",IF(K306&gt;=Umbrales!$B$3,"Épica",IF(K306&gt;=Umbrales!$B$4,"Rara",IF(K306&gt;=Umbrales!$B$5,"Poco común","Común")))))</f>
        <v/>
      </c>
      <c r="M306" s="5" t="n">
        <v>16805.999616</v>
      </c>
      <c r="N306" s="5" t="n">
        <v>6025.999872</v>
      </c>
      <c r="O306" s="5">
        <f>IF(M306="","",M306*J306)</f>
        <v/>
      </c>
      <c r="P306" s="5">
        <f>IF(N306="","",N306*J306)</f>
        <v/>
      </c>
      <c r="Q306" s="7" t="n">
        <v>0.0525</v>
      </c>
      <c r="R306" s="8" t="n">
        <v>9.010667</v>
      </c>
      <c r="S306" s="4" t="inlineStr">
        <is>
          <t>FTSE100</t>
        </is>
      </c>
      <c r="T306" s="9" t="inlineStr">
        <is>
          <t>SI</t>
        </is>
      </c>
      <c r="U306" s="9" t="inlineStr"/>
      <c r="V306" s="10">
        <f>Umbrales!$B$9*(K306/1000)^Umbrales!$B$10</f>
        <v/>
      </c>
    </row>
    <row r="307">
      <c r="A307" s="4" t="inlineStr">
        <is>
          <t>TGT</t>
        </is>
      </c>
      <c r="B307" s="4" t="inlineStr">
        <is>
          <t>Target Corporation</t>
        </is>
      </c>
      <c r="C307" s="4" t="inlineStr">
        <is>
          <t>United States</t>
        </is>
      </c>
      <c r="D307" s="4" t="inlineStr">
        <is>
          <t>US</t>
        </is>
      </c>
      <c r="E307" s="4" t="inlineStr">
        <is>
          <t>Consumo básico</t>
        </is>
      </c>
      <c r="F307" s="4" t="inlineStr">
        <is>
          <t>Discount Stores</t>
        </is>
      </c>
      <c r="G307" s="4" t="inlineStr">
        <is>
          <t>NYQ</t>
        </is>
      </c>
      <c r="H307" s="4" t="inlineStr">
        <is>
          <t>USD</t>
        </is>
      </c>
      <c r="I307" s="5" t="n">
        <v>70556.00844799999</v>
      </c>
      <c r="J307" s="6">
        <f>INDEX(FX!$B:$B,MATCH(H307,FX!$A:$A,0))</f>
        <v/>
      </c>
      <c r="K307" s="5">
        <f>I307*J307</f>
        <v/>
      </c>
      <c r="L307" s="4">
        <f>IF(U307&lt;&gt;"",U307,IF(K307&gt;=Umbrales!$B$2,"Legendaria",IF(K307&gt;=Umbrales!$B$3,"Épica",IF(K307&gt;=Umbrales!$B$4,"Rara",IF(K307&gt;=Umbrales!$B$5,"Poco común","Común")))))</f>
        <v/>
      </c>
      <c r="M307" s="5" t="n">
        <v>107704.999936</v>
      </c>
      <c r="N307" s="5" t="n">
        <v>4392</v>
      </c>
      <c r="O307" s="5">
        <f>IF(M307="","",M307*J307)</f>
        <v/>
      </c>
      <c r="P307" s="5">
        <f>IF(N307="","",N307*J307)</f>
        <v/>
      </c>
      <c r="Q307" s="7" t="n">
        <v>0.0305</v>
      </c>
      <c r="R307" s="8" t="n">
        <v>15.783536</v>
      </c>
      <c r="S307" s="4" t="inlineStr">
        <is>
          <t>SP500</t>
        </is>
      </c>
      <c r="T307" s="9" t="inlineStr">
        <is>
          <t>SI</t>
        </is>
      </c>
      <c r="U307" s="9" t="inlineStr"/>
      <c r="V307" s="10">
        <f>Umbrales!$B$9*(K307/1000)^Umbrales!$B$10</f>
        <v/>
      </c>
    </row>
    <row r="308">
      <c r="A308" s="4" t="inlineStr">
        <is>
          <t>NOC</t>
        </is>
      </c>
      <c r="B308" s="4" t="inlineStr">
        <is>
          <t>Northrop Grumman Corporation</t>
        </is>
      </c>
      <c r="C308" s="4" t="inlineStr">
        <is>
          <t>United States</t>
        </is>
      </c>
      <c r="D308" s="4" t="inlineStr">
        <is>
          <t>US</t>
        </is>
      </c>
      <c r="E308" s="4" t="inlineStr">
        <is>
          <t>Industria</t>
        </is>
      </c>
      <c r="F308" s="4" t="inlineStr">
        <is>
          <t>Aerospace &amp; Defense</t>
        </is>
      </c>
      <c r="G308" s="4" t="inlineStr">
        <is>
          <t>NYQ</t>
        </is>
      </c>
      <c r="H308" s="4" t="inlineStr">
        <is>
          <t>USD</t>
        </is>
      </c>
      <c r="I308" s="5" t="n">
        <v>70419.21843199999</v>
      </c>
      <c r="J308" s="6">
        <f>INDEX(FX!$B:$B,MATCH(H308,FX!$A:$A,0))</f>
        <v/>
      </c>
      <c r="K308" s="5">
        <f>I308*J308</f>
        <v/>
      </c>
      <c r="L308" s="4">
        <f>IF(U308&lt;&gt;"",U308,IF(K308&gt;=Umbrales!$B$2,"Legendaria",IF(K308&gt;=Umbrales!$B$3,"Épica",IF(K308&gt;=Umbrales!$B$4,"Rara",IF(K308&gt;=Umbrales!$B$5,"Poco común","Común")))))</f>
        <v/>
      </c>
      <c r="M308" s="5" t="n">
        <v>42892.00128</v>
      </c>
      <c r="N308" s="5" t="n">
        <v>4496</v>
      </c>
      <c r="O308" s="5">
        <f>IF(M308="","",M308*J308)</f>
        <v/>
      </c>
      <c r="P308" s="5">
        <f>IF(N308="","",N308*J308)</f>
        <v/>
      </c>
      <c r="Q308" s="7" t="n">
        <v>0.0205</v>
      </c>
      <c r="R308" s="8" t="n">
        <v>15.756199</v>
      </c>
      <c r="S308" s="4" t="inlineStr">
        <is>
          <t>SP500</t>
        </is>
      </c>
      <c r="T308" s="9" t="inlineStr">
        <is>
          <t>SI</t>
        </is>
      </c>
      <c r="U308" s="9" t="inlineStr"/>
      <c r="V308" s="10">
        <f>Umbrales!$B$9*(K308/1000)^Umbrales!$B$10</f>
        <v/>
      </c>
    </row>
    <row r="309">
      <c r="A309" s="4" t="inlineStr">
        <is>
          <t>ORLY</t>
        </is>
      </c>
      <c r="B309" s="4" t="inlineStr">
        <is>
          <t>O'Reilly Automotive, Inc.</t>
        </is>
      </c>
      <c r="C309" s="4" t="inlineStr">
        <is>
          <t>United States</t>
        </is>
      </c>
      <c r="D309" s="4" t="inlineStr">
        <is>
          <t>US</t>
        </is>
      </c>
      <c r="E309" s="4" t="inlineStr">
        <is>
          <t>Consumo cíclico</t>
        </is>
      </c>
      <c r="F309" s="4" t="inlineStr">
        <is>
          <t>Auto Parts</t>
        </is>
      </c>
      <c r="G309" s="4" t="inlineStr">
        <is>
          <t>NMS</t>
        </is>
      </c>
      <c r="H309" s="4" t="inlineStr">
        <is>
          <t>USD</t>
        </is>
      </c>
      <c r="I309" s="5" t="n">
        <v>70128.812032</v>
      </c>
      <c r="J309" s="6">
        <f>INDEX(FX!$B:$B,MATCH(H309,FX!$A:$A,0))</f>
        <v/>
      </c>
      <c r="K309" s="5">
        <f>I309*J309</f>
        <v/>
      </c>
      <c r="L309" s="4">
        <f>IF(U309&lt;&gt;"",U309,IF(K309&gt;=Umbrales!$B$2,"Legendaria",IF(K309&gt;=Umbrales!$B$3,"Épica",IF(K309&gt;=Umbrales!$B$4,"Rara",IF(K309&gt;=Umbrales!$B$5,"Poco común","Común")))))</f>
        <v/>
      </c>
      <c r="M309" s="5" t="n">
        <v>18572.562432</v>
      </c>
      <c r="N309" s="5" t="n">
        <v>2650.373888</v>
      </c>
      <c r="O309" s="5">
        <f>IF(M309="","",M309*J309)</f>
        <v/>
      </c>
      <c r="P309" s="5">
        <f>IF(N309="","",N309*J309)</f>
        <v/>
      </c>
      <c r="Q309" s="7" t="n">
        <v>0</v>
      </c>
      <c r="R309" s="8" t="n">
        <v>27.347004</v>
      </c>
      <c r="S309" s="4" t="inlineStr">
        <is>
          <t>NASDAQ100, SP500</t>
        </is>
      </c>
      <c r="T309" s="9" t="inlineStr">
        <is>
          <t>SI</t>
        </is>
      </c>
      <c r="U309" s="9" t="inlineStr"/>
      <c r="V309" s="10">
        <f>Umbrales!$B$9*(K309/1000)^Umbrales!$B$10</f>
        <v/>
      </c>
    </row>
    <row r="310">
      <c r="A310" s="4" t="inlineStr">
        <is>
          <t>MRK.DE</t>
        </is>
      </c>
      <c r="B310" s="4" t="inlineStr">
        <is>
          <t>Merck KGaA</t>
        </is>
      </c>
      <c r="C310" s="4" t="inlineStr">
        <is>
          <t>Germany</t>
        </is>
      </c>
      <c r="D310" s="4" t="inlineStr">
        <is>
          <t>DE</t>
        </is>
      </c>
      <c r="E310" s="4" t="inlineStr">
        <is>
          <t>Salud</t>
        </is>
      </c>
      <c r="F310" s="4" t="inlineStr">
        <is>
          <t>Drug Manufacturers - Specialty &amp; Generic</t>
        </is>
      </c>
      <c r="G310" s="4" t="inlineStr">
        <is>
          <t>GER</t>
        </is>
      </c>
      <c r="H310" s="4" t="inlineStr">
        <is>
          <t>EUR</t>
        </is>
      </c>
      <c r="I310" s="5" t="n">
        <v>61890.633728</v>
      </c>
      <c r="J310" s="6">
        <f>INDEX(FX!$B:$B,MATCH(H310,FX!$A:$A,0))</f>
        <v/>
      </c>
      <c r="K310" s="5">
        <f>I310*J310</f>
        <v/>
      </c>
      <c r="L310" s="4">
        <f>IF(U310&lt;&gt;"",U310,IF(K310&gt;=Umbrales!$B$2,"Legendaria",IF(K310&gt;=Umbrales!$B$3,"Épica",IF(K310&gt;=Umbrales!$B$4,"Rara",IF(K310&gt;=Umbrales!$B$5,"Poco común","Común")))))</f>
        <v/>
      </c>
      <c r="M310" s="5" t="n">
        <v>21134.999552</v>
      </c>
      <c r="N310" s="5" t="n">
        <v>2369.999872</v>
      </c>
      <c r="O310" s="5">
        <f>IF(M310="","",M310*J310)</f>
        <v/>
      </c>
      <c r="P310" s="5">
        <f>IF(N310="","",N310*J310)</f>
        <v/>
      </c>
      <c r="Q310" s="7" t="n">
        <v>0.0157</v>
      </c>
      <c r="R310" s="8" t="n">
        <v>26.60748</v>
      </c>
      <c r="S310" s="4" t="inlineStr">
        <is>
          <t>DAX40</t>
        </is>
      </c>
      <c r="T310" s="9" t="inlineStr">
        <is>
          <t>SI</t>
        </is>
      </c>
      <c r="U310" s="9" t="inlineStr"/>
      <c r="V310" s="10">
        <f>Umbrales!$B$9*(K310/1000)^Umbrales!$B$10</f>
        <v/>
      </c>
    </row>
    <row r="311">
      <c r="A311" s="4" t="inlineStr">
        <is>
          <t>0386.HK</t>
        </is>
      </c>
      <c r="B311" s="4" t="inlineStr">
        <is>
          <t>China Petroleum &amp; Chemical Corporation</t>
        </is>
      </c>
      <c r="C311" s="4" t="inlineStr">
        <is>
          <t>China</t>
        </is>
      </c>
      <c r="D311" s="4" t="inlineStr">
        <is>
          <t>CN</t>
        </is>
      </c>
      <c r="E311" s="4" t="inlineStr">
        <is>
          <t>Energía</t>
        </is>
      </c>
      <c r="F311" s="4" t="inlineStr">
        <is>
          <t>Oil &amp; Gas Integrated</t>
        </is>
      </c>
      <c r="G311" s="4" t="inlineStr">
        <is>
          <t>HKG</t>
        </is>
      </c>
      <c r="H311" s="4" t="inlineStr">
        <is>
          <t>HKD</t>
        </is>
      </c>
      <c r="I311" s="5" t="n">
        <v>543069.732864</v>
      </c>
      <c r="J311" s="6">
        <f>INDEX(FX!$B:$B,MATCH(H311,FX!$A:$A,0))</f>
        <v/>
      </c>
      <c r="K311" s="5">
        <f>I311*J311</f>
        <v/>
      </c>
      <c r="L311" s="4">
        <f>IF(U311&lt;&gt;"",U311,IF(K311&gt;=Umbrales!$B$2,"Legendaria",IF(K311&gt;=Umbrales!$B$3,"Épica",IF(K311&gt;=Umbrales!$B$4,"Rara",IF(K311&gt;=Umbrales!$B$5,"Poco común","Común")))))</f>
        <v/>
      </c>
      <c r="M311" s="5" t="n">
        <v>2811092.00896</v>
      </c>
      <c r="N311" s="5" t="n">
        <v>35291.000832</v>
      </c>
      <c r="O311" s="5">
        <f>IF(M311="","",M311*J311)</f>
        <v/>
      </c>
      <c r="P311" s="5">
        <f>IF(N311="","",N311*J311)</f>
        <v/>
      </c>
      <c r="Q311" s="7" t="n">
        <v>0.0533</v>
      </c>
      <c r="R311" s="8" t="n">
        <v>13.636363</v>
      </c>
      <c r="S311" s="4" t="inlineStr">
        <is>
          <t>HANGSENG</t>
        </is>
      </c>
      <c r="T311" s="9" t="inlineStr">
        <is>
          <t>SI</t>
        </is>
      </c>
      <c r="U311" s="9" t="inlineStr"/>
      <c r="V311" s="10">
        <f>Umbrales!$B$9*(K311/1000)^Umbrales!$B$10</f>
        <v/>
      </c>
    </row>
    <row r="312">
      <c r="A312" s="4" t="inlineStr">
        <is>
          <t>FDX</t>
        </is>
      </c>
      <c r="B312" s="4" t="inlineStr">
        <is>
          <t>FedEx Corporation</t>
        </is>
      </c>
      <c r="C312" s="4" t="inlineStr">
        <is>
          <t>United States</t>
        </is>
      </c>
      <c r="D312" s="4" t="inlineStr">
        <is>
          <t>US</t>
        </is>
      </c>
      <c r="E312" s="4" t="inlineStr">
        <is>
          <t>Industria</t>
        </is>
      </c>
      <c r="F312" s="4" t="inlineStr">
        <is>
          <t>Integrated Freight &amp; Logistics</t>
        </is>
      </c>
      <c r="G312" s="4" t="inlineStr">
        <is>
          <t>NYQ</t>
        </is>
      </c>
      <c r="H312" s="4" t="inlineStr">
        <is>
          <t>USD</t>
        </is>
      </c>
      <c r="I312" s="5" t="n">
        <v>68937.35936</v>
      </c>
      <c r="J312" s="6">
        <f>INDEX(FX!$B:$B,MATCH(H312,FX!$A:$A,0))</f>
        <v/>
      </c>
      <c r="K312" s="5">
        <f>I312*J312</f>
        <v/>
      </c>
      <c r="L312" s="4">
        <f>IF(U312&lt;&gt;"",U312,IF(K312&gt;=Umbrales!$B$2,"Legendaria",IF(K312&gt;=Umbrales!$B$3,"Épica",IF(K312&gt;=Umbrales!$B$4,"Rara",IF(K312&gt;=Umbrales!$B$5,"Poco común","Común")))))</f>
        <v/>
      </c>
      <c r="M312" s="5" t="n">
        <v>94720</v>
      </c>
      <c r="N312" s="5" t="n">
        <v>4425.999872</v>
      </c>
      <c r="O312" s="5">
        <f>IF(M312="","",M312*J312)</f>
        <v/>
      </c>
      <c r="P312" s="5">
        <f>IF(N312="","",N312*J312)</f>
        <v/>
      </c>
      <c r="Q312" s="7" t="n">
        <v>0.0168</v>
      </c>
      <c r="R312" s="8" t="n">
        <v>15.668639</v>
      </c>
      <c r="S312" s="4" t="inlineStr">
        <is>
          <t>SP500</t>
        </is>
      </c>
      <c r="T312" s="9" t="inlineStr">
        <is>
          <t>SI</t>
        </is>
      </c>
      <c r="U312" s="9" t="inlineStr"/>
      <c r="V312" s="10">
        <f>Umbrales!$B$9*(K312/1000)^Umbrales!$B$10</f>
        <v/>
      </c>
    </row>
    <row r="313">
      <c r="A313" s="4" t="inlineStr">
        <is>
          <t>RSG</t>
        </is>
      </c>
      <c r="B313" s="4" t="inlineStr">
        <is>
          <t>Republic Services, Inc.</t>
        </is>
      </c>
      <c r="C313" s="4" t="inlineStr">
        <is>
          <t>United States</t>
        </is>
      </c>
      <c r="D313" s="4" t="inlineStr">
        <is>
          <t>US</t>
        </is>
      </c>
      <c r="E313" s="4" t="inlineStr">
        <is>
          <t>Industria</t>
        </is>
      </c>
      <c r="F313" s="4" t="inlineStr">
        <is>
          <t>Waste Management</t>
        </is>
      </c>
      <c r="G313" s="4" t="inlineStr">
        <is>
          <t>NYQ</t>
        </is>
      </c>
      <c r="H313" s="4" t="inlineStr">
        <is>
          <t>USD</t>
        </is>
      </c>
      <c r="I313" s="5" t="n">
        <v>68726.448128</v>
      </c>
      <c r="J313" s="6">
        <f>INDEX(FX!$B:$B,MATCH(H313,FX!$A:$A,0))</f>
        <v/>
      </c>
      <c r="K313" s="5">
        <f>I313*J313</f>
        <v/>
      </c>
      <c r="L313" s="4">
        <f>IF(U313&lt;&gt;"",U313,IF(K313&gt;=Umbrales!$B$2,"Legendaria",IF(K313&gt;=Umbrales!$B$3,"Épica",IF(K313&gt;=Umbrales!$B$4,"Rara",IF(K313&gt;=Umbrales!$B$5,"Poco común","Común")))))</f>
        <v/>
      </c>
      <c r="M313" s="5" t="n">
        <v>16890.999808</v>
      </c>
      <c r="N313" s="5" t="n">
        <v>2185.999872</v>
      </c>
      <c r="O313" s="5">
        <f>IF(M313="","",M313*J313)</f>
        <v/>
      </c>
      <c r="P313" s="5">
        <f>IF(N313="","",N313*J313)</f>
        <v/>
      </c>
      <c r="Q313" s="7" t="n">
        <v>0.0122</v>
      </c>
      <c r="R313" s="8" t="n">
        <v>31.83546</v>
      </c>
      <c r="S313" s="4" t="inlineStr">
        <is>
          <t>SP500</t>
        </is>
      </c>
      <c r="T313" s="9" t="inlineStr">
        <is>
          <t>SI</t>
        </is>
      </c>
      <c r="U313" s="9" t="inlineStr"/>
      <c r="V313" s="10">
        <f>Umbrales!$B$9*(K313/1000)^Umbrales!$B$10</f>
        <v/>
      </c>
    </row>
    <row r="314">
      <c r="A314" s="4" t="inlineStr">
        <is>
          <t>AEP</t>
        </is>
      </c>
      <c r="B314" s="4" t="inlineStr">
        <is>
          <t>American Electric Power Company, Inc.</t>
        </is>
      </c>
      <c r="C314" s="4" t="inlineStr">
        <is>
          <t>United States</t>
        </is>
      </c>
      <c r="D314" s="4" t="inlineStr">
        <is>
          <t>US</t>
        </is>
      </c>
      <c r="E314" s="4" t="inlineStr">
        <is>
          <t>Servicios públicos</t>
        </is>
      </c>
      <c r="F314" s="4" t="inlineStr">
        <is>
          <t>Utilities - Regulated Electric</t>
        </is>
      </c>
      <c r="G314" s="4" t="inlineStr">
        <is>
          <t>NMS</t>
        </is>
      </c>
      <c r="H314" s="4" t="inlineStr">
        <is>
          <t>USD</t>
        </is>
      </c>
      <c r="I314" s="5" t="n">
        <v>68664.840192</v>
      </c>
      <c r="J314" s="6">
        <f>INDEX(FX!$B:$B,MATCH(H314,FX!$A:$A,0))</f>
        <v/>
      </c>
      <c r="K314" s="5">
        <f>I314*J314</f>
        <v/>
      </c>
      <c r="L314" s="4">
        <f>IF(U314&lt;&gt;"",U314,IF(K314&gt;=Umbrales!$B$2,"Legendaria",IF(K314&gt;=Umbrales!$B$3,"Épica",IF(K314&gt;=Umbrales!$B$4,"Rara",IF(K314&gt;=Umbrales!$B$5,"Poco común","Común")))))</f>
        <v/>
      </c>
      <c r="M314" s="5" t="n">
        <v>22791.000064</v>
      </c>
      <c r="N314" s="5" t="n">
        <v>3140.999936</v>
      </c>
      <c r="O314" s="5">
        <f>IF(M314="","",M314*J314)</f>
        <v/>
      </c>
      <c r="P314" s="5">
        <f>IF(N314="","",N314*J314)</f>
        <v/>
      </c>
      <c r="Q314" s="7" t="n">
        <v>0.0302</v>
      </c>
      <c r="R314" s="8" t="n">
        <v>21.85962</v>
      </c>
      <c r="S314" s="4" t="inlineStr">
        <is>
          <t>NASDAQ100, SP500</t>
        </is>
      </c>
      <c r="T314" s="9" t="inlineStr">
        <is>
          <t>SI</t>
        </is>
      </c>
      <c r="U314" s="9" t="inlineStr"/>
      <c r="V314" s="10">
        <f>Umbrales!$B$9*(K314/1000)^Umbrales!$B$10</f>
        <v/>
      </c>
    </row>
    <row r="315">
      <c r="A315" s="4" t="inlineStr">
        <is>
          <t>RACE.MI</t>
        </is>
      </c>
      <c r="B315" s="4" t="inlineStr">
        <is>
          <t>Ferrari N.V.</t>
        </is>
      </c>
      <c r="C315" s="4" t="inlineStr">
        <is>
          <t>Italy</t>
        </is>
      </c>
      <c r="D315" s="4" t="inlineStr">
        <is>
          <t>IT</t>
        </is>
      </c>
      <c r="E315" s="4" t="inlineStr">
        <is>
          <t>Consumo cíclico</t>
        </is>
      </c>
      <c r="F315" s="4" t="inlineStr">
        <is>
          <t>Auto Manufacturers</t>
        </is>
      </c>
      <c r="G315" s="4" t="inlineStr">
        <is>
          <t>MIL</t>
        </is>
      </c>
      <c r="H315" s="4" t="inlineStr">
        <is>
          <t>EUR</t>
        </is>
      </c>
      <c r="I315" s="5" t="n">
        <v>61144.428544</v>
      </c>
      <c r="J315" s="6">
        <f>INDEX(FX!$B:$B,MATCH(H315,FX!$A:$A,0))</f>
        <v/>
      </c>
      <c r="K315" s="5">
        <f>I315*J315</f>
        <v/>
      </c>
      <c r="L315" s="4">
        <f>IF(U315&lt;&gt;"",U315,IF(K315&gt;=Umbrales!$B$2,"Legendaria",IF(K315&gt;=Umbrales!$B$3,"Épica",IF(K315&gt;=Umbrales!$B$4,"Rara",IF(K315&gt;=Umbrales!$B$5,"Poco común","Común")))))</f>
        <v/>
      </c>
      <c r="M315" s="5" t="n">
        <v>7353.30816</v>
      </c>
      <c r="N315" s="5" t="n">
        <v>1636.115968</v>
      </c>
      <c r="O315" s="5">
        <f>IF(M315="","",M315*J315)</f>
        <v/>
      </c>
      <c r="P315" s="5">
        <f>IF(N315="","",N315*J315)</f>
        <v/>
      </c>
      <c r="Q315" s="7" t="n">
        <v>0.0103</v>
      </c>
      <c r="R315" s="8" t="n">
        <v>37.76815</v>
      </c>
      <c r="S315" s="4" t="inlineStr">
        <is>
          <t>EUROSTOXX50, FTSEMIB</t>
        </is>
      </c>
      <c r="T315" s="9" t="inlineStr">
        <is>
          <t>SI</t>
        </is>
      </c>
      <c r="U315" s="9" t="inlineStr"/>
      <c r="V315" s="10">
        <f>Umbrales!$B$9*(K315/1000)^Umbrales!$B$10</f>
        <v/>
      </c>
    </row>
    <row r="316">
      <c r="A316" s="4" t="inlineStr">
        <is>
          <t>2388.HK</t>
        </is>
      </c>
      <c r="B316" s="4" t="inlineStr">
        <is>
          <t>BOC Hong Kong (Holdings) Limited</t>
        </is>
      </c>
      <c r="C316" s="4" t="inlineStr">
        <is>
          <t>Hong Kong</t>
        </is>
      </c>
      <c r="D316" s="4" t="inlineStr">
        <is>
          <t>HK</t>
        </is>
      </c>
      <c r="E316" s="4" t="inlineStr">
        <is>
          <t>Finanzas</t>
        </is>
      </c>
      <c r="F316" s="4" t="inlineStr">
        <is>
          <t>Banks - Regional</t>
        </is>
      </c>
      <c r="G316" s="4" t="inlineStr">
        <is>
          <t>HKG</t>
        </is>
      </c>
      <c r="H316" s="4" t="inlineStr">
        <is>
          <t>HKD</t>
        </is>
      </c>
      <c r="I316" s="5" t="n">
        <v>533396.783104</v>
      </c>
      <c r="J316" s="6">
        <f>INDEX(FX!$B:$B,MATCH(H316,FX!$A:$A,0))</f>
        <v/>
      </c>
      <c r="K316" s="5">
        <f>I316*J316</f>
        <v/>
      </c>
      <c r="L316" s="4">
        <f>IF(U316&lt;&gt;"",U316,IF(K316&gt;=Umbrales!$B$2,"Legendaria",IF(K316&gt;=Umbrales!$B$3,"Épica",IF(K316&gt;=Umbrales!$B$4,"Rara",IF(K316&gt;=Umbrales!$B$5,"Poco común","Común")))))</f>
        <v/>
      </c>
      <c r="M316" s="5" t="n">
        <v>69338.996736</v>
      </c>
      <c r="N316" s="5" t="n">
        <v>41699.999744</v>
      </c>
      <c r="O316" s="5">
        <f>IF(M316="","",M316*J316)</f>
        <v/>
      </c>
      <c r="P316" s="5">
        <f>IF(N316="","",N316*J316)</f>
        <v/>
      </c>
      <c r="Q316" s="7" t="n">
        <v>0.0417</v>
      </c>
      <c r="R316" s="8" t="n">
        <v>13.138021</v>
      </c>
      <c r="S316" s="4" t="inlineStr">
        <is>
          <t>HANGSENG</t>
        </is>
      </c>
      <c r="T316" s="9" t="inlineStr">
        <is>
          <t>SI</t>
        </is>
      </c>
      <c r="U316" s="9" t="inlineStr"/>
      <c r="V316" s="10">
        <f>Umbrales!$B$9*(K316/1000)^Umbrales!$B$10</f>
        <v/>
      </c>
    </row>
    <row r="317">
      <c r="A317" s="4" t="inlineStr">
        <is>
          <t>BE</t>
        </is>
      </c>
      <c r="B317" s="4" t="inlineStr">
        <is>
          <t>Bloom Energy Corporation</t>
        </is>
      </c>
      <c r="C317" s="4" t="inlineStr">
        <is>
          <t>United States</t>
        </is>
      </c>
      <c r="D317" s="4" t="inlineStr">
        <is>
          <t>US</t>
        </is>
      </c>
      <c r="E317" s="4" t="inlineStr">
        <is>
          <t>Industria</t>
        </is>
      </c>
      <c r="F317" s="4" t="inlineStr">
        <is>
          <t>Electrical Equipment &amp; Parts</t>
        </is>
      </c>
      <c r="G317" s="4" t="inlineStr">
        <is>
          <t>NYQ</t>
        </is>
      </c>
      <c r="H317" s="4" t="inlineStr">
        <is>
          <t>USD</t>
        </is>
      </c>
      <c r="I317" s="5" t="n">
        <v>67275.93984000001</v>
      </c>
      <c r="J317" s="6">
        <f>INDEX(FX!$B:$B,MATCH(H317,FX!$A:$A,0))</f>
        <v/>
      </c>
      <c r="K317" s="5">
        <f>I317*J317</f>
        <v/>
      </c>
      <c r="L317" s="4">
        <f>IF(U317&lt;&gt;"",U317,IF(K317&gt;=Umbrales!$B$2,"Legendaria",IF(K317&gt;=Umbrales!$B$3,"Épica",IF(K317&gt;=Umbrales!$B$4,"Rara",IF(K317&gt;=Umbrales!$B$5,"Poco común","Común")))))</f>
        <v/>
      </c>
      <c r="M317" s="5" t="n">
        <v>3113.149952</v>
      </c>
      <c r="N317" s="5" t="n">
        <v>244.942</v>
      </c>
      <c r="O317" s="5">
        <f>IF(M317="","",M317*J317)</f>
        <v/>
      </c>
      <c r="P317" s="5">
        <f>IF(N317="","",N317*J317)</f>
        <v/>
      </c>
      <c r="Q317" s="7" t="n">
        <v>0</v>
      </c>
      <c r="R317" s="8" t="n">
        <v>300.55264</v>
      </c>
      <c r="S317" s="4" t="inlineStr">
        <is>
          <t>SP500</t>
        </is>
      </c>
      <c r="T317" s="9" t="inlineStr">
        <is>
          <t>SI</t>
        </is>
      </c>
      <c r="U317" s="9" t="inlineStr"/>
      <c r="V317" s="10">
        <f>Umbrales!$B$9*(K317/1000)^Umbrales!$B$10</f>
        <v/>
      </c>
    </row>
    <row r="318">
      <c r="A318" s="4" t="inlineStr">
        <is>
          <t>CVNA</t>
        </is>
      </c>
      <c r="B318" s="4" t="inlineStr">
        <is>
          <t>Carvana Co.</t>
        </is>
      </c>
      <c r="C318" s="4" t="inlineStr">
        <is>
          <t>United States</t>
        </is>
      </c>
      <c r="D318" s="4" t="inlineStr">
        <is>
          <t>US</t>
        </is>
      </c>
      <c r="E318" s="4" t="inlineStr">
        <is>
          <t>Consumo cíclico</t>
        </is>
      </c>
      <c r="F318" s="4" t="inlineStr">
        <is>
          <t>Auto &amp; Truck Dealerships</t>
        </is>
      </c>
      <c r="G318" s="4" t="inlineStr">
        <is>
          <t>NYQ</t>
        </is>
      </c>
      <c r="H318" s="4" t="inlineStr">
        <is>
          <t>USD</t>
        </is>
      </c>
      <c r="I318" s="5" t="n">
        <v>67039.88735999999</v>
      </c>
      <c r="J318" s="6">
        <f>INDEX(FX!$B:$B,MATCH(H318,FX!$A:$A,0))</f>
        <v/>
      </c>
      <c r="K318" s="5">
        <f>I318*J318</f>
        <v/>
      </c>
      <c r="L318" s="4">
        <f>IF(U318&lt;&gt;"",U318,IF(K318&gt;=Umbrales!$B$2,"Legendaria",IF(K318&gt;=Umbrales!$B$3,"Épica",IF(K318&gt;=Umbrales!$B$4,"Rara",IF(K318&gt;=Umbrales!$B$5,"Poco común","Común")))))</f>
        <v/>
      </c>
      <c r="M318" s="5" t="n">
        <v>25058.000896</v>
      </c>
      <c r="N318" s="5" t="n">
        <v>1568</v>
      </c>
      <c r="O318" s="5">
        <f>IF(M318="","",M318*J318)</f>
        <v/>
      </c>
      <c r="P318" s="5">
        <f>IF(N318="","",N318*J318)</f>
        <v/>
      </c>
      <c r="Q318" s="7" t="n">
        <v>0</v>
      </c>
      <c r="R318" s="8" t="n">
        <v>32</v>
      </c>
      <c r="S318" s="4" t="inlineStr">
        <is>
          <t>SP500</t>
        </is>
      </c>
      <c r="T318" s="9" t="inlineStr">
        <is>
          <t>SI</t>
        </is>
      </c>
      <c r="U318" s="9" t="inlineStr"/>
      <c r="V318" s="10">
        <f>Umbrales!$B$9*(K318/1000)^Umbrales!$B$10</f>
        <v/>
      </c>
    </row>
    <row r="319">
      <c r="A319" s="4" t="inlineStr">
        <is>
          <t>APO</t>
        </is>
      </c>
      <c r="B319" s="4" t="inlineStr">
        <is>
          <t>Apollo Global Management, Inc.</t>
        </is>
      </c>
      <c r="C319" s="4" t="inlineStr">
        <is>
          <t>United States</t>
        </is>
      </c>
      <c r="D319" s="4" t="inlineStr">
        <is>
          <t>US</t>
        </is>
      </c>
      <c r="E319" s="4" t="inlineStr">
        <is>
          <t>Finanzas</t>
        </is>
      </c>
      <c r="F319" s="4" t="inlineStr">
        <is>
          <t>Asset Management</t>
        </is>
      </c>
      <c r="G319" s="4" t="inlineStr">
        <is>
          <t>NYQ</t>
        </is>
      </c>
      <c r="H319" s="4" t="inlineStr">
        <is>
          <t>USD</t>
        </is>
      </c>
      <c r="I319" s="5" t="n">
        <v>66961.690624</v>
      </c>
      <c r="J319" s="6">
        <f>INDEX(FX!$B:$B,MATCH(H319,FX!$A:$A,0))</f>
        <v/>
      </c>
      <c r="K319" s="5">
        <f>I319*J319</f>
        <v/>
      </c>
      <c r="L319" s="4">
        <f>IF(U319&lt;&gt;"",U319,IF(K319&gt;=Umbrales!$B$2,"Legendaria",IF(K319&gt;=Umbrales!$B$3,"Épica",IF(K319&gt;=Umbrales!$B$4,"Rara",IF(K319&gt;=Umbrales!$B$5,"Poco común","Común")))))</f>
        <v/>
      </c>
      <c r="M319" s="5" t="n">
        <v>35598.000128</v>
      </c>
      <c r="N319" s="5" t="n">
        <v>1888</v>
      </c>
      <c r="O319" s="5">
        <f>IF(M319="","",M319*J319)</f>
        <v/>
      </c>
      <c r="P319" s="5">
        <f>IF(N319="","",N319*J319)</f>
        <v/>
      </c>
      <c r="Q319" s="7" t="n">
        <v>0.0193</v>
      </c>
      <c r="R319" s="8" t="n">
        <v>40.64158</v>
      </c>
      <c r="S319" s="4" t="inlineStr">
        <is>
          <t>SP500</t>
        </is>
      </c>
      <c r="T319" s="9" t="inlineStr">
        <is>
          <t>SI</t>
        </is>
      </c>
      <c r="U319" s="9" t="inlineStr"/>
      <c r="V319" s="10">
        <f>Umbrales!$B$9*(K319/1000)^Umbrales!$B$10</f>
        <v/>
      </c>
    </row>
    <row r="320">
      <c r="A320" s="4" t="inlineStr">
        <is>
          <t>DG.PA</t>
        </is>
      </c>
      <c r="B320" s="4" t="inlineStr">
        <is>
          <t>Vinci SA</t>
        </is>
      </c>
      <c r="C320" s="4" t="inlineStr">
        <is>
          <t>France</t>
        </is>
      </c>
      <c r="D320" s="4" t="inlineStr">
        <is>
          <t>FR</t>
        </is>
      </c>
      <c r="E320" s="4" t="inlineStr">
        <is>
          <t>Industria</t>
        </is>
      </c>
      <c r="F320" s="4" t="inlineStr">
        <is>
          <t>Engineering &amp; Construction</t>
        </is>
      </c>
      <c r="G320" s="4" t="inlineStr">
        <is>
          <t>PAR</t>
        </is>
      </c>
      <c r="H320" s="4" t="inlineStr">
        <is>
          <t>EUR</t>
        </is>
      </c>
      <c r="I320" s="5" t="n">
        <v>59677.597696</v>
      </c>
      <c r="J320" s="6">
        <f>INDEX(FX!$B:$B,MATCH(H320,FX!$A:$A,0))</f>
        <v/>
      </c>
      <c r="K320" s="5">
        <f>I320*J320</f>
        <v/>
      </c>
      <c r="L320" s="4">
        <f>IF(U320&lt;&gt;"",U320,IF(K320&gt;=Umbrales!$B$2,"Legendaria",IF(K320&gt;=Umbrales!$B$3,"Épica",IF(K320&gt;=Umbrales!$B$4,"Rara",IF(K320&gt;=Umbrales!$B$5,"Poco común","Común")))))</f>
        <v/>
      </c>
      <c r="M320" s="5" t="n">
        <v>75748.99916799999</v>
      </c>
      <c r="N320" s="5" t="n">
        <v>5085.000192</v>
      </c>
      <c r="O320" s="5">
        <f>IF(M320="","",M320*J320)</f>
        <v/>
      </c>
      <c r="P320" s="5">
        <f>IF(N320="","",N320*J320)</f>
        <v/>
      </c>
      <c r="Q320" s="7" t="n">
        <v>0.0474</v>
      </c>
      <c r="R320" s="8" t="n">
        <v>12.008879</v>
      </c>
      <c r="S320" s="4" t="inlineStr">
        <is>
          <t>CAC40, EUROSTOXX50</t>
        </is>
      </c>
      <c r="T320" s="9" t="inlineStr">
        <is>
          <t>SI</t>
        </is>
      </c>
      <c r="U320" s="9" t="inlineStr"/>
      <c r="V320" s="10">
        <f>Umbrales!$B$9*(K320/1000)^Umbrales!$B$10</f>
        <v/>
      </c>
    </row>
    <row r="321">
      <c r="A321" s="4" t="inlineStr">
        <is>
          <t>REN.AS</t>
        </is>
      </c>
      <c r="B321" s="4" t="inlineStr">
        <is>
          <t>RELX PLC</t>
        </is>
      </c>
      <c r="C321" s="4" t="inlineStr">
        <is>
          <t>United Kingdom</t>
        </is>
      </c>
      <c r="D321" s="4" t="inlineStr">
        <is>
          <t>GB</t>
        </is>
      </c>
      <c r="E321" s="4" t="inlineStr">
        <is>
          <t>Industria</t>
        </is>
      </c>
      <c r="F321" s="4" t="inlineStr">
        <is>
          <t>Specialty Business Services</t>
        </is>
      </c>
      <c r="G321" s="4" t="inlineStr">
        <is>
          <t>AMS</t>
        </is>
      </c>
      <c r="H321" s="4" t="inlineStr">
        <is>
          <t>EUR</t>
        </is>
      </c>
      <c r="I321" s="5" t="n">
        <v>59506.761728</v>
      </c>
      <c r="J321" s="6">
        <f>INDEX(FX!$B:$B,MATCH(H321,FX!$A:$A,0))</f>
        <v/>
      </c>
      <c r="K321" s="5">
        <f>I321*J321</f>
        <v/>
      </c>
      <c r="L321" s="4">
        <f>IF(U321&lt;&gt;"",U321,IF(K321&gt;=Umbrales!$B$2,"Legendaria",IF(K321&gt;=Umbrales!$B$3,"Épica",IF(K321&gt;=Umbrales!$B$4,"Rara",IF(K321&gt;=Umbrales!$B$5,"Poco común","Común")))))</f>
        <v/>
      </c>
      <c r="M321" s="5" t="n">
        <v>9720.000512000001</v>
      </c>
      <c r="N321" s="5" t="n">
        <v>2262.000128</v>
      </c>
      <c r="O321" s="5">
        <f>IF(M321="","",M321*J321)</f>
        <v/>
      </c>
      <c r="P321" s="5">
        <f>IF(N321="","",N321*J321)</f>
        <v/>
      </c>
      <c r="Q321" s="7" t="n">
        <v>0.0243</v>
      </c>
      <c r="R321" s="8" t="n">
        <v>23.791664</v>
      </c>
      <c r="S321" s="4" t="inlineStr">
        <is>
          <t>AEX</t>
        </is>
      </c>
      <c r="T321" s="9" t="inlineStr">
        <is>
          <t>SI</t>
        </is>
      </c>
      <c r="U321" s="9" t="inlineStr"/>
      <c r="V321" s="10">
        <f>Umbrales!$B$9*(K321/1000)^Umbrales!$B$10</f>
        <v/>
      </c>
    </row>
    <row r="322">
      <c r="A322" s="4" t="inlineStr">
        <is>
          <t>ENGI.PA</t>
        </is>
      </c>
      <c r="B322" s="4" t="inlineStr">
        <is>
          <t>Engie SA</t>
        </is>
      </c>
      <c r="C322" s="4" t="inlineStr">
        <is>
          <t>France</t>
        </is>
      </c>
      <c r="D322" s="4" t="inlineStr">
        <is>
          <t>FR</t>
        </is>
      </c>
      <c r="E322" s="4" t="inlineStr">
        <is>
          <t>Servicios públicos</t>
        </is>
      </c>
      <c r="F322" s="4" t="inlineStr">
        <is>
          <t>Utilities - Diversified</t>
        </is>
      </c>
      <c r="G322" s="4" t="inlineStr">
        <is>
          <t>PAR</t>
        </is>
      </c>
      <c r="H322" s="4" t="inlineStr">
        <is>
          <t>EUR</t>
        </is>
      </c>
      <c r="I322" s="5" t="n">
        <v>59424.821248</v>
      </c>
      <c r="J322" s="6">
        <f>INDEX(FX!$B:$B,MATCH(H322,FX!$A:$A,0))</f>
        <v/>
      </c>
      <c r="K322" s="5">
        <f>I322*J322</f>
        <v/>
      </c>
      <c r="L322" s="4">
        <f>IF(U322&lt;&gt;"",U322,IF(K322&gt;=Umbrales!$B$2,"Legendaria",IF(K322&gt;=Umbrales!$B$3,"Épica",IF(K322&gt;=Umbrales!$B$4,"Rara",IF(K322&gt;=Umbrales!$B$5,"Poco común","Común")))))</f>
        <v/>
      </c>
      <c r="M322" s="5" t="n">
        <v>70584.99993599999</v>
      </c>
      <c r="N322" s="5" t="n">
        <v>4064.999936</v>
      </c>
      <c r="O322" s="5">
        <f>IF(M322="","",M322*J322)</f>
        <v/>
      </c>
      <c r="P322" s="5">
        <f>IF(N322="","",N322*J322)</f>
        <v/>
      </c>
      <c r="Q322" s="7" t="n">
        <v>0.05860000000000001</v>
      </c>
      <c r="R322" s="8" t="n">
        <v>14.175757</v>
      </c>
      <c r="S322" s="4" t="inlineStr">
        <is>
          <t>CAC40</t>
        </is>
      </c>
      <c r="T322" s="9" t="inlineStr">
        <is>
          <t>SI</t>
        </is>
      </c>
      <c r="U322" s="9" t="inlineStr"/>
      <c r="V322" s="10">
        <f>Umbrales!$B$9*(K322/1000)^Umbrales!$B$10</f>
        <v/>
      </c>
    </row>
    <row r="323">
      <c r="A323" s="4" t="inlineStr">
        <is>
          <t>AMXB.MX</t>
        </is>
      </c>
      <c r="B323" s="4" t="inlineStr">
        <is>
          <t>América Móvil, S.A.B. de C.V.</t>
        </is>
      </c>
      <c r="C323" s="4" t="inlineStr">
        <is>
          <t>Mexico</t>
        </is>
      </c>
      <c r="D323" s="4" t="inlineStr">
        <is>
          <t>MX</t>
        </is>
      </c>
      <c r="E323" s="4" t="inlineStr">
        <is>
          <t>Comunicación</t>
        </is>
      </c>
      <c r="F323" s="4" t="inlineStr">
        <is>
          <t>Telecom Services</t>
        </is>
      </c>
      <c r="G323" s="4" t="inlineStr">
        <is>
          <t>MEX</t>
        </is>
      </c>
      <c r="H323" s="4" t="inlineStr">
        <is>
          <t>MXN</t>
        </is>
      </c>
      <c r="I323" s="5" t="n">
        <v>1226751.606784</v>
      </c>
      <c r="J323" s="6">
        <f>INDEX(FX!$B:$B,MATCH(H323,FX!$A:$A,0))</f>
        <v/>
      </c>
      <c r="K323" s="5">
        <f>I323*J323</f>
        <v/>
      </c>
      <c r="L323" s="4">
        <f>IF(U323&lt;&gt;"",U323,IF(K323&gt;=Umbrales!$B$2,"Legendaria",IF(K323&gt;=Umbrales!$B$3,"Épica",IF(K323&gt;=Umbrales!$B$4,"Rara",IF(K323&gt;=Umbrales!$B$5,"Poco común","Común")))))</f>
        <v/>
      </c>
      <c r="M323" s="5" t="n">
        <v>955730.886656</v>
      </c>
      <c r="N323" s="5" t="n">
        <v>89567.256576</v>
      </c>
      <c r="O323" s="5">
        <f>IF(M323="","",M323*J323)</f>
        <v/>
      </c>
      <c r="P323" s="5">
        <f>IF(N323="","",N323*J323)</f>
        <v/>
      </c>
      <c r="Q323" s="7" t="n">
        <v>0.0271</v>
      </c>
      <c r="R323" s="8" t="n">
        <v>13.60265</v>
      </c>
      <c r="S323" s="4" t="inlineStr">
        <is>
          <t>IPC</t>
        </is>
      </c>
      <c r="T323" s="9" t="inlineStr">
        <is>
          <t>SI</t>
        </is>
      </c>
      <c r="U323" s="9" t="inlineStr"/>
      <c r="V323" s="10">
        <f>Umbrales!$B$9*(K323/1000)^Umbrales!$B$10</f>
        <v/>
      </c>
    </row>
    <row r="324">
      <c r="A324" s="4" t="inlineStr">
        <is>
          <t>APD</t>
        </is>
      </c>
      <c r="B324" s="4" t="inlineStr">
        <is>
          <t>Air Products and Chemicals, Inc.</t>
        </is>
      </c>
      <c r="C324" s="4" t="inlineStr">
        <is>
          <t>United States</t>
        </is>
      </c>
      <c r="D324" s="4" t="inlineStr">
        <is>
          <t>US</t>
        </is>
      </c>
      <c r="E324" s="4" t="inlineStr">
        <is>
          <t>Materiales</t>
        </is>
      </c>
      <c r="F324" s="4" t="inlineStr">
        <is>
          <t>Specialty Chemicals</t>
        </is>
      </c>
      <c r="G324" s="4" t="inlineStr">
        <is>
          <t>NYQ</t>
        </is>
      </c>
      <c r="H324" s="4" t="inlineStr">
        <is>
          <t>USD</t>
        </is>
      </c>
      <c r="I324" s="5" t="n">
        <v>65894.858752</v>
      </c>
      <c r="J324" s="6">
        <f>INDEX(FX!$B:$B,MATCH(H324,FX!$A:$A,0))</f>
        <v/>
      </c>
      <c r="K324" s="5">
        <f>I324*J324</f>
        <v/>
      </c>
      <c r="L324" s="4">
        <f>IF(U324&lt;&gt;"",U324,IF(K324&gt;=Umbrales!$B$2,"Legendaria",IF(K324&gt;=Umbrales!$B$3,"Épica",IF(K324&gt;=Umbrales!$B$4,"Rara",IF(K324&gt;=Umbrales!$B$5,"Poco común","Común")))))</f>
        <v/>
      </c>
      <c r="M324" s="5" t="n">
        <v>12602.200064</v>
      </c>
      <c r="N324" s="5" t="n">
        <v>-47.3</v>
      </c>
      <c r="O324" s="5">
        <f>IF(M324="","",M324*J324)</f>
        <v/>
      </c>
      <c r="P324" s="5">
        <f>IF(N324="","",N324*J324)</f>
        <v/>
      </c>
      <c r="Q324" s="7" t="n">
        <v>0.0251</v>
      </c>
      <c r="R324" s="8" t="n"/>
      <c r="S324" s="4" t="inlineStr">
        <is>
          <t>SP500</t>
        </is>
      </c>
      <c r="T324" s="9" t="inlineStr">
        <is>
          <t>SI</t>
        </is>
      </c>
      <c r="U324" s="9" t="inlineStr"/>
      <c r="V324" s="10">
        <f>Umbrales!$B$9*(K324/1000)^Umbrales!$B$10</f>
        <v/>
      </c>
    </row>
    <row r="325">
      <c r="A325" s="4" t="inlineStr">
        <is>
          <t>HON</t>
        </is>
      </c>
      <c r="B325" s="4" t="inlineStr">
        <is>
          <t>Honeywell International Inc.</t>
        </is>
      </c>
      <c r="C325" s="4" t="inlineStr">
        <is>
          <t>United States</t>
        </is>
      </c>
      <c r="D325" s="4" t="inlineStr">
        <is>
          <t>US</t>
        </is>
      </c>
      <c r="E325" s="4" t="inlineStr">
        <is>
          <t>Industria</t>
        </is>
      </c>
      <c r="F325" s="4" t="inlineStr">
        <is>
          <t>Conglomerates</t>
        </is>
      </c>
      <c r="G325" s="4" t="inlineStr">
        <is>
          <t>NMS</t>
        </is>
      </c>
      <c r="H325" s="4" t="inlineStr">
        <is>
          <t>USD</t>
        </is>
      </c>
      <c r="I325" s="5" t="n">
        <v>65799.913472</v>
      </c>
      <c r="J325" s="6">
        <f>INDEX(FX!$B:$B,MATCH(H325,FX!$A:$A,0))</f>
        <v/>
      </c>
      <c r="K325" s="5">
        <f>I325*J325</f>
        <v/>
      </c>
      <c r="L325" s="4">
        <f>IF(U325&lt;&gt;"",U325,IF(K325&gt;=Umbrales!$B$2,"Legendaria",IF(K325&gt;=Umbrales!$B$3,"Épica",IF(K325&gt;=Umbrales!$B$4,"Rara",IF(K325&gt;=Umbrales!$B$5,"Poco común","Común")))))</f>
        <v/>
      </c>
      <c r="M325" s="5" t="n">
        <v>38057.00096</v>
      </c>
      <c r="N325" s="5" t="n">
        <v>8265.999872</v>
      </c>
      <c r="O325" s="5">
        <f>IF(M325="","",M325*J325)</f>
        <v/>
      </c>
      <c r="P325" s="5">
        <f>IF(N325="","",N325*J325)</f>
        <v/>
      </c>
      <c r="Q325" s="7" t="n">
        <v>0.0135</v>
      </c>
      <c r="R325" s="8" t="n">
        <v>7.652415</v>
      </c>
      <c r="S325" s="4" t="inlineStr">
        <is>
          <t>DOW30, NASDAQ100, SP500</t>
        </is>
      </c>
      <c r="T325" s="9" t="inlineStr">
        <is>
          <t>SI</t>
        </is>
      </c>
      <c r="U325" s="9" t="inlineStr"/>
      <c r="V325" s="10">
        <f>Umbrales!$B$9*(K325/1000)^Umbrales!$B$10</f>
        <v/>
      </c>
    </row>
    <row r="326">
      <c r="A326" s="4" t="inlineStr">
        <is>
          <t>ABX.TO</t>
        </is>
      </c>
      <c r="B326" s="4" t="inlineStr">
        <is>
          <t>Barrick Mining Corporation</t>
        </is>
      </c>
      <c r="C326" s="4" t="inlineStr">
        <is>
          <t>Canada</t>
        </is>
      </c>
      <c r="D326" s="4" t="inlineStr">
        <is>
          <t>CA</t>
        </is>
      </c>
      <c r="E326" s="4" t="inlineStr">
        <is>
          <t>Materiales</t>
        </is>
      </c>
      <c r="F326" s="4" t="inlineStr">
        <is>
          <t>Gold</t>
        </is>
      </c>
      <c r="G326" s="4" t="inlineStr">
        <is>
          <t>TOR</t>
        </is>
      </c>
      <c r="H326" s="4" t="inlineStr">
        <is>
          <t>CAD</t>
        </is>
      </c>
      <c r="I326" s="5" t="n">
        <v>93338.099712</v>
      </c>
      <c r="J326" s="6">
        <f>INDEX(FX!$B:$B,MATCH(H326,FX!$A:$A,0))</f>
        <v/>
      </c>
      <c r="K326" s="5">
        <f>I326*J326</f>
        <v/>
      </c>
      <c r="L326" s="4">
        <f>IF(U326&lt;&gt;"",U326,IF(K326&gt;=Umbrales!$B$2,"Legendaria",IF(K326&gt;=Umbrales!$B$3,"Épica",IF(K326&gt;=Umbrales!$B$4,"Rara",IF(K326&gt;=Umbrales!$B$5,"Poco común","Común")))))</f>
        <v/>
      </c>
      <c r="M326" s="5" t="n">
        <v>20654.999552</v>
      </c>
      <c r="N326" s="5" t="n">
        <v>6527.000064</v>
      </c>
      <c r="O326" s="5">
        <f>IF(M326="","",M326*J326)</f>
        <v/>
      </c>
      <c r="P326" s="5">
        <f>IF(N326="","",N326*J326)</f>
        <v/>
      </c>
      <c r="Q326" s="7" t="n">
        <v>0.0169</v>
      </c>
      <c r="R326" s="8" t="n">
        <v>11.054581</v>
      </c>
      <c r="S326" s="4" t="inlineStr">
        <is>
          <t>TSX60</t>
        </is>
      </c>
      <c r="T326" s="9" t="inlineStr">
        <is>
          <t>SI</t>
        </is>
      </c>
      <c r="U326" s="9" t="inlineStr"/>
      <c r="V326" s="10">
        <f>Umbrales!$B$9*(K326/1000)^Umbrales!$B$10</f>
        <v/>
      </c>
    </row>
    <row r="327">
      <c r="A327" s="4" t="inlineStr">
        <is>
          <t>REL.L</t>
        </is>
      </c>
      <c r="B327" s="4" t="inlineStr">
        <is>
          <t>RELX PLC</t>
        </is>
      </c>
      <c r="C327" s="4" t="inlineStr">
        <is>
          <t>United Kingdom</t>
        </is>
      </c>
      <c r="D327" s="4" t="inlineStr">
        <is>
          <t>GB</t>
        </is>
      </c>
      <c r="E327" s="4" t="inlineStr">
        <is>
          <t>Industria</t>
        </is>
      </c>
      <c r="F327" s="4" t="inlineStr">
        <is>
          <t>Specialty Business Services</t>
        </is>
      </c>
      <c r="G327" s="4" t="inlineStr">
        <is>
          <t>LSE</t>
        </is>
      </c>
      <c r="H327" s="4" t="inlineStr">
        <is>
          <t>GBP</t>
        </is>
      </c>
      <c r="I327" s="5" t="n">
        <v>49415.274496</v>
      </c>
      <c r="J327" s="6">
        <f>INDEX(FX!$B:$B,MATCH(H327,FX!$A:$A,0))</f>
        <v/>
      </c>
      <c r="K327" s="5">
        <f>I327*J327</f>
        <v/>
      </c>
      <c r="L327" s="4">
        <f>IF(U327&lt;&gt;"",U327,IF(K327&gt;=Umbrales!$B$2,"Legendaria",IF(K327&gt;=Umbrales!$B$3,"Épica",IF(K327&gt;=Umbrales!$B$4,"Rara",IF(K327&gt;=Umbrales!$B$5,"Poco común","Común")))))</f>
        <v/>
      </c>
      <c r="M327" s="5" t="n">
        <v>9720.000512000001</v>
      </c>
      <c r="N327" s="5" t="n">
        <v>2262.000128</v>
      </c>
      <c r="O327" s="5">
        <f>IF(M327="","",M327*J327)</f>
        <v/>
      </c>
      <c r="P327" s="5">
        <f>IF(N327="","",N327*J327)</f>
        <v/>
      </c>
      <c r="Q327" s="7" t="n">
        <v>0.0249</v>
      </c>
      <c r="R327" s="8" t="n">
        <v>22.76</v>
      </c>
      <c r="S327" s="4" t="inlineStr">
        <is>
          <t>FTSE100, UK_TOP</t>
        </is>
      </c>
      <c r="T327" s="9" t="inlineStr">
        <is>
          <t>SI</t>
        </is>
      </c>
      <c r="U327" s="9" t="inlineStr"/>
      <c r="V327" s="10">
        <f>Umbrales!$B$9*(K327/1000)^Umbrales!$B$10</f>
        <v/>
      </c>
    </row>
    <row r="328">
      <c r="A328" s="4" t="inlineStr">
        <is>
          <t>COR</t>
        </is>
      </c>
      <c r="B328" s="4" t="inlineStr">
        <is>
          <t>Cencora, Inc.</t>
        </is>
      </c>
      <c r="C328" s="4" t="inlineStr">
        <is>
          <t>United States</t>
        </is>
      </c>
      <c r="D328" s="4" t="inlineStr">
        <is>
          <t>US</t>
        </is>
      </c>
      <c r="E328" s="4" t="inlineStr">
        <is>
          <t>Salud</t>
        </is>
      </c>
      <c r="F328" s="4" t="inlineStr">
        <is>
          <t>Medical Distribution</t>
        </is>
      </c>
      <c r="G328" s="4" t="inlineStr">
        <is>
          <t>NYQ</t>
        </is>
      </c>
      <c r="H328" s="4" t="inlineStr">
        <is>
          <t>USD</t>
        </is>
      </c>
      <c r="I328" s="5" t="n">
        <v>65295.335424</v>
      </c>
      <c r="J328" s="6">
        <f>INDEX(FX!$B:$B,MATCH(H328,FX!$A:$A,0))</f>
        <v/>
      </c>
      <c r="K328" s="5">
        <f>I328*J328</f>
        <v/>
      </c>
      <c r="L328" s="4">
        <f>IF(U328&lt;&gt;"",U328,IF(K328&gt;=Umbrales!$B$2,"Legendaria",IF(K328&gt;=Umbrales!$B$3,"Épica",IF(K328&gt;=Umbrales!$B$4,"Rara",IF(K328&gt;=Umbrales!$B$5,"Poco común","Común")))))</f>
        <v/>
      </c>
      <c r="M328" s="5" t="n">
        <v>332771.328</v>
      </c>
      <c r="N328" s="5" t="n">
        <v>2624.793088</v>
      </c>
      <c r="O328" s="5">
        <f>IF(M328="","",M328*J328)</f>
        <v/>
      </c>
      <c r="P328" s="5">
        <f>IF(N328="","",N328*J328)</f>
        <v/>
      </c>
      <c r="Q328" s="7" t="n">
        <v>0.0073</v>
      </c>
      <c r="R328" s="8" t="n">
        <v>24.939505</v>
      </c>
      <c r="S328" s="4" t="inlineStr">
        <is>
          <t>SP500</t>
        </is>
      </c>
      <c r="T328" s="9" t="inlineStr">
        <is>
          <t>SI</t>
        </is>
      </c>
      <c r="U328" s="9" t="inlineStr"/>
      <c r="V328" s="10">
        <f>Umbrales!$B$9*(K328/1000)^Umbrales!$B$10</f>
        <v/>
      </c>
    </row>
    <row r="329">
      <c r="A329" s="4" t="inlineStr">
        <is>
          <t>MQG.AX</t>
        </is>
      </c>
      <c r="B329" s="4" t="inlineStr">
        <is>
          <t>Macquarie Group Limited</t>
        </is>
      </c>
      <c r="C329" s="4" t="inlineStr">
        <is>
          <t>Australia</t>
        </is>
      </c>
      <c r="D329" s="4" t="inlineStr">
        <is>
          <t>AU</t>
        </is>
      </c>
      <c r="E329" s="4" t="inlineStr">
        <is>
          <t>Finanzas</t>
        </is>
      </c>
      <c r="F329" s="4" t="inlineStr">
        <is>
          <t>Capital Markets</t>
        </is>
      </c>
      <c r="G329" s="4" t="inlineStr">
        <is>
          <t>ASX</t>
        </is>
      </c>
      <c r="H329" s="4" t="inlineStr">
        <is>
          <t>AUD</t>
        </is>
      </c>
      <c r="I329" s="5" t="n">
        <v>94019.21536</v>
      </c>
      <c r="J329" s="6">
        <f>INDEX(FX!$B:$B,MATCH(H329,FX!$A:$A,0))</f>
        <v/>
      </c>
      <c r="K329" s="5">
        <f>I329*J329</f>
        <v/>
      </c>
      <c r="L329" s="4">
        <f>IF(U329&lt;&gt;"",U329,IF(K329&gt;=Umbrales!$B$2,"Legendaria",IF(K329&gt;=Umbrales!$B$3,"Épica",IF(K329&gt;=Umbrales!$B$4,"Rara",IF(K329&gt;=Umbrales!$B$5,"Poco común","Común")))))</f>
        <v/>
      </c>
      <c r="M329" s="5" t="n">
        <v>17791.000576</v>
      </c>
      <c r="N329" s="5" t="n">
        <v>3628.999936</v>
      </c>
      <c r="O329" s="5">
        <f>IF(M329="","",M329*J329)</f>
        <v/>
      </c>
      <c r="P329" s="5">
        <f>IF(N329="","",N329*J329)</f>
        <v/>
      </c>
      <c r="Q329" s="7" t="n">
        <v>0.0343</v>
      </c>
      <c r="R329" s="8" t="n">
        <v>25.404737</v>
      </c>
      <c r="S329" s="4" t="inlineStr">
        <is>
          <t>ASX50</t>
        </is>
      </c>
      <c r="T329" s="9" t="inlineStr">
        <is>
          <t>SI</t>
        </is>
      </c>
      <c r="U329" s="9" t="inlineStr"/>
      <c r="V329" s="10">
        <f>Umbrales!$B$9*(K329/1000)^Umbrales!$B$10</f>
        <v/>
      </c>
    </row>
    <row r="330">
      <c r="A330" s="4" t="inlineStr">
        <is>
          <t>VOLV-B.ST</t>
        </is>
      </c>
      <c r="B330" s="4" t="inlineStr">
        <is>
          <t>AB Volvo (publ)</t>
        </is>
      </c>
      <c r="C330" s="4" t="inlineStr">
        <is>
          <t>Sweden</t>
        </is>
      </c>
      <c r="D330" s="4" t="inlineStr">
        <is>
          <t>SE</t>
        </is>
      </c>
      <c r="E330" s="4" t="inlineStr">
        <is>
          <t>Industria</t>
        </is>
      </c>
      <c r="F330" s="4" t="inlineStr">
        <is>
          <t>Farm &amp; Heavy Construction Machinery</t>
        </is>
      </c>
      <c r="G330" s="4" t="inlineStr">
        <is>
          <t>STO</t>
        </is>
      </c>
      <c r="H330" s="4" t="inlineStr">
        <is>
          <t>SEK</t>
        </is>
      </c>
      <c r="I330" s="5" t="n">
        <v>642164.1297920001</v>
      </c>
      <c r="J330" s="6">
        <f>INDEX(FX!$B:$B,MATCH(H330,FX!$A:$A,0))</f>
        <v/>
      </c>
      <c r="K330" s="5">
        <f>I330*J330</f>
        <v/>
      </c>
      <c r="L330" s="4">
        <f>IF(U330&lt;&gt;"",U330,IF(K330&gt;=Umbrales!$B$2,"Legendaria",IF(K330&gt;=Umbrales!$B$3,"Épica",IF(K330&gt;=Umbrales!$B$4,"Rara",IF(K330&gt;=Umbrales!$B$5,"Poco común","Común")))))</f>
        <v/>
      </c>
      <c r="M330" s="5" t="n">
        <v>471534.010368</v>
      </c>
      <c r="N330" s="5" t="n">
        <v>35840</v>
      </c>
      <c r="O330" s="5">
        <f>IF(M330="","",M330*J330)</f>
        <v/>
      </c>
      <c r="P330" s="5">
        <f>IF(N330="","",N330*J330)</f>
        <v/>
      </c>
      <c r="Q330" s="7" t="n">
        <v>0.0269</v>
      </c>
      <c r="R330" s="8" t="n">
        <v>17.91265</v>
      </c>
      <c r="S330" s="4" t="inlineStr">
        <is>
          <t>OMXS30</t>
        </is>
      </c>
      <c r="T330" s="9" t="inlineStr">
        <is>
          <t>SI</t>
        </is>
      </c>
      <c r="U330" s="9" t="inlineStr"/>
      <c r="V330" s="10">
        <f>Umbrales!$B$9*(K330/1000)^Umbrales!$B$10</f>
        <v/>
      </c>
    </row>
    <row r="331">
      <c r="A331" s="4" t="inlineStr">
        <is>
          <t>DLR</t>
        </is>
      </c>
      <c r="B331" s="4" t="inlineStr">
        <is>
          <t>Digital Realty Trust, Inc.</t>
        </is>
      </c>
      <c r="C331" s="4" t="inlineStr">
        <is>
          <t>United States</t>
        </is>
      </c>
      <c r="D331" s="4" t="inlineStr">
        <is>
          <t>US</t>
        </is>
      </c>
      <c r="E331" s="4" t="inlineStr">
        <is>
          <t>Inmobiliario</t>
        </is>
      </c>
      <c r="F331" s="4" t="inlineStr">
        <is>
          <t>REIT - Specialty</t>
        </is>
      </c>
      <c r="G331" s="4" t="inlineStr">
        <is>
          <t>NYQ</t>
        </is>
      </c>
      <c r="H331" s="4" t="inlineStr">
        <is>
          <t>USD</t>
        </is>
      </c>
      <c r="I331" s="5" t="n">
        <v>64270.80704</v>
      </c>
      <c r="J331" s="6">
        <f>INDEX(FX!$B:$B,MATCH(H331,FX!$A:$A,0))</f>
        <v/>
      </c>
      <c r="K331" s="5">
        <f>I331*J331</f>
        <v/>
      </c>
      <c r="L331" s="4">
        <f>IF(U331&lt;&gt;"",U331,IF(K331&gt;=Umbrales!$B$2,"Legendaria",IF(K331&gt;=Umbrales!$B$3,"Épica",IF(K331&gt;=Umbrales!$B$4,"Rara",IF(K331&gt;=Umbrales!$B$5,"Poco común","Común")))))</f>
        <v/>
      </c>
      <c r="M331" s="5" t="n">
        <v>6757.036032</v>
      </c>
      <c r="N331" s="5" t="n">
        <v>758.297984</v>
      </c>
      <c r="O331" s="5">
        <f>IF(M331="","",M331*J331)</f>
        <v/>
      </c>
      <c r="P331" s="5">
        <f>IF(N331="","",N331*J331)</f>
        <v/>
      </c>
      <c r="Q331" s="7" t="n">
        <v>0.0274</v>
      </c>
      <c r="R331" s="8" t="n">
        <v>85.51758599999999</v>
      </c>
      <c r="S331" s="4" t="inlineStr">
        <is>
          <t>SP500</t>
        </is>
      </c>
      <c r="T331" s="9" t="inlineStr">
        <is>
          <t>SI</t>
        </is>
      </c>
      <c r="U331" s="9" t="inlineStr"/>
      <c r="V331" s="10">
        <f>Umbrales!$B$9*(K331/1000)^Umbrales!$B$10</f>
        <v/>
      </c>
    </row>
    <row r="332">
      <c r="A332" s="4" t="inlineStr">
        <is>
          <t>URI</t>
        </is>
      </c>
      <c r="B332" s="4" t="inlineStr">
        <is>
          <t>United Rentals, Inc.</t>
        </is>
      </c>
      <c r="C332" s="4" t="inlineStr">
        <is>
          <t>United States</t>
        </is>
      </c>
      <c r="D332" s="4" t="inlineStr">
        <is>
          <t>US</t>
        </is>
      </c>
      <c r="E332" s="4" t="inlineStr">
        <is>
          <t>Industria</t>
        </is>
      </c>
      <c r="F332" s="4" t="inlineStr">
        <is>
          <t>Rental &amp; Leasing Services</t>
        </is>
      </c>
      <c r="G332" s="4" t="inlineStr">
        <is>
          <t>NYQ</t>
        </is>
      </c>
      <c r="H332" s="4" t="inlineStr">
        <is>
          <t>USD</t>
        </is>
      </c>
      <c r="I332" s="5" t="n">
        <v>63398.95296</v>
      </c>
      <c r="J332" s="6">
        <f>INDEX(FX!$B:$B,MATCH(H332,FX!$A:$A,0))</f>
        <v/>
      </c>
      <c r="K332" s="5">
        <f>I332*J332</f>
        <v/>
      </c>
      <c r="L332" s="4">
        <f>IF(U332&lt;&gt;"",U332,IF(K332&gt;=Umbrales!$B$2,"Legendaria",IF(K332&gt;=Umbrales!$B$3,"Épica",IF(K332&gt;=Umbrales!$B$4,"Rara",IF(K332&gt;=Umbrales!$B$5,"Poco común","Común")))))</f>
        <v/>
      </c>
      <c r="M332" s="5" t="n">
        <v>16832</v>
      </c>
      <c r="N332" s="5" t="n">
        <v>2638.000128</v>
      </c>
      <c r="O332" s="5">
        <f>IF(M332="","",M332*J332)</f>
        <v/>
      </c>
      <c r="P332" s="5">
        <f>IF(N332="","",N332*J332)</f>
        <v/>
      </c>
      <c r="Q332" s="7" t="n">
        <v>0.0074</v>
      </c>
      <c r="R332" s="8" t="n">
        <v>24.490984</v>
      </c>
      <c r="S332" s="4" t="inlineStr">
        <is>
          <t>SP500</t>
        </is>
      </c>
      <c r="T332" s="9" t="inlineStr">
        <is>
          <t>SI</t>
        </is>
      </c>
      <c r="U332" s="9" t="inlineStr"/>
      <c r="V332" s="10">
        <f>Umbrales!$B$9*(K332/1000)^Umbrales!$B$10</f>
        <v/>
      </c>
    </row>
    <row r="333">
      <c r="A333" s="4" t="inlineStr">
        <is>
          <t>MET</t>
        </is>
      </c>
      <c r="B333" s="4" t="inlineStr">
        <is>
          <t>MetLife, Inc.</t>
        </is>
      </c>
      <c r="C333" s="4" t="inlineStr">
        <is>
          <t>United States</t>
        </is>
      </c>
      <c r="D333" s="4" t="inlineStr">
        <is>
          <t>US</t>
        </is>
      </c>
      <c r="E333" s="4" t="inlineStr">
        <is>
          <t>Finanzas</t>
        </is>
      </c>
      <c r="F333" s="4" t="inlineStr">
        <is>
          <t>Insurance - Life</t>
        </is>
      </c>
      <c r="G333" s="4" t="inlineStr">
        <is>
          <t>NYQ</t>
        </is>
      </c>
      <c r="H333" s="4" t="inlineStr">
        <is>
          <t>USD</t>
        </is>
      </c>
      <c r="I333" s="5" t="n">
        <v>63325.278208</v>
      </c>
      <c r="J333" s="6">
        <f>INDEX(FX!$B:$B,MATCH(H333,FX!$A:$A,0))</f>
        <v/>
      </c>
      <c r="K333" s="5">
        <f>I333*J333</f>
        <v/>
      </c>
      <c r="L333" s="4">
        <f>IF(U333&lt;&gt;"",U333,IF(K333&gt;=Umbrales!$B$2,"Legendaria",IF(K333&gt;=Umbrales!$B$3,"Épica",IF(K333&gt;=Umbrales!$B$4,"Rara",IF(K333&gt;=Umbrales!$B$5,"Poco común","Común")))))</f>
        <v/>
      </c>
      <c r="M333" s="5" t="n">
        <v>79398.00268799999</v>
      </c>
      <c r="N333" s="5" t="n">
        <v>3440.999936</v>
      </c>
      <c r="O333" s="5">
        <f>IF(M333="","",M333*J333)</f>
        <v/>
      </c>
      <c r="P333" s="5">
        <f>IF(N333="","",N333*J333)</f>
        <v/>
      </c>
      <c r="Q333" s="7" t="n">
        <v>0.0235</v>
      </c>
      <c r="R333" s="8" t="n">
        <v>19.09004</v>
      </c>
      <c r="S333" s="4" t="inlineStr">
        <is>
          <t>SP500</t>
        </is>
      </c>
      <c r="T333" s="9" t="inlineStr">
        <is>
          <t>SI</t>
        </is>
      </c>
      <c r="U333" s="9" t="inlineStr"/>
      <c r="V333" s="10">
        <f>Umbrales!$B$9*(K333/1000)^Umbrales!$B$10</f>
        <v/>
      </c>
    </row>
    <row r="334">
      <c r="A334" s="4" t="inlineStr">
        <is>
          <t>BAJFINANCE.NS</t>
        </is>
      </c>
      <c r="B334" s="4" t="inlineStr">
        <is>
          <t>Bajaj Finance Limited</t>
        </is>
      </c>
      <c r="C334" s="4" t="inlineStr">
        <is>
          <t>India</t>
        </is>
      </c>
      <c r="D334" s="4" t="inlineStr">
        <is>
          <t>IN</t>
        </is>
      </c>
      <c r="E334" s="4" t="inlineStr">
        <is>
          <t>Finanzas</t>
        </is>
      </c>
      <c r="F334" s="4" t="inlineStr">
        <is>
          <t>Credit Services</t>
        </is>
      </c>
      <c r="G334" s="4" t="inlineStr">
        <is>
          <t>NSI</t>
        </is>
      </c>
      <c r="H334" s="4" t="inlineStr">
        <is>
          <t>INR</t>
        </is>
      </c>
      <c r="I334" s="5" t="n">
        <v>6007623.254016</v>
      </c>
      <c r="J334" s="6">
        <f>INDEX(FX!$B:$B,MATCH(H334,FX!$A:$A,0))</f>
        <v/>
      </c>
      <c r="K334" s="5">
        <f>I334*J334</f>
        <v/>
      </c>
      <c r="L334" s="4">
        <f>IF(U334&lt;&gt;"",U334,IF(K334&gt;=Umbrales!$B$2,"Legendaria",IF(K334&gt;=Umbrales!$B$3,"Épica",IF(K334&gt;=Umbrales!$B$4,"Rara",IF(K334&gt;=Umbrales!$B$5,"Poco común","Común")))))</f>
        <v/>
      </c>
      <c r="M334" s="5" t="n">
        <v>466800.80384</v>
      </c>
      <c r="N334" s="5" t="n">
        <v>203035.295744</v>
      </c>
      <c r="O334" s="5">
        <f>IF(M334="","",M334*J334)</f>
        <v/>
      </c>
      <c r="P334" s="5">
        <f>IF(N334="","",N334*J334)</f>
        <v/>
      </c>
      <c r="Q334" s="7" t="n">
        <v>0.005600000000000001</v>
      </c>
      <c r="R334" s="8" t="n">
        <v>29.63617</v>
      </c>
      <c r="S334" s="4" t="inlineStr">
        <is>
          <t>NIFTY50</t>
        </is>
      </c>
      <c r="T334" s="9" t="inlineStr">
        <is>
          <t>SI</t>
        </is>
      </c>
      <c r="U334" s="9" t="inlineStr"/>
      <c r="V334" s="10">
        <f>Umbrales!$B$9*(K334/1000)^Umbrales!$B$10</f>
        <v/>
      </c>
    </row>
    <row r="335">
      <c r="A335" s="4" t="inlineStr">
        <is>
          <t>IMO.TO</t>
        </is>
      </c>
      <c r="B335" s="4" t="inlineStr">
        <is>
          <t>Imperial Oil Limited</t>
        </is>
      </c>
      <c r="C335" s="4" t="inlineStr">
        <is>
          <t>Canada</t>
        </is>
      </c>
      <c r="D335" s="4" t="inlineStr">
        <is>
          <t>CA</t>
        </is>
      </c>
      <c r="E335" s="4" t="inlineStr">
        <is>
          <t>Energía</t>
        </is>
      </c>
      <c r="F335" s="4" t="inlineStr">
        <is>
          <t>Oil &amp; Gas Integrated</t>
        </is>
      </c>
      <c r="G335" s="4" t="inlineStr">
        <is>
          <t>TOR</t>
        </is>
      </c>
      <c r="H335" s="4" t="inlineStr">
        <is>
          <t>CAD</t>
        </is>
      </c>
      <c r="I335" s="5" t="n">
        <v>89421.12768000001</v>
      </c>
      <c r="J335" s="6">
        <f>INDEX(FX!$B:$B,MATCH(H335,FX!$A:$A,0))</f>
        <v/>
      </c>
      <c r="K335" s="5">
        <f>I335*J335</f>
        <v/>
      </c>
      <c r="L335" s="4">
        <f>IF(U335&lt;&gt;"",U335,IF(K335&gt;=Umbrales!$B$2,"Legendaria",IF(K335&gt;=Umbrales!$B$3,"Épica",IF(K335&gt;=Umbrales!$B$4,"Rara",IF(K335&gt;=Umbrales!$B$5,"Poco común","Común")))))</f>
        <v/>
      </c>
      <c r="M335" s="5" t="n">
        <v>51640.999936</v>
      </c>
      <c r="N335" s="5" t="n">
        <v>4160.999936</v>
      </c>
      <c r="O335" s="5">
        <f>IF(M335="","",M335*J335)</f>
        <v/>
      </c>
      <c r="P335" s="5">
        <f>IF(N335="","",N335*J335)</f>
        <v/>
      </c>
      <c r="Q335" s="7" t="n">
        <v>0.0189</v>
      </c>
      <c r="R335" s="8" t="n">
        <v>21.501162</v>
      </c>
      <c r="S335" s="4" t="inlineStr">
        <is>
          <t>TSX60</t>
        </is>
      </c>
      <c r="T335" s="9" t="inlineStr">
        <is>
          <t>SI</t>
        </is>
      </c>
      <c r="U335" s="9" t="inlineStr"/>
      <c r="V335" s="10">
        <f>Umbrales!$B$9*(K335/1000)^Umbrales!$B$10</f>
        <v/>
      </c>
    </row>
    <row r="336">
      <c r="A336" s="4" t="inlineStr">
        <is>
          <t>TDG</t>
        </is>
      </c>
      <c r="B336" s="4" t="inlineStr">
        <is>
          <t>TransDigm Group Incorporated</t>
        </is>
      </c>
      <c r="C336" s="4" t="inlineStr">
        <is>
          <t>United States</t>
        </is>
      </c>
      <c r="D336" s="4" t="inlineStr">
        <is>
          <t>US</t>
        </is>
      </c>
      <c r="E336" s="4" t="inlineStr">
        <is>
          <t>Industria</t>
        </is>
      </c>
      <c r="F336" s="4" t="inlineStr">
        <is>
          <t>Aerospace &amp; Defense</t>
        </is>
      </c>
      <c r="G336" s="4" t="inlineStr">
        <is>
          <t>NYQ</t>
        </is>
      </c>
      <c r="H336" s="4" t="inlineStr">
        <is>
          <t>USD</t>
        </is>
      </c>
      <c r="I336" s="5" t="n">
        <v>62878.859264</v>
      </c>
      <c r="J336" s="6">
        <f>INDEX(FX!$B:$B,MATCH(H336,FX!$A:$A,0))</f>
        <v/>
      </c>
      <c r="K336" s="5">
        <f>I336*J336</f>
        <v/>
      </c>
      <c r="L336" s="4">
        <f>IF(U336&lt;&gt;"",U336,IF(K336&gt;=Umbrales!$B$2,"Legendaria",IF(K336&gt;=Umbrales!$B$3,"Épica",IF(K336&gt;=Umbrales!$B$4,"Rara",IF(K336&gt;=Umbrales!$B$5,"Poco común","Común")))))</f>
        <v/>
      </c>
      <c r="M336" s="5" t="n">
        <v>10005.999616</v>
      </c>
      <c r="N336" s="5" t="n">
        <v>1911.000064</v>
      </c>
      <c r="O336" s="5">
        <f>IF(M336="","",M336*J336)</f>
        <v/>
      </c>
      <c r="P336" s="5">
        <f>IF(N336="","",N336*J336)</f>
        <v/>
      </c>
      <c r="Q336" s="7" t="n">
        <v>0</v>
      </c>
      <c r="R336" s="8" t="n">
        <v>34.17969</v>
      </c>
      <c r="S336" s="4" t="inlineStr">
        <is>
          <t>SP500</t>
        </is>
      </c>
      <c r="T336" s="9" t="inlineStr">
        <is>
          <t>SI</t>
        </is>
      </c>
      <c r="U336" s="9" t="inlineStr"/>
      <c r="V336" s="10">
        <f>Umbrales!$B$9*(K336/1000)^Umbrales!$B$10</f>
        <v/>
      </c>
    </row>
    <row r="337">
      <c r="A337" s="4" t="inlineStr">
        <is>
          <t>BSX</t>
        </is>
      </c>
      <c r="B337" s="4" t="inlineStr">
        <is>
          <t>Boston Scientific Corporation</t>
        </is>
      </c>
      <c r="C337" s="4" t="inlineStr">
        <is>
          <t>United States</t>
        </is>
      </c>
      <c r="D337" s="4" t="inlineStr">
        <is>
          <t>US</t>
        </is>
      </c>
      <c r="E337" s="4" t="inlineStr">
        <is>
          <t>Salud</t>
        </is>
      </c>
      <c r="F337" s="4" t="inlineStr">
        <is>
          <t>Medical Devices</t>
        </is>
      </c>
      <c r="G337" s="4" t="inlineStr">
        <is>
          <t>NYQ</t>
        </is>
      </c>
      <c r="H337" s="4" t="inlineStr">
        <is>
          <t>USD</t>
        </is>
      </c>
      <c r="I337" s="5" t="n">
        <v>62316.87168</v>
      </c>
      <c r="J337" s="6">
        <f>INDEX(FX!$B:$B,MATCH(H337,FX!$A:$A,0))</f>
        <v/>
      </c>
      <c r="K337" s="5">
        <f>I337*J337</f>
        <v/>
      </c>
      <c r="L337" s="4">
        <f>IF(U337&lt;&gt;"",U337,IF(K337&gt;=Umbrales!$B$2,"Legendaria",IF(K337&gt;=Umbrales!$B$3,"Épica",IF(K337&gt;=Umbrales!$B$4,"Rara",IF(K337&gt;=Umbrales!$B$5,"Poco común","Común")))))</f>
        <v/>
      </c>
      <c r="M337" s="5" t="n">
        <v>20995.999744</v>
      </c>
      <c r="N337" s="5" t="n">
        <v>3673.999872</v>
      </c>
      <c r="O337" s="5">
        <f>IF(M337="","",M337*J337)</f>
        <v/>
      </c>
      <c r="P337" s="5">
        <f>IF(N337="","",N337*J337)</f>
        <v/>
      </c>
      <c r="Q337" s="7" t="n">
        <v>0</v>
      </c>
      <c r="R337" s="8" t="n">
        <v>17.55102</v>
      </c>
      <c r="S337" s="4" t="inlineStr">
        <is>
          <t>SP500</t>
        </is>
      </c>
      <c r="T337" s="9" t="inlineStr">
        <is>
          <t>SI</t>
        </is>
      </c>
      <c r="U337" s="9" t="inlineStr"/>
      <c r="V337" s="10">
        <f>Umbrales!$B$9*(K337/1000)^Umbrales!$B$10</f>
        <v/>
      </c>
    </row>
    <row r="338">
      <c r="A338" s="4" t="inlineStr">
        <is>
          <t>DB1.DE</t>
        </is>
      </c>
      <c r="B338" s="4" t="inlineStr">
        <is>
          <t>Deutsche Börse AG</t>
        </is>
      </c>
      <c r="C338" s="4" t="inlineStr">
        <is>
          <t>Germany</t>
        </is>
      </c>
      <c r="D338" s="4" t="inlineStr">
        <is>
          <t>DE</t>
        </is>
      </c>
      <c r="E338" s="4" t="inlineStr">
        <is>
          <t>Finanzas</t>
        </is>
      </c>
      <c r="F338" s="4" t="inlineStr">
        <is>
          <t>Financial Data &amp; Stock Exchanges</t>
        </is>
      </c>
      <c r="G338" s="4" t="inlineStr">
        <is>
          <t>GER</t>
        </is>
      </c>
      <c r="H338" s="4" t="inlineStr">
        <is>
          <t>EUR</t>
        </is>
      </c>
      <c r="I338" s="5" t="n">
        <v>55510.56896</v>
      </c>
      <c r="J338" s="6">
        <f>INDEX(FX!$B:$B,MATCH(H338,FX!$A:$A,0))</f>
        <v/>
      </c>
      <c r="K338" s="5">
        <f>I338*J338</f>
        <v/>
      </c>
      <c r="L338" s="4">
        <f>IF(U338&lt;&gt;"",U338,IF(K338&gt;=Umbrales!$B$2,"Legendaria",IF(K338&gt;=Umbrales!$B$3,"Épica",IF(K338&gt;=Umbrales!$B$4,"Rara",IF(K338&gt;=Umbrales!$B$5,"Poco común","Común")))))</f>
        <v/>
      </c>
      <c r="M338" s="5" t="n">
        <v>7749.000192</v>
      </c>
      <c r="N338" s="5" t="n">
        <v>2115.000064</v>
      </c>
      <c r="O338" s="5">
        <f>IF(M338="","",M338*J338)</f>
        <v/>
      </c>
      <c r="P338" s="5">
        <f>IF(N338="","",N338*J338)</f>
        <v/>
      </c>
      <c r="Q338" s="7" t="n">
        <v>0.0144</v>
      </c>
      <c r="R338" s="8" t="n">
        <v>25.939342</v>
      </c>
      <c r="S338" s="4" t="inlineStr">
        <is>
          <t>DAX40, EUROSTOXX50</t>
        </is>
      </c>
      <c r="T338" s="9" t="inlineStr">
        <is>
          <t>SI</t>
        </is>
      </c>
      <c r="U338" s="9" t="inlineStr"/>
      <c r="V338" s="10">
        <f>Umbrales!$B$9*(K338/1000)^Umbrales!$B$10</f>
        <v/>
      </c>
    </row>
    <row r="339">
      <c r="A339" s="4" t="inlineStr">
        <is>
          <t>CSL.AX</t>
        </is>
      </c>
      <c r="B339" s="4" t="inlineStr">
        <is>
          <t>CSL Limited</t>
        </is>
      </c>
      <c r="C339" s="4" t="inlineStr">
        <is>
          <t>Australia</t>
        </is>
      </c>
      <c r="D339" s="4" t="inlineStr">
        <is>
          <t>AU</t>
        </is>
      </c>
      <c r="E339" s="4" t="inlineStr">
        <is>
          <t>Salud</t>
        </is>
      </c>
      <c r="F339" s="4" t="inlineStr">
        <is>
          <t>Biotechnology</t>
        </is>
      </c>
      <c r="G339" s="4" t="inlineStr">
        <is>
          <t>ASX</t>
        </is>
      </c>
      <c r="H339" s="4" t="inlineStr">
        <is>
          <t>AUD</t>
        </is>
      </c>
      <c r="I339" s="5" t="n">
        <v>89690.374144</v>
      </c>
      <c r="J339" s="6">
        <f>INDEX(FX!$B:$B,MATCH(H339,FX!$A:$A,0))</f>
        <v/>
      </c>
      <c r="K339" s="5">
        <f>I339*J339</f>
        <v/>
      </c>
      <c r="L339" s="4">
        <f>IF(U339&lt;&gt;"",U339,IF(K339&gt;=Umbrales!$B$2,"Legendaria",IF(K339&gt;=Umbrales!$B$3,"Épica",IF(K339&gt;=Umbrales!$B$4,"Rara",IF(K339&gt;=Umbrales!$B$5,"Poco común","Común")))))</f>
        <v/>
      </c>
      <c r="M339" s="5" t="n">
        <v>15797.000192</v>
      </c>
      <c r="N339" s="5" t="n">
        <v>-2579.000064</v>
      </c>
      <c r="O339" s="5">
        <f>IF(M339="","",M339*J339)</f>
        <v/>
      </c>
      <c r="P339" s="5">
        <f>IF(N339="","",N339*J339)</f>
        <v/>
      </c>
      <c r="Q339" s="7" t="n">
        <v>0.022</v>
      </c>
      <c r="R339" s="8" t="n"/>
      <c r="S339" s="4" t="inlineStr">
        <is>
          <t>ASX50</t>
        </is>
      </c>
      <c r="T339" s="9" t="inlineStr">
        <is>
          <t>SI</t>
        </is>
      </c>
      <c r="U339" s="9" t="inlineStr"/>
      <c r="V339" s="10">
        <f>Umbrales!$B$9*(K339/1000)^Umbrales!$B$10</f>
        <v/>
      </c>
    </row>
    <row r="340">
      <c r="A340" s="4" t="inlineStr">
        <is>
          <t>TRP.TO</t>
        </is>
      </c>
      <c r="B340" s="4" t="inlineStr">
        <is>
          <t>TC Energy Corporation</t>
        </is>
      </c>
      <c r="C340" s="4" t="inlineStr">
        <is>
          <t>Canada</t>
        </is>
      </c>
      <c r="D340" s="4" t="inlineStr">
        <is>
          <t>CA</t>
        </is>
      </c>
      <c r="E340" s="4" t="inlineStr">
        <is>
          <t>Energía</t>
        </is>
      </c>
      <c r="F340" s="4" t="inlineStr">
        <is>
          <t>Oil &amp; Gas Midstream</t>
        </is>
      </c>
      <c r="G340" s="4" t="inlineStr">
        <is>
          <t>TOR</t>
        </is>
      </c>
      <c r="H340" s="4" t="inlineStr">
        <is>
          <t>CAD</t>
        </is>
      </c>
      <c r="I340" s="5" t="n">
        <v>88102.223872</v>
      </c>
      <c r="J340" s="6">
        <f>INDEX(FX!$B:$B,MATCH(H340,FX!$A:$A,0))</f>
        <v/>
      </c>
      <c r="K340" s="5">
        <f>I340*J340</f>
        <v/>
      </c>
      <c r="L340" s="4">
        <f>IF(U340&lt;&gt;"",U340,IF(K340&gt;=Umbrales!$B$2,"Legendaria",IF(K340&gt;=Umbrales!$B$3,"Épica",IF(K340&gt;=Umbrales!$B$4,"Rara",IF(K340&gt;=Umbrales!$B$5,"Poco común","Común")))))</f>
        <v/>
      </c>
      <c r="M340" s="5" t="n">
        <v>15690.000384</v>
      </c>
      <c r="N340" s="5" t="n">
        <v>3657.999872</v>
      </c>
      <c r="O340" s="5">
        <f>IF(M340="","",M340*J340)</f>
        <v/>
      </c>
      <c r="P340" s="5">
        <f>IF(N340="","",N340*J340)</f>
        <v/>
      </c>
      <c r="Q340" s="7" t="n">
        <v>0.04</v>
      </c>
      <c r="R340" s="8" t="n">
        <v>24.232092</v>
      </c>
      <c r="S340" s="4" t="inlineStr">
        <is>
          <t>TSX60</t>
        </is>
      </c>
      <c r="T340" s="9" t="inlineStr">
        <is>
          <t>SI</t>
        </is>
      </c>
      <c r="U340" s="9" t="inlineStr"/>
      <c r="V340" s="10">
        <f>Umbrales!$B$9*(K340/1000)^Umbrales!$B$10</f>
        <v/>
      </c>
    </row>
    <row r="341">
      <c r="A341" s="4" t="inlineStr">
        <is>
          <t>DBK.DE</t>
        </is>
      </c>
      <c r="B341" s="4" t="inlineStr">
        <is>
          <t>Deutsche Bank Aktiengesellschaft</t>
        </is>
      </c>
      <c r="C341" s="4" t="inlineStr">
        <is>
          <t>Germany</t>
        </is>
      </c>
      <c r="D341" s="4" t="inlineStr">
        <is>
          <t>DE</t>
        </is>
      </c>
      <c r="E341" s="4" t="inlineStr">
        <is>
          <t>Finanzas</t>
        </is>
      </c>
      <c r="F341" s="4" t="inlineStr">
        <is>
          <t>Banks - Regional</t>
        </is>
      </c>
      <c r="G341" s="4" t="inlineStr">
        <is>
          <t>GER</t>
        </is>
      </c>
      <c r="H341" s="4" t="inlineStr">
        <is>
          <t>EUR</t>
        </is>
      </c>
      <c r="I341" s="5" t="n">
        <v>55251.996672</v>
      </c>
      <c r="J341" s="6">
        <f>INDEX(FX!$B:$B,MATCH(H341,FX!$A:$A,0))</f>
        <v/>
      </c>
      <c r="K341" s="5">
        <f>I341*J341</f>
        <v/>
      </c>
      <c r="L341" s="4">
        <f>IF(U341&lt;&gt;"",U341,IF(K341&gt;=Umbrales!$B$2,"Legendaria",IF(K341&gt;=Umbrales!$B$3,"Épica",IF(K341&gt;=Umbrales!$B$4,"Rara",IF(K341&gt;=Umbrales!$B$5,"Poco común","Común")))))</f>
        <v/>
      </c>
      <c r="M341" s="5" t="n">
        <v>30464.999424</v>
      </c>
      <c r="N341" s="5" t="n">
        <v>6090.999808</v>
      </c>
      <c r="O341" s="5">
        <f>IF(M341="","",M341*J341)</f>
        <v/>
      </c>
      <c r="P341" s="5">
        <f>IF(N341="","",N341*J341)</f>
        <v/>
      </c>
      <c r="Q341" s="7" t="n">
        <v>0.0335</v>
      </c>
      <c r="R341" s="8" t="n">
        <v>8.937690999999999</v>
      </c>
      <c r="S341" s="4" t="inlineStr">
        <is>
          <t>DAX40</t>
        </is>
      </c>
      <c r="T341" s="9" t="inlineStr">
        <is>
          <t>SI</t>
        </is>
      </c>
      <c r="U341" s="9" t="inlineStr"/>
      <c r="V341" s="10">
        <f>Umbrales!$B$9*(K341/1000)^Umbrales!$B$10</f>
        <v/>
      </c>
    </row>
    <row r="342">
      <c r="A342" s="4" t="inlineStr">
        <is>
          <t>GWW</t>
        </is>
      </c>
      <c r="B342" s="4" t="inlineStr">
        <is>
          <t>W.W. Grainger, Inc.</t>
        </is>
      </c>
      <c r="C342" s="4" t="inlineStr">
        <is>
          <t>United States</t>
        </is>
      </c>
      <c r="D342" s="4" t="inlineStr">
        <is>
          <t>US</t>
        </is>
      </c>
      <c r="E342" s="4" t="inlineStr">
        <is>
          <t>Industria</t>
        </is>
      </c>
      <c r="F342" s="4" t="inlineStr">
        <is>
          <t>Industrial Distribution</t>
        </is>
      </c>
      <c r="G342" s="4" t="inlineStr">
        <is>
          <t>NYQ</t>
        </is>
      </c>
      <c r="H342" s="4" t="inlineStr">
        <is>
          <t>USD</t>
        </is>
      </c>
      <c r="I342" s="5" t="n">
        <v>61765.144576</v>
      </c>
      <c r="J342" s="6">
        <f>INDEX(FX!$B:$B,MATCH(H342,FX!$A:$A,0))</f>
        <v/>
      </c>
      <c r="K342" s="5">
        <f>I342*J342</f>
        <v/>
      </c>
      <c r="L342" s="4">
        <f>IF(U342&lt;&gt;"",U342,IF(K342&gt;=Umbrales!$B$2,"Legendaria",IF(K342&gt;=Umbrales!$B$3,"Épica",IF(K342&gt;=Umbrales!$B$4,"Rara",IF(K342&gt;=Umbrales!$B$5,"Poco común","Común")))))</f>
        <v/>
      </c>
      <c r="M342" s="5" t="n">
        <v>18844.99968</v>
      </c>
      <c r="N342" s="5" t="n">
        <v>1870</v>
      </c>
      <c r="O342" s="5">
        <f>IF(M342="","",M342*J342)</f>
        <v/>
      </c>
      <c r="P342" s="5">
        <f>IF(N342="","",N342*J342)</f>
        <v/>
      </c>
      <c r="Q342" s="7" t="n">
        <v>0.0075</v>
      </c>
      <c r="R342" s="8" t="n">
        <v>33.228855</v>
      </c>
      <c r="S342" s="4" t="inlineStr">
        <is>
          <t>SP500</t>
        </is>
      </c>
      <c r="T342" s="9" t="inlineStr">
        <is>
          <t>SI</t>
        </is>
      </c>
      <c r="U342" s="9" t="inlineStr"/>
      <c r="V342" s="10">
        <f>Umbrales!$B$9*(K342/1000)^Umbrales!$B$10</f>
        <v/>
      </c>
    </row>
    <row r="343">
      <c r="A343" s="4" t="inlineStr">
        <is>
          <t>WES.AX</t>
        </is>
      </c>
      <c r="B343" s="4" t="inlineStr">
        <is>
          <t>Wesfarmers Limited</t>
        </is>
      </c>
      <c r="C343" s="4" t="inlineStr">
        <is>
          <t>Australia</t>
        </is>
      </c>
      <c r="D343" s="4" t="inlineStr">
        <is>
          <t>AU</t>
        </is>
      </c>
      <c r="E343" s="4" t="inlineStr">
        <is>
          <t>Consumo cíclico</t>
        </is>
      </c>
      <c r="F343" s="4" t="inlineStr">
        <is>
          <t>Home Improvement Retail</t>
        </is>
      </c>
      <c r="G343" s="4" t="inlineStr">
        <is>
          <t>ASX</t>
        </is>
      </c>
      <c r="H343" s="4" t="inlineStr">
        <is>
          <t>AUD</t>
        </is>
      </c>
      <c r="I343" s="5" t="n">
        <v>89119.694848</v>
      </c>
      <c r="J343" s="6">
        <f>INDEX(FX!$B:$B,MATCH(H343,FX!$A:$A,0))</f>
        <v/>
      </c>
      <c r="K343" s="5">
        <f>I343*J343</f>
        <v/>
      </c>
      <c r="L343" s="4">
        <f>IF(U343&lt;&gt;"",U343,IF(K343&gt;=Umbrales!$B$2,"Legendaria",IF(K343&gt;=Umbrales!$B$3,"Épica",IF(K343&gt;=Umbrales!$B$4,"Rara",IF(K343&gt;=Umbrales!$B$5,"Poco común","Común")))))</f>
        <v/>
      </c>
      <c r="M343" s="5" t="n">
        <v>47274.000384</v>
      </c>
      <c r="N343" s="5" t="n">
        <v>2873.999872</v>
      </c>
      <c r="O343" s="5">
        <f>IF(M343="","",M343*J343)</f>
        <v/>
      </c>
      <c r="P343" s="5">
        <f>IF(N343="","",N343*J343)</f>
        <v/>
      </c>
      <c r="Q343" s="7" t="n">
        <v>0.0284</v>
      </c>
      <c r="R343" s="8" t="n">
        <v>30.905512</v>
      </c>
      <c r="S343" s="4" t="inlineStr">
        <is>
          <t>ASX50</t>
        </is>
      </c>
      <c r="T343" s="9" t="inlineStr">
        <is>
          <t>SI</t>
        </is>
      </c>
      <c r="U343" s="9" t="inlineStr"/>
      <c r="V343" s="10">
        <f>Umbrales!$B$9*(K343/1000)^Umbrales!$B$10</f>
        <v/>
      </c>
    </row>
    <row r="344">
      <c r="A344" s="4" t="inlineStr">
        <is>
          <t>OXY</t>
        </is>
      </c>
      <c r="B344" s="4" t="inlineStr">
        <is>
          <t>Occidental Petroleum Corporation</t>
        </is>
      </c>
      <c r="C344" s="4" t="inlineStr">
        <is>
          <t>United States</t>
        </is>
      </c>
      <c r="D344" s="4" t="inlineStr">
        <is>
          <t>US</t>
        </is>
      </c>
      <c r="E344" s="4" t="inlineStr">
        <is>
          <t>Energía</t>
        </is>
      </c>
      <c r="F344" s="4" t="inlineStr">
        <is>
          <t>Oil &amp; Gas E&amp;P</t>
        </is>
      </c>
      <c r="G344" s="4" t="inlineStr">
        <is>
          <t>NYQ</t>
        </is>
      </c>
      <c r="H344" s="4" t="inlineStr">
        <is>
          <t>USD</t>
        </is>
      </c>
      <c r="I344" s="5" t="n">
        <v>61387.730944</v>
      </c>
      <c r="J344" s="6">
        <f>INDEX(FX!$B:$B,MATCH(H344,FX!$A:$A,0))</f>
        <v/>
      </c>
      <c r="K344" s="5">
        <f>I344*J344</f>
        <v/>
      </c>
      <c r="L344" s="4">
        <f>IF(U344&lt;&gt;"",U344,IF(K344&gt;=Umbrales!$B$2,"Legendaria",IF(K344&gt;=Umbrales!$B$3,"Épica",IF(K344&gt;=Umbrales!$B$4,"Rara",IF(K344&gt;=Umbrales!$B$5,"Poco común","Común")))))</f>
        <v/>
      </c>
      <c r="M344" s="5" t="n">
        <v>23925.999616</v>
      </c>
      <c r="N344" s="5" t="n">
        <v>3399.000064</v>
      </c>
      <c r="O344" s="5">
        <f>IF(M344="","",M344*J344)</f>
        <v/>
      </c>
      <c r="P344" s="5">
        <f>IF(N344="","",N344*J344)</f>
        <v/>
      </c>
      <c r="Q344" s="7" t="n">
        <v>0.0182</v>
      </c>
      <c r="R344" s="8" t="n">
        <v>17.495726</v>
      </c>
      <c r="S344" s="4" t="inlineStr">
        <is>
          <t>SP500</t>
        </is>
      </c>
      <c r="T344" s="9" t="inlineStr">
        <is>
          <t>SI</t>
        </is>
      </c>
      <c r="U344" s="9" t="inlineStr"/>
      <c r="V344" s="10">
        <f>Umbrales!$B$9*(K344/1000)^Umbrales!$B$10</f>
        <v/>
      </c>
    </row>
    <row r="345">
      <c r="A345" s="4" t="inlineStr">
        <is>
          <t>ALL</t>
        </is>
      </c>
      <c r="B345" s="4" t="inlineStr">
        <is>
          <t>The Allstate Corporation</t>
        </is>
      </c>
      <c r="C345" s="4" t="inlineStr">
        <is>
          <t>United States</t>
        </is>
      </c>
      <c r="D345" s="4" t="inlineStr">
        <is>
          <t>US</t>
        </is>
      </c>
      <c r="E345" s="4" t="inlineStr">
        <is>
          <t>Finanzas</t>
        </is>
      </c>
      <c r="F345" s="4" t="inlineStr">
        <is>
          <t>Insurance - Property &amp; Casualty</t>
        </is>
      </c>
      <c r="G345" s="4" t="inlineStr">
        <is>
          <t>NYQ</t>
        </is>
      </c>
      <c r="H345" s="4" t="inlineStr">
        <is>
          <t>USD</t>
        </is>
      </c>
      <c r="I345" s="5" t="n">
        <v>61328.093184</v>
      </c>
      <c r="J345" s="6">
        <f>INDEX(FX!$B:$B,MATCH(H345,FX!$A:$A,0))</f>
        <v/>
      </c>
      <c r="K345" s="5">
        <f>I345*J345</f>
        <v/>
      </c>
      <c r="L345" s="4">
        <f>IF(U345&lt;&gt;"",U345,IF(K345&gt;=Umbrales!$B$2,"Legendaria",IF(K345&gt;=Umbrales!$B$3,"Épica",IF(K345&gt;=Umbrales!$B$4,"Rara",IF(K345&gt;=Umbrales!$B$5,"Poco común","Común")))))</f>
        <v/>
      </c>
      <c r="M345" s="5" t="n">
        <v>70137.004032</v>
      </c>
      <c r="N345" s="5" t="n">
        <v>13189.000192</v>
      </c>
      <c r="O345" s="5">
        <f>IF(M345="","",M345*J345)</f>
        <v/>
      </c>
      <c r="P345" s="5">
        <f>IF(N345="","",N345*J345)</f>
        <v/>
      </c>
      <c r="Q345" s="7" t="n">
        <v>0.0183</v>
      </c>
      <c r="R345" s="8" t="n">
        <v>4.8575945</v>
      </c>
      <c r="S345" s="4" t="inlineStr">
        <is>
          <t>SP500</t>
        </is>
      </c>
      <c r="T345" s="9" t="inlineStr">
        <is>
          <t>SI</t>
        </is>
      </c>
      <c r="U345" s="9" t="inlineStr"/>
      <c r="V345" s="10">
        <f>Umbrales!$B$9*(K345/1000)^Umbrales!$B$10</f>
        <v/>
      </c>
    </row>
    <row r="346">
      <c r="A346" s="4" t="inlineStr">
        <is>
          <t>AJG</t>
        </is>
      </c>
      <c r="B346" s="4" t="inlineStr">
        <is>
          <t>Arthur J. Gallagher &amp; Co.</t>
        </is>
      </c>
      <c r="C346" s="4" t="inlineStr">
        <is>
          <t>United States</t>
        </is>
      </c>
      <c r="D346" s="4" t="inlineStr">
        <is>
          <t>US</t>
        </is>
      </c>
      <c r="E346" s="4" t="inlineStr">
        <is>
          <t>Finanzas</t>
        </is>
      </c>
      <c r="F346" s="4" t="inlineStr">
        <is>
          <t>Insurance Brokers</t>
        </is>
      </c>
      <c r="G346" s="4" t="inlineStr">
        <is>
          <t>NYQ</t>
        </is>
      </c>
      <c r="H346" s="4" t="inlineStr">
        <is>
          <t>USD</t>
        </is>
      </c>
      <c r="I346" s="5" t="n">
        <v>60763.066368</v>
      </c>
      <c r="J346" s="6">
        <f>INDEX(FX!$B:$B,MATCH(H346,FX!$A:$A,0))</f>
        <v/>
      </c>
      <c r="K346" s="5">
        <f>I346*J346</f>
        <v/>
      </c>
      <c r="L346" s="4">
        <f>IF(U346&lt;&gt;"",U346,IF(K346&gt;=Umbrales!$B$2,"Legendaria",IF(K346&gt;=Umbrales!$B$3,"Épica",IF(K346&gt;=Umbrales!$B$4,"Rara",IF(K346&gt;=Umbrales!$B$5,"Poco común","Común")))))</f>
        <v/>
      </c>
      <c r="M346" s="5" t="n">
        <v>15109.000192</v>
      </c>
      <c r="N346" s="5" t="n">
        <v>1568</v>
      </c>
      <c r="O346" s="5">
        <f>IF(M346="","",M346*J346)</f>
        <v/>
      </c>
      <c r="P346" s="5">
        <f>IF(N346="","",N346*J346)</f>
        <v/>
      </c>
      <c r="Q346" s="7" t="n">
        <v>0.012</v>
      </c>
      <c r="R346" s="8" t="n">
        <v>39.310112</v>
      </c>
      <c r="S346" s="4" t="inlineStr">
        <is>
          <t>SP500</t>
        </is>
      </c>
      <c r="T346" s="9" t="inlineStr">
        <is>
          <t>SI</t>
        </is>
      </c>
      <c r="U346" s="9" t="inlineStr"/>
      <c r="V346" s="10">
        <f>Umbrales!$B$9*(K346/1000)^Umbrales!$B$10</f>
        <v/>
      </c>
    </row>
    <row r="347">
      <c r="A347" s="4" t="inlineStr">
        <is>
          <t>TRGP</t>
        </is>
      </c>
      <c r="B347" s="4" t="inlineStr">
        <is>
          <t>Targa Resources Corp.</t>
        </is>
      </c>
      <c r="C347" s="4" t="inlineStr">
        <is>
          <t>United States</t>
        </is>
      </c>
      <c r="D347" s="4" t="inlineStr">
        <is>
          <t>US</t>
        </is>
      </c>
      <c r="E347" s="4" t="inlineStr">
        <is>
          <t>Energía</t>
        </is>
      </c>
      <c r="F347" s="4" t="inlineStr">
        <is>
          <t>Oil &amp; Gas Midstream</t>
        </is>
      </c>
      <c r="G347" s="4" t="inlineStr">
        <is>
          <t>NYQ</t>
        </is>
      </c>
      <c r="H347" s="4" t="inlineStr">
        <is>
          <t>USD</t>
        </is>
      </c>
      <c r="I347" s="5" t="n">
        <v>60757.958656</v>
      </c>
      <c r="J347" s="6">
        <f>INDEX(FX!$B:$B,MATCH(H347,FX!$A:$A,0))</f>
        <v/>
      </c>
      <c r="K347" s="5">
        <f>I347*J347</f>
        <v/>
      </c>
      <c r="L347" s="4">
        <f>IF(U347&lt;&gt;"",U347,IF(K347&gt;=Umbrales!$B$2,"Legendaria",IF(K347&gt;=Umbrales!$B$3,"Épica",IF(K347&gt;=Umbrales!$B$4,"Rara",IF(K347&gt;=Umbrales!$B$5,"Poco común","Común")))))</f>
        <v/>
      </c>
      <c r="M347" s="5" t="n">
        <v>16741.499904</v>
      </c>
      <c r="N347" s="5" t="n">
        <v>2255.300096</v>
      </c>
      <c r="O347" s="5">
        <f>IF(M347="","",M347*J347)</f>
        <v/>
      </c>
      <c r="P347" s="5">
        <f>IF(N347="","",N347*J347)</f>
        <v/>
      </c>
      <c r="Q347" s="7" t="n">
        <v>0.0171</v>
      </c>
      <c r="R347" s="8" t="n">
        <v>27.088432</v>
      </c>
      <c r="S347" s="4" t="inlineStr">
        <is>
          <t>SP500</t>
        </is>
      </c>
      <c r="T347" s="9" t="inlineStr">
        <is>
          <t>SI</t>
        </is>
      </c>
      <c r="U347" s="9" t="inlineStr"/>
      <c r="V347" s="10">
        <f>Umbrales!$B$9*(K347/1000)^Umbrales!$B$10</f>
        <v/>
      </c>
    </row>
    <row r="348">
      <c r="A348" s="4" t="inlineStr">
        <is>
          <t>NDA-FI.HE</t>
        </is>
      </c>
      <c r="B348" s="4" t="inlineStr">
        <is>
          <t>Nordea Bank Abp</t>
        </is>
      </c>
      <c r="C348" s="4" t="inlineStr">
        <is>
          <t>Finland</t>
        </is>
      </c>
      <c r="D348" s="4" t="inlineStr">
        <is>
          <t>FI</t>
        </is>
      </c>
      <c r="E348" s="4" t="inlineStr">
        <is>
          <t>Finanzas</t>
        </is>
      </c>
      <c r="F348" s="4" t="inlineStr">
        <is>
          <t>Banks - Regional</t>
        </is>
      </c>
      <c r="G348" s="4" t="inlineStr">
        <is>
          <t>HEL</t>
        </is>
      </c>
      <c r="H348" s="4" t="inlineStr">
        <is>
          <t>EUR</t>
        </is>
      </c>
      <c r="I348" s="5" t="n">
        <v>54147.33824</v>
      </c>
      <c r="J348" s="6">
        <f>INDEX(FX!$B:$B,MATCH(H348,FX!$A:$A,0))</f>
        <v/>
      </c>
      <c r="K348" s="5">
        <f>I348*J348</f>
        <v/>
      </c>
      <c r="L348" s="4">
        <f>IF(U348&lt;&gt;"",U348,IF(K348&gt;=Umbrales!$B$2,"Legendaria",IF(K348&gt;=Umbrales!$B$3,"Épica",IF(K348&gt;=Umbrales!$B$4,"Rara",IF(K348&gt;=Umbrales!$B$5,"Poco común","Común")))))</f>
        <v/>
      </c>
      <c r="M348" s="5" t="n">
        <v>11623.999488</v>
      </c>
      <c r="N348" s="5" t="n">
        <v>4717.000192</v>
      </c>
      <c r="O348" s="5">
        <f>IF(M348="","",M348*J348)</f>
        <v/>
      </c>
      <c r="P348" s="5">
        <f>IF(N348="","",N348*J348)</f>
        <v/>
      </c>
      <c r="Q348" s="7" t="n">
        <v>0.0766</v>
      </c>
      <c r="R348" s="8" t="n">
        <v>11.478417</v>
      </c>
      <c r="S348" s="4" t="inlineStr">
        <is>
          <t>EUROSTOXX50</t>
        </is>
      </c>
      <c r="T348" s="9" t="inlineStr">
        <is>
          <t>SI</t>
        </is>
      </c>
      <c r="U348" s="9" t="inlineStr"/>
      <c r="V348" s="10">
        <f>Umbrales!$B$9*(K348/1000)^Umbrales!$B$10</f>
        <v/>
      </c>
    </row>
    <row r="349">
      <c r="A349" s="4" t="inlineStr">
        <is>
          <t>MSTR</t>
        </is>
      </c>
      <c r="B349" s="4" t="inlineStr">
        <is>
          <t>Strategy Inc</t>
        </is>
      </c>
      <c r="C349" s="4" t="inlineStr">
        <is>
          <t>United States</t>
        </is>
      </c>
      <c r="D349" s="4" t="inlineStr">
        <is>
          <t>US</t>
        </is>
      </c>
      <c r="E349" s="4" t="inlineStr">
        <is>
          <t>Tecnología</t>
        </is>
      </c>
      <c r="F349" s="4" t="inlineStr">
        <is>
          <t>Software - Application</t>
        </is>
      </c>
      <c r="G349" s="4" t="inlineStr">
        <is>
          <t>NMS</t>
        </is>
      </c>
      <c r="H349" s="4" t="inlineStr">
        <is>
          <t>USD</t>
        </is>
      </c>
      <c r="I349" s="5" t="n">
        <v>60654.559232</v>
      </c>
      <c r="J349" s="6">
        <f>INDEX(FX!$B:$B,MATCH(H349,FX!$A:$A,0))</f>
        <v/>
      </c>
      <c r="K349" s="5">
        <f>I349*J349</f>
        <v/>
      </c>
      <c r="L349" s="4">
        <f>IF(U349&lt;&gt;"",U349,IF(K349&gt;=Umbrales!$B$2,"Legendaria",IF(K349&gt;=Umbrales!$B$3,"Épica",IF(K349&gt;=Umbrales!$B$4,"Rara",IF(K349&gt;=Umbrales!$B$5,"Poco común","Común")))))</f>
        <v/>
      </c>
      <c r="M349" s="5" t="n">
        <v>498.347008</v>
      </c>
      <c r="N349" s="5" t="n">
        <v>-31367.133184</v>
      </c>
      <c r="O349" s="5">
        <f>IF(M349="","",M349*J349)</f>
        <v/>
      </c>
      <c r="P349" s="5">
        <f>IF(N349="","",N349*J349)</f>
        <v/>
      </c>
      <c r="Q349" s="7" t="n">
        <v>0</v>
      </c>
      <c r="R349" s="8" t="n"/>
      <c r="S349" s="4" t="inlineStr">
        <is>
          <t>NASDAQ100</t>
        </is>
      </c>
      <c r="T349" s="9" t="inlineStr">
        <is>
          <t>SI</t>
        </is>
      </c>
      <c r="U349" s="9" t="inlineStr"/>
      <c r="V349" s="10">
        <f>Umbrales!$B$9*(K349/1000)^Umbrales!$B$10</f>
        <v/>
      </c>
    </row>
    <row r="350">
      <c r="A350" s="4" t="inlineStr">
        <is>
          <t>STAN.L</t>
        </is>
      </c>
      <c r="B350" s="4" t="inlineStr">
        <is>
          <t>Standard Chartered PLC</t>
        </is>
      </c>
      <c r="C350" s="4" t="inlineStr">
        <is>
          <t>United Kingdom</t>
        </is>
      </c>
      <c r="D350" s="4" t="inlineStr">
        <is>
          <t>GB</t>
        </is>
      </c>
      <c r="E350" s="4" t="inlineStr">
        <is>
          <t>Finanzas</t>
        </is>
      </c>
      <c r="F350" s="4" t="inlineStr">
        <is>
          <t>Banks - Diversified</t>
        </is>
      </c>
      <c r="G350" s="4" t="inlineStr">
        <is>
          <t>LSE</t>
        </is>
      </c>
      <c r="H350" s="4" t="inlineStr">
        <is>
          <t>GBP</t>
        </is>
      </c>
      <c r="I350" s="5" t="n">
        <v>45753.839616</v>
      </c>
      <c r="J350" s="6">
        <f>INDEX(FX!$B:$B,MATCH(H350,FX!$A:$A,0))</f>
        <v/>
      </c>
      <c r="K350" s="5">
        <f>I350*J350</f>
        <v/>
      </c>
      <c r="L350" s="4">
        <f>IF(U350&lt;&gt;"",U350,IF(K350&gt;=Umbrales!$B$2,"Legendaria",IF(K350&gt;=Umbrales!$B$3,"Épica",IF(K350&gt;=Umbrales!$B$4,"Rara",IF(K350&gt;=Umbrales!$B$5,"Poco común","Común")))))</f>
        <v/>
      </c>
      <c r="M350" s="5" t="n">
        <v>20853.999616</v>
      </c>
      <c r="N350" s="5" t="n">
        <v>4861.000192</v>
      </c>
      <c r="O350" s="5">
        <f>IF(M350="","",M350*J350)</f>
        <v/>
      </c>
      <c r="P350" s="5">
        <f>IF(N350="","",N350*J350)</f>
        <v/>
      </c>
      <c r="Q350" s="7" t="n">
        <v>0.0238</v>
      </c>
      <c r="R350" s="8" t="n">
        <v>13.777778</v>
      </c>
      <c r="S350" s="4" t="inlineStr">
        <is>
          <t>FTSE100</t>
        </is>
      </c>
      <c r="T350" s="9" t="inlineStr">
        <is>
          <t>SI</t>
        </is>
      </c>
      <c r="U350" s="9" t="inlineStr"/>
      <c r="V350" s="10">
        <f>Umbrales!$B$9*(K350/1000)^Umbrales!$B$10</f>
        <v/>
      </c>
    </row>
    <row r="351">
      <c r="A351" s="4" t="inlineStr">
        <is>
          <t>TEL</t>
        </is>
      </c>
      <c r="B351" s="4" t="inlineStr">
        <is>
          <t>TE Connectivity plc</t>
        </is>
      </c>
      <c r="C351" s="4" t="inlineStr">
        <is>
          <t>Ireland</t>
        </is>
      </c>
      <c r="D351" s="4" t="inlineStr">
        <is>
          <t>IE</t>
        </is>
      </c>
      <c r="E351" s="4" t="inlineStr">
        <is>
          <t>Tecnología</t>
        </is>
      </c>
      <c r="F351" s="4" t="inlineStr">
        <is>
          <t>Electronic Components</t>
        </is>
      </c>
      <c r="G351" s="4" t="inlineStr">
        <is>
          <t>NYQ</t>
        </is>
      </c>
      <c r="H351" s="4" t="inlineStr">
        <is>
          <t>USD</t>
        </is>
      </c>
      <c r="I351" s="5" t="n">
        <v>60586.00448</v>
      </c>
      <c r="J351" s="6">
        <f>INDEX(FX!$B:$B,MATCH(H351,FX!$A:$A,0))</f>
        <v/>
      </c>
      <c r="K351" s="5">
        <f>I351*J351</f>
        <v/>
      </c>
      <c r="L351" s="4">
        <f>IF(U351&lt;&gt;"",U351,IF(K351&gt;=Umbrales!$B$2,"Legendaria",IF(K351&gt;=Umbrales!$B$3,"Épica",IF(K351&gt;=Umbrales!$B$4,"Rara",IF(K351&gt;=Umbrales!$B$5,"Poco común","Común")))))</f>
        <v/>
      </c>
      <c r="M351" s="5" t="n">
        <v>19321.99936</v>
      </c>
      <c r="N351" s="5" t="n">
        <v>3017.999872</v>
      </c>
      <c r="O351" s="5">
        <f>IF(M351="","",M351*J351)</f>
        <v/>
      </c>
      <c r="P351" s="5">
        <f>IF(N351="","",N351*J351)</f>
        <v/>
      </c>
      <c r="Q351" s="7" t="n">
        <v>0.0144</v>
      </c>
      <c r="R351" s="8" t="n">
        <v>21.022135</v>
      </c>
      <c r="S351" s="4" t="inlineStr">
        <is>
          <t>SP500</t>
        </is>
      </c>
      <c r="T351" s="9" t="inlineStr">
        <is>
          <t>SI</t>
        </is>
      </c>
      <c r="U351" s="9" t="inlineStr"/>
      <c r="V351" s="10">
        <f>Umbrales!$B$9*(K351/1000)^Umbrales!$B$10</f>
        <v/>
      </c>
    </row>
    <row r="352">
      <c r="A352" s="4" t="inlineStr">
        <is>
          <t>MPWR</t>
        </is>
      </c>
      <c r="B352" s="4" t="inlineStr">
        <is>
          <t>Monolithic Power Systems, Inc.</t>
        </is>
      </c>
      <c r="C352" s="4" t="inlineStr">
        <is>
          <t>United States</t>
        </is>
      </c>
      <c r="D352" s="4" t="inlineStr">
        <is>
          <t>US</t>
        </is>
      </c>
      <c r="E352" s="4" t="inlineStr">
        <is>
          <t>Tecnología</t>
        </is>
      </c>
      <c r="F352" s="4" t="inlineStr">
        <is>
          <t>Semiconductors</t>
        </is>
      </c>
      <c r="G352" s="4" t="inlineStr">
        <is>
          <t>NMS</t>
        </is>
      </c>
      <c r="H352" s="4" t="inlineStr">
        <is>
          <t>USD</t>
        </is>
      </c>
      <c r="I352" s="5" t="n">
        <v>60427.952128</v>
      </c>
      <c r="J352" s="6">
        <f>INDEX(FX!$B:$B,MATCH(H352,FX!$A:$A,0))</f>
        <v/>
      </c>
      <c r="K352" s="5">
        <f>I352*J352</f>
        <v/>
      </c>
      <c r="L352" s="4">
        <f>IF(U352&lt;&gt;"",U352,IF(K352&gt;=Umbrales!$B$2,"Legendaria",IF(K352&gt;=Umbrales!$B$3,"Épica",IF(K352&gt;=Umbrales!$B$4,"Rara",IF(K352&gt;=Umbrales!$B$5,"Poco común","Común")))))</f>
        <v/>
      </c>
      <c r="M352" s="5" t="n">
        <v>3273.157888</v>
      </c>
      <c r="N352" s="5" t="n">
        <v>801.945984</v>
      </c>
      <c r="O352" s="5">
        <f>IF(M352="","",M352*J352)</f>
        <v/>
      </c>
      <c r="P352" s="5">
        <f>IF(N352="","",N352*J352)</f>
        <v/>
      </c>
      <c r="Q352" s="7" t="n">
        <v>0.0061</v>
      </c>
      <c r="R352" s="8" t="n">
        <v>79.38251</v>
      </c>
      <c r="S352" s="4" t="inlineStr">
        <is>
          <t>SP500</t>
        </is>
      </c>
      <c r="T352" s="9" t="inlineStr">
        <is>
          <t>SI</t>
        </is>
      </c>
      <c r="U352" s="9" t="inlineStr"/>
      <c r="V352" s="10">
        <f>Umbrales!$B$9*(K352/1000)^Umbrales!$B$10</f>
        <v/>
      </c>
    </row>
    <row r="353">
      <c r="A353" s="4" t="inlineStr">
        <is>
          <t>7974.T</t>
        </is>
      </c>
      <c r="B353" s="4" t="inlineStr">
        <is>
          <t>Nintendo Co., Ltd.</t>
        </is>
      </c>
      <c r="C353" s="4" t="inlineStr">
        <is>
          <t>Japan</t>
        </is>
      </c>
      <c r="D353" s="4" t="inlineStr">
        <is>
          <t>JP</t>
        </is>
      </c>
      <c r="E353" s="4" t="inlineStr">
        <is>
          <t>Comunicación</t>
        </is>
      </c>
      <c r="F353" s="4" t="inlineStr">
        <is>
          <t>Electronic Gaming &amp; Multimedia</t>
        </is>
      </c>
      <c r="G353" s="4" t="inlineStr">
        <is>
          <t>JPX</t>
        </is>
      </c>
      <c r="H353" s="4" t="inlineStr">
        <is>
          <t>JPY</t>
        </is>
      </c>
      <c r="I353" s="5" t="n">
        <v>9485841.072128</v>
      </c>
      <c r="J353" s="6">
        <f>INDEX(FX!$B:$B,MATCH(H353,FX!$A:$A,0))</f>
        <v/>
      </c>
      <c r="K353" s="5">
        <f>I353*J353</f>
        <v/>
      </c>
      <c r="L353" s="4">
        <f>IF(U353&lt;&gt;"",U353,IF(K353&gt;=Umbrales!$B$2,"Legendaria",IF(K353&gt;=Umbrales!$B$3,"Épica",IF(K353&gt;=Umbrales!$B$4,"Rara",IF(K353&gt;=Umbrales!$B$5,"Poco común","Común")))))</f>
        <v/>
      </c>
      <c r="M353" s="5" t="n">
        <v>2258501.107712</v>
      </c>
      <c r="N353" s="5" t="n">
        <v>475447.001088</v>
      </c>
      <c r="O353" s="5">
        <f>IF(M353="","",M353*J353)</f>
        <v/>
      </c>
      <c r="P353" s="5">
        <f>IF(N353="","",N353*J353)</f>
        <v/>
      </c>
      <c r="Q353" s="7" t="n">
        <v>0.0265</v>
      </c>
      <c r="R353" s="8" t="n">
        <v>20.0874</v>
      </c>
      <c r="S353" s="4" t="inlineStr">
        <is>
          <t>ASIA_TOP</t>
        </is>
      </c>
      <c r="T353" s="9" t="inlineStr">
        <is>
          <t>SI</t>
        </is>
      </c>
      <c r="U353" s="9" t="inlineStr"/>
      <c r="V353" s="10">
        <f>Umbrales!$B$9*(K353/1000)^Umbrales!$B$10</f>
        <v/>
      </c>
    </row>
    <row r="354">
      <c r="A354" s="4" t="inlineStr">
        <is>
          <t>AFL</t>
        </is>
      </c>
      <c r="B354" s="4" t="inlineStr">
        <is>
          <t>Aflac Incorporated</t>
        </is>
      </c>
      <c r="C354" s="4" t="inlineStr">
        <is>
          <t>United States</t>
        </is>
      </c>
      <c r="D354" s="4" t="inlineStr">
        <is>
          <t>US</t>
        </is>
      </c>
      <c r="E354" s="4" t="inlineStr">
        <is>
          <t>Finanzas</t>
        </is>
      </c>
      <c r="F354" s="4" t="inlineStr">
        <is>
          <t>Insurance - Life</t>
        </is>
      </c>
      <c r="G354" s="4" t="inlineStr">
        <is>
          <t>NYQ</t>
        </is>
      </c>
      <c r="H354" s="4" t="inlineStr">
        <is>
          <t>USD</t>
        </is>
      </c>
      <c r="I354" s="5" t="n">
        <v>59845.349376</v>
      </c>
      <c r="J354" s="6">
        <f>INDEX(FX!$B:$B,MATCH(H354,FX!$A:$A,0))</f>
        <v/>
      </c>
      <c r="K354" s="5">
        <f>I354*J354</f>
        <v/>
      </c>
      <c r="L354" s="4">
        <f>IF(U354&lt;&gt;"",U354,IF(K354&gt;=Umbrales!$B$2,"Legendaria",IF(K354&gt;=Umbrales!$B$3,"Épica",IF(K354&gt;=Umbrales!$B$4,"Rara",IF(K354&gt;=Umbrales!$B$5,"Poco común","Común")))))</f>
        <v/>
      </c>
      <c r="M354" s="5" t="n">
        <v>18069.000192</v>
      </c>
      <c r="N354" s="5" t="n">
        <v>4862.000128</v>
      </c>
      <c r="O354" s="5">
        <f>IF(M354="","",M354*J354)</f>
        <v/>
      </c>
      <c r="P354" s="5">
        <f>IF(N354="","",N354*J354)</f>
        <v/>
      </c>
      <c r="Q354" s="7" t="n">
        <v>0.021</v>
      </c>
      <c r="R354" s="8" t="n">
        <v>12.645128</v>
      </c>
      <c r="S354" s="4" t="inlineStr">
        <is>
          <t>SP500</t>
        </is>
      </c>
      <c r="T354" s="9" t="inlineStr">
        <is>
          <t>SI</t>
        </is>
      </c>
      <c r="U354" s="9" t="inlineStr"/>
      <c r="V354" s="10">
        <f>Umbrales!$B$9*(K354/1000)^Umbrales!$B$10</f>
        <v/>
      </c>
    </row>
    <row r="355">
      <c r="A355" s="4" t="inlineStr">
        <is>
          <t>0388.HK</t>
        </is>
      </c>
      <c r="B355" s="4" t="inlineStr">
        <is>
          <t>Hong Kong Exchanges and Clearing Limited</t>
        </is>
      </c>
      <c r="C355" s="4" t="inlineStr">
        <is>
          <t>Hong Kong</t>
        </is>
      </c>
      <c r="D355" s="4" t="inlineStr">
        <is>
          <t>HK</t>
        </is>
      </c>
      <c r="E355" s="4" t="inlineStr">
        <is>
          <t>Finanzas</t>
        </is>
      </c>
      <c r="F355" s="4" t="inlineStr">
        <is>
          <t>Financial Data &amp; Stock Exchanges</t>
        </is>
      </c>
      <c r="G355" s="4" t="inlineStr">
        <is>
          <t>HKG</t>
        </is>
      </c>
      <c r="H355" s="4" t="inlineStr">
        <is>
          <t>HKD</t>
        </is>
      </c>
      <c r="I355" s="5" t="n">
        <v>469449.1136</v>
      </c>
      <c r="J355" s="6">
        <f>INDEX(FX!$B:$B,MATCH(H355,FX!$A:$A,0))</f>
        <v/>
      </c>
      <c r="K355" s="5">
        <f>I355*J355</f>
        <v/>
      </c>
      <c r="L355" s="4">
        <f>IF(U355&lt;&gt;"",U355,IF(K355&gt;=Umbrales!$B$2,"Legendaria",IF(K355&gt;=Umbrales!$B$3,"Épica",IF(K355&gt;=Umbrales!$B$4,"Rara",IF(K355&gt;=Umbrales!$B$5,"Poco común","Común")))))</f>
        <v/>
      </c>
      <c r="M355" s="5" t="n">
        <v>31487.000576</v>
      </c>
      <c r="N355" s="5" t="n">
        <v>19803.000832</v>
      </c>
      <c r="O355" s="5">
        <f>IF(M355="","",M355*J355)</f>
        <v/>
      </c>
      <c r="P355" s="5">
        <f>IF(N355="","",N355*J355)</f>
        <v/>
      </c>
      <c r="Q355" s="7" t="n">
        <v>0.0398</v>
      </c>
      <c r="R355" s="8" t="n">
        <v>23.761995</v>
      </c>
      <c r="S355" s="4" t="inlineStr">
        <is>
          <t>HANGSENG</t>
        </is>
      </c>
      <c r="T355" s="9" t="inlineStr">
        <is>
          <t>SI</t>
        </is>
      </c>
      <c r="U355" s="9" t="inlineStr"/>
      <c r="V355" s="10">
        <f>Umbrales!$B$9*(K355/1000)^Umbrales!$B$10</f>
        <v/>
      </c>
    </row>
    <row r="356">
      <c r="A356" s="4" t="inlineStr">
        <is>
          <t>NDA-SE.ST</t>
        </is>
      </c>
      <c r="B356" s="4" t="inlineStr">
        <is>
          <t>Nordea Bank Abp</t>
        </is>
      </c>
      <c r="C356" s="4" t="inlineStr">
        <is>
          <t>Finland</t>
        </is>
      </c>
      <c r="D356" s="4" t="inlineStr">
        <is>
          <t>FI</t>
        </is>
      </c>
      <c r="E356" s="4" t="inlineStr">
        <is>
          <t>Finanzas</t>
        </is>
      </c>
      <c r="F356" s="4" t="inlineStr">
        <is>
          <t>Banks - Regional</t>
        </is>
      </c>
      <c r="G356" s="4" t="inlineStr">
        <is>
          <t>STO</t>
        </is>
      </c>
      <c r="H356" s="4" t="inlineStr">
        <is>
          <t>SEK</t>
        </is>
      </c>
      <c r="I356" s="5" t="n">
        <v>595434.078208</v>
      </c>
      <c r="J356" s="6">
        <f>INDEX(FX!$B:$B,MATCH(H356,FX!$A:$A,0))</f>
        <v/>
      </c>
      <c r="K356" s="5">
        <f>I356*J356</f>
        <v/>
      </c>
      <c r="L356" s="4">
        <f>IF(U356&lt;&gt;"",U356,IF(K356&gt;=Umbrales!$B$2,"Legendaria",IF(K356&gt;=Umbrales!$B$3,"Épica",IF(K356&gt;=Umbrales!$B$4,"Rara",IF(K356&gt;=Umbrales!$B$5,"Poco común","Común")))))</f>
        <v/>
      </c>
      <c r="M356" s="5" t="n">
        <v>11623.999488</v>
      </c>
      <c r="N356" s="5" t="n">
        <v>4717.000192</v>
      </c>
      <c r="O356" s="5">
        <f>IF(M356="","",M356*J356)</f>
        <v/>
      </c>
      <c r="P356" s="5">
        <f>IF(N356="","",N356*J356)</f>
        <v/>
      </c>
      <c r="Q356" s="7" t="n">
        <v>0.07519999999999999</v>
      </c>
      <c r="R356" s="8" t="n">
        <v>11.542763</v>
      </c>
      <c r="S356" s="4" t="inlineStr">
        <is>
          <t>OMXS30</t>
        </is>
      </c>
      <c r="T356" s="9" t="inlineStr">
        <is>
          <t>SI</t>
        </is>
      </c>
      <c r="U356" s="9" t="inlineStr"/>
      <c r="V356" s="10">
        <f>Umbrales!$B$9*(K356/1000)^Umbrales!$B$10</f>
        <v/>
      </c>
    </row>
    <row r="357">
      <c r="A357" s="4" t="inlineStr">
        <is>
          <t>WPM.TO</t>
        </is>
      </c>
      <c r="B357" s="4" t="inlineStr">
        <is>
          <t>Wheaton Precious Metals Corp.</t>
        </is>
      </c>
      <c r="C357" s="4" t="inlineStr">
        <is>
          <t>Canada</t>
        </is>
      </c>
      <c r="D357" s="4" t="inlineStr">
        <is>
          <t>CA</t>
        </is>
      </c>
      <c r="E357" s="4" t="inlineStr">
        <is>
          <t>Materiales</t>
        </is>
      </c>
      <c r="F357" s="4" t="inlineStr">
        <is>
          <t>Gold</t>
        </is>
      </c>
      <c r="G357" s="4" t="inlineStr">
        <is>
          <t>TOR</t>
        </is>
      </c>
      <c r="H357" s="4" t="inlineStr">
        <is>
          <t>CAD</t>
        </is>
      </c>
      <c r="I357" s="5" t="n">
        <v>84809.834496</v>
      </c>
      <c r="J357" s="6">
        <f>INDEX(FX!$B:$B,MATCH(H357,FX!$A:$A,0))</f>
        <v/>
      </c>
      <c r="K357" s="5">
        <f>I357*J357</f>
        <v/>
      </c>
      <c r="L357" s="4">
        <f>IF(U357&lt;&gt;"",U357,IF(K357&gt;=Umbrales!$B$2,"Legendaria",IF(K357&gt;=Umbrales!$B$3,"Épica",IF(K357&gt;=Umbrales!$B$4,"Rara",IF(K357&gt;=Umbrales!$B$5,"Poco común","Común")))))</f>
        <v/>
      </c>
      <c r="M357" s="5" t="n">
        <v>3171.641088</v>
      </c>
      <c r="N357" s="5" t="n">
        <v>2050.745984</v>
      </c>
      <c r="O357" s="5">
        <f>IF(M357="","",M357*J357)</f>
        <v/>
      </c>
      <c r="P357" s="5">
        <f>IF(N357="","",N357*J357)</f>
        <v/>
      </c>
      <c r="Q357" s="7" t="n">
        <v>0.005600000000000001</v>
      </c>
      <c r="R357" s="8" t="n">
        <v>29.97432</v>
      </c>
      <c r="S357" s="4" t="inlineStr">
        <is>
          <t>TSX60</t>
        </is>
      </c>
      <c r="T357" s="9" t="inlineStr">
        <is>
          <t>SI</t>
        </is>
      </c>
      <c r="U357" s="9" t="inlineStr"/>
      <c r="V357" s="10">
        <f>Umbrales!$B$9*(K357/1000)^Umbrales!$B$10</f>
        <v/>
      </c>
    </row>
    <row r="358">
      <c r="A358" s="4" t="inlineStr">
        <is>
          <t>FAST</t>
        </is>
      </c>
      <c r="B358" s="4" t="inlineStr">
        <is>
          <t>Fastenal Company</t>
        </is>
      </c>
      <c r="C358" s="4" t="inlineStr">
        <is>
          <t>United States</t>
        </is>
      </c>
      <c r="D358" s="4" t="inlineStr">
        <is>
          <t>US</t>
        </is>
      </c>
      <c r="E358" s="4" t="inlineStr">
        <is>
          <t>Industria</t>
        </is>
      </c>
      <c r="F358" s="4" t="inlineStr">
        <is>
          <t>Industrial Distribution</t>
        </is>
      </c>
      <c r="G358" s="4" t="inlineStr">
        <is>
          <t>NMS</t>
        </is>
      </c>
      <c r="H358" s="4" t="inlineStr">
        <is>
          <t>USD</t>
        </is>
      </c>
      <c r="I358" s="5" t="n">
        <v>59669.876736</v>
      </c>
      <c r="J358" s="6">
        <f>INDEX(FX!$B:$B,MATCH(H358,FX!$A:$A,0))</f>
        <v/>
      </c>
      <c r="K358" s="5">
        <f>I358*J358</f>
        <v/>
      </c>
      <c r="L358" s="4">
        <f>IF(U358&lt;&gt;"",U358,IF(K358&gt;=Umbrales!$B$2,"Legendaria",IF(K358&gt;=Umbrales!$B$3,"Épica",IF(K358&gt;=Umbrales!$B$4,"Rara",IF(K358&gt;=Umbrales!$B$5,"Poco común","Común")))))</f>
        <v/>
      </c>
      <c r="M358" s="5" t="n">
        <v>8749.400063999999</v>
      </c>
      <c r="N358" s="5" t="n">
        <v>1352.099968</v>
      </c>
      <c r="O358" s="5">
        <f>IF(M358="","",M358*J358)</f>
        <v/>
      </c>
      <c r="P358" s="5">
        <f>IF(N358="","",N358*J358)</f>
        <v/>
      </c>
      <c r="Q358" s="7" t="n">
        <v>0.0187</v>
      </c>
      <c r="R358" s="8" t="n">
        <v>44.0678</v>
      </c>
      <c r="S358" s="4" t="inlineStr">
        <is>
          <t>NASDAQ100, SP500</t>
        </is>
      </c>
      <c r="T358" s="9" t="inlineStr">
        <is>
          <t>SI</t>
        </is>
      </c>
      <c r="U358" s="9" t="inlineStr"/>
      <c r="V358" s="10">
        <f>Umbrales!$B$9*(K358/1000)^Umbrales!$B$10</f>
        <v/>
      </c>
    </row>
    <row r="359">
      <c r="A359" s="4" t="inlineStr">
        <is>
          <t>CVE.TO</t>
        </is>
      </c>
      <c r="B359" s="4" t="inlineStr">
        <is>
          <t>Cenovus Energy Inc.</t>
        </is>
      </c>
      <c r="C359" s="4" t="inlineStr">
        <is>
          <t>Canada</t>
        </is>
      </c>
      <c r="D359" s="4" t="inlineStr">
        <is>
          <t>CA</t>
        </is>
      </c>
      <c r="E359" s="4" t="inlineStr">
        <is>
          <t>Energía</t>
        </is>
      </c>
      <c r="F359" s="4" t="inlineStr">
        <is>
          <t>Oil &amp; Gas Integrated</t>
        </is>
      </c>
      <c r="G359" s="4" t="inlineStr">
        <is>
          <t>TOR</t>
        </is>
      </c>
      <c r="H359" s="4" t="inlineStr">
        <is>
          <t>CAD</t>
        </is>
      </c>
      <c r="I359" s="5" t="n">
        <v>84503.30624000001</v>
      </c>
      <c r="J359" s="6">
        <f>INDEX(FX!$B:$B,MATCH(H359,FX!$A:$A,0))</f>
        <v/>
      </c>
      <c r="K359" s="5">
        <f>I359*J359</f>
        <v/>
      </c>
      <c r="L359" s="4">
        <f>IF(U359&lt;&gt;"",U359,IF(K359&gt;=Umbrales!$B$2,"Legendaria",IF(K359&gt;=Umbrales!$B$3,"Épica",IF(K359&gt;=Umbrales!$B$4,"Rara",IF(K359&gt;=Umbrales!$B$5,"Poco común","Común")))))</f>
        <v/>
      </c>
      <c r="M359" s="5" t="n">
        <v>53860.999168</v>
      </c>
      <c r="N359" s="5" t="n">
        <v>6654.000128</v>
      </c>
      <c r="O359" s="5">
        <f>IF(M359="","",M359*J359)</f>
        <v/>
      </c>
      <c r="P359" s="5">
        <f>IF(N359="","",N359*J359)</f>
        <v/>
      </c>
      <c r="Q359" s="7" t="n">
        <v>0.0189</v>
      </c>
      <c r="R359" s="8" t="n">
        <v>12.7988825</v>
      </c>
      <c r="S359" s="4" t="inlineStr">
        <is>
          <t>TSX60</t>
        </is>
      </c>
      <c r="T359" s="9" t="inlineStr">
        <is>
          <t>SI</t>
        </is>
      </c>
      <c r="U359" s="9" t="inlineStr"/>
      <c r="V359" s="10">
        <f>Umbrales!$B$9*(K359/1000)^Umbrales!$B$10</f>
        <v/>
      </c>
    </row>
    <row r="360">
      <c r="A360" s="4" t="inlineStr">
        <is>
          <t>3690.HK</t>
        </is>
      </c>
      <c r="B360" s="4" t="inlineStr">
        <is>
          <t>Meituan</t>
        </is>
      </c>
      <c r="C360" s="4" t="inlineStr">
        <is>
          <t>China</t>
        </is>
      </c>
      <c r="D360" s="4" t="inlineStr">
        <is>
          <t>CN</t>
        </is>
      </c>
      <c r="E360" s="4" t="inlineStr">
        <is>
          <t>Consumo cíclico</t>
        </is>
      </c>
      <c r="F360" s="4" t="inlineStr">
        <is>
          <t>Internet Retail</t>
        </is>
      </c>
      <c r="G360" s="4" t="inlineStr">
        <is>
          <t>HKG</t>
        </is>
      </c>
      <c r="H360" s="4" t="inlineStr">
        <is>
          <t>HKD</t>
        </is>
      </c>
      <c r="I360" s="5" t="n">
        <v>465665.39264</v>
      </c>
      <c r="J360" s="6">
        <f>INDEX(FX!$B:$B,MATCH(H360,FX!$A:$A,0))</f>
        <v/>
      </c>
      <c r="K360" s="5">
        <f>I360*J360</f>
        <v/>
      </c>
      <c r="L360" s="4">
        <f>IF(U360&lt;&gt;"",U360,IF(K360&gt;=Umbrales!$B$2,"Legendaria",IF(K360&gt;=Umbrales!$B$3,"Épica",IF(K360&gt;=Umbrales!$B$4,"Rara",IF(K360&gt;=Umbrales!$B$5,"Poco común","Común")))))</f>
        <v/>
      </c>
      <c r="M360" s="5" t="n">
        <v>382840.34048</v>
      </c>
      <c r="N360" s="5" t="n">
        <v>-38449.147904</v>
      </c>
      <c r="O360" s="5">
        <f>IF(M360="","",M360*J360)</f>
        <v/>
      </c>
      <c r="P360" s="5">
        <f>IF(N360="","",N360*J360)</f>
        <v/>
      </c>
      <c r="Q360" s="7" t="n">
        <v>0</v>
      </c>
      <c r="R360" s="8" t="n"/>
      <c r="S360" s="4" t="inlineStr">
        <is>
          <t>ASIA_TOP, HANGSENG</t>
        </is>
      </c>
      <c r="T360" s="9" t="inlineStr">
        <is>
          <t>SI</t>
        </is>
      </c>
      <c r="U360" s="9" t="inlineStr"/>
      <c r="V360" s="10">
        <f>Umbrales!$B$9*(K360/1000)^Umbrales!$B$10</f>
        <v/>
      </c>
    </row>
    <row r="361">
      <c r="A361" s="4" t="inlineStr">
        <is>
          <t>9633.HK</t>
        </is>
      </c>
      <c r="B361" s="4" t="inlineStr">
        <is>
          <t>Nongfu Spring Co., Ltd.</t>
        </is>
      </c>
      <c r="C361" s="4" t="inlineStr">
        <is>
          <t>China</t>
        </is>
      </c>
      <c r="D361" s="4" t="inlineStr">
        <is>
          <t>CN</t>
        </is>
      </c>
      <c r="E361" s="4" t="inlineStr">
        <is>
          <t>Consumo básico</t>
        </is>
      </c>
      <c r="F361" s="4" t="inlineStr">
        <is>
          <t>Beverages - Non-Alcoholic</t>
        </is>
      </c>
      <c r="G361" s="4" t="inlineStr">
        <is>
          <t>HKG</t>
        </is>
      </c>
      <c r="H361" s="4" t="inlineStr">
        <is>
          <t>HKD</t>
        </is>
      </c>
      <c r="I361" s="5" t="n">
        <v>465378.770944</v>
      </c>
      <c r="J361" s="6">
        <f>INDEX(FX!$B:$B,MATCH(H361,FX!$A:$A,0))</f>
        <v/>
      </c>
      <c r="K361" s="5">
        <f>I361*J361</f>
        <v/>
      </c>
      <c r="L361" s="4">
        <f>IF(U361&lt;&gt;"",U361,IF(K361&gt;=Umbrales!$B$2,"Legendaria",IF(K361&gt;=Umbrales!$B$3,"Épica",IF(K361&gt;=Umbrales!$B$4,"Rara",IF(K361&gt;=Umbrales!$B$5,"Poco común","Común")))))</f>
        <v/>
      </c>
      <c r="M361" s="5" t="n">
        <v>56648.810496</v>
      </c>
      <c r="N361" s="5" t="n">
        <v>17126.867968</v>
      </c>
      <c r="O361" s="5">
        <f>IF(M361="","",M361*J361)</f>
        <v/>
      </c>
      <c r="P361" s="5">
        <f>IF(N361="","",N361*J361)</f>
        <v/>
      </c>
      <c r="Q361" s="7" t="n">
        <v>0.0273</v>
      </c>
      <c r="R361" s="8" t="n">
        <v>24.341177</v>
      </c>
      <c r="S361" s="4" t="inlineStr">
        <is>
          <t>HANGSENG</t>
        </is>
      </c>
      <c r="T361" s="9" t="inlineStr">
        <is>
          <t>SI</t>
        </is>
      </c>
      <c r="U361" s="9" t="inlineStr"/>
      <c r="V361" s="10">
        <f>Umbrales!$B$9*(K361/1000)^Umbrales!$B$10</f>
        <v/>
      </c>
    </row>
    <row r="362">
      <c r="A362" s="4" t="inlineStr">
        <is>
          <t>AON</t>
        </is>
      </c>
      <c r="B362" s="4" t="inlineStr">
        <is>
          <t>Aon plc</t>
        </is>
      </c>
      <c r="C362" s="4" t="inlineStr">
        <is>
          <t>Ireland</t>
        </is>
      </c>
      <c r="D362" s="4" t="inlineStr">
        <is>
          <t>IE</t>
        </is>
      </c>
      <c r="E362" s="4" t="inlineStr">
        <is>
          <t>Finanzas</t>
        </is>
      </c>
      <c r="F362" s="4" t="inlineStr">
        <is>
          <t>Insurance Brokers</t>
        </is>
      </c>
      <c r="G362" s="4" t="inlineStr">
        <is>
          <t>NYQ</t>
        </is>
      </c>
      <c r="H362" s="4" t="inlineStr">
        <is>
          <t>USD</t>
        </is>
      </c>
      <c r="I362" s="5" t="n">
        <v>58408.742912</v>
      </c>
      <c r="J362" s="6">
        <f>INDEX(FX!$B:$B,MATCH(H362,FX!$A:$A,0))</f>
        <v/>
      </c>
      <c r="K362" s="5">
        <f>I362*J362</f>
        <v/>
      </c>
      <c r="L362" s="4">
        <f>IF(U362&lt;&gt;"",U362,IF(K362&gt;=Umbrales!$B$2,"Legendaria",IF(K362&gt;=Umbrales!$B$3,"Épica",IF(K362&gt;=Umbrales!$B$4,"Rara",IF(K362&gt;=Umbrales!$B$5,"Poco común","Común")))))</f>
        <v/>
      </c>
      <c r="M362" s="5" t="n">
        <v>17577.00096</v>
      </c>
      <c r="N362" s="5" t="n">
        <v>3913.999872</v>
      </c>
      <c r="O362" s="5">
        <f>IF(M362="","",M362*J362)</f>
        <v/>
      </c>
      <c r="P362" s="5">
        <f>IF(N362="","",N362*J362)</f>
        <v/>
      </c>
      <c r="Q362" s="7" t="n">
        <v>0.0119</v>
      </c>
      <c r="R362" s="8" t="n">
        <v>15.179163</v>
      </c>
      <c r="S362" s="4" t="inlineStr">
        <is>
          <t>SP500</t>
        </is>
      </c>
      <c r="T362" s="9" t="inlineStr">
        <is>
          <t>SI</t>
        </is>
      </c>
      <c r="U362" s="9" t="inlineStr"/>
      <c r="V362" s="10">
        <f>Umbrales!$B$9*(K362/1000)^Umbrales!$B$10</f>
        <v/>
      </c>
    </row>
    <row r="363">
      <c r="A363" s="4" t="inlineStr">
        <is>
          <t>CAH</t>
        </is>
      </c>
      <c r="B363" s="4" t="inlineStr">
        <is>
          <t>Cardinal Health, Inc.</t>
        </is>
      </c>
      <c r="C363" s="4" t="inlineStr">
        <is>
          <t>United States</t>
        </is>
      </c>
      <c r="D363" s="4" t="inlineStr">
        <is>
          <t>US</t>
        </is>
      </c>
      <c r="E363" s="4" t="inlineStr">
        <is>
          <t>Salud</t>
        </is>
      </c>
      <c r="F363" s="4" t="inlineStr">
        <is>
          <t>Medical Distribution</t>
        </is>
      </c>
      <c r="G363" s="4" t="inlineStr">
        <is>
          <t>NYQ</t>
        </is>
      </c>
      <c r="H363" s="4" t="inlineStr">
        <is>
          <t>USD</t>
        </is>
      </c>
      <c r="I363" s="5" t="n">
        <v>58080.8704</v>
      </c>
      <c r="J363" s="6">
        <f>INDEX(FX!$B:$B,MATCH(H363,FX!$A:$A,0))</f>
        <v/>
      </c>
      <c r="K363" s="5">
        <f>I363*J363</f>
        <v/>
      </c>
      <c r="L363" s="4">
        <f>IF(U363&lt;&gt;"",U363,IF(K363&gt;=Umbrales!$B$2,"Legendaria",IF(K363&gt;=Umbrales!$B$3,"Épica",IF(K363&gt;=Umbrales!$B$4,"Rara",IF(K363&gt;=Umbrales!$B$5,"Poco común","Común")))))</f>
        <v/>
      </c>
      <c r="M363" s="5" t="n">
        <v>254247.993344</v>
      </c>
      <c r="N363" s="5" t="n">
        <v>1714</v>
      </c>
      <c r="O363" s="5">
        <f>IF(M363="","",M363*J363)</f>
        <v/>
      </c>
      <c r="P363" s="5">
        <f>IF(N363="","",N363*J363)</f>
        <v/>
      </c>
      <c r="Q363" s="7" t="n">
        <v>0.0086</v>
      </c>
      <c r="R363" s="8" t="n">
        <v>34.788486</v>
      </c>
      <c r="S363" s="4" t="inlineStr">
        <is>
          <t>SP500</t>
        </is>
      </c>
      <c r="T363" s="9" t="inlineStr">
        <is>
          <t>SI</t>
        </is>
      </c>
      <c r="U363" s="9" t="inlineStr"/>
      <c r="V363" s="10">
        <f>Umbrales!$B$9*(K363/1000)^Umbrales!$B$10</f>
        <v/>
      </c>
    </row>
    <row r="364">
      <c r="A364" s="4" t="inlineStr">
        <is>
          <t>OKE</t>
        </is>
      </c>
      <c r="B364" s="4" t="inlineStr">
        <is>
          <t>ONEOK, Inc.</t>
        </is>
      </c>
      <c r="C364" s="4" t="inlineStr">
        <is>
          <t>United States</t>
        </is>
      </c>
      <c r="D364" s="4" t="inlineStr">
        <is>
          <t>US</t>
        </is>
      </c>
      <c r="E364" s="4" t="inlineStr">
        <is>
          <t>Energía</t>
        </is>
      </c>
      <c r="F364" s="4" t="inlineStr">
        <is>
          <t>Oil &amp; Gas Midstream</t>
        </is>
      </c>
      <c r="G364" s="4" t="inlineStr">
        <is>
          <t>NYQ</t>
        </is>
      </c>
      <c r="H364" s="4" t="inlineStr">
        <is>
          <t>USD</t>
        </is>
      </c>
      <c r="I364" s="5" t="n">
        <v>57395.605504</v>
      </c>
      <c r="J364" s="6">
        <f>INDEX(FX!$B:$B,MATCH(H364,FX!$A:$A,0))</f>
        <v/>
      </c>
      <c r="K364" s="5">
        <f>I364*J364</f>
        <v/>
      </c>
      <c r="L364" s="4">
        <f>IF(U364&lt;&gt;"",U364,IF(K364&gt;=Umbrales!$B$2,"Legendaria",IF(K364&gt;=Umbrales!$B$3,"Épica",IF(K364&gt;=Umbrales!$B$4,"Rara",IF(K364&gt;=Umbrales!$B$5,"Poco común","Común")))))</f>
        <v/>
      </c>
      <c r="M364" s="5" t="n">
        <v>39366.00064</v>
      </c>
      <c r="N364" s="5" t="n">
        <v>3656</v>
      </c>
      <c r="O364" s="5">
        <f>IF(M364="","",M364*J364)</f>
        <v/>
      </c>
      <c r="P364" s="5">
        <f>IF(N364="","",N364*J364)</f>
        <v/>
      </c>
      <c r="Q364" s="7" t="n">
        <v>0.0458</v>
      </c>
      <c r="R364" s="8" t="n">
        <v>15.7245245</v>
      </c>
      <c r="S364" s="4" t="inlineStr">
        <is>
          <t>SP500</t>
        </is>
      </c>
      <c r="T364" s="9" t="inlineStr">
        <is>
          <t>SI</t>
        </is>
      </c>
      <c r="U364" s="9" t="inlineStr"/>
      <c r="V364" s="10">
        <f>Umbrales!$B$9*(K364/1000)^Umbrales!$B$10</f>
        <v/>
      </c>
    </row>
    <row r="365">
      <c r="A365" s="4" t="inlineStr">
        <is>
          <t>NUE</t>
        </is>
      </c>
      <c r="B365" s="4" t="inlineStr">
        <is>
          <t>Nucor Corporation</t>
        </is>
      </c>
      <c r="C365" s="4" t="inlineStr">
        <is>
          <t>United States</t>
        </is>
      </c>
      <c r="D365" s="4" t="inlineStr">
        <is>
          <t>US</t>
        </is>
      </c>
      <c r="E365" s="4" t="inlineStr">
        <is>
          <t>Materiales</t>
        </is>
      </c>
      <c r="F365" s="4" t="inlineStr">
        <is>
          <t>Steel</t>
        </is>
      </c>
      <c r="G365" s="4" t="inlineStr">
        <is>
          <t>NYQ</t>
        </is>
      </c>
      <c r="H365" s="4" t="inlineStr">
        <is>
          <t>USD</t>
        </is>
      </c>
      <c r="I365" s="5" t="n">
        <v>57265.692672</v>
      </c>
      <c r="J365" s="6">
        <f>INDEX(FX!$B:$B,MATCH(H365,FX!$A:$A,0))</f>
        <v/>
      </c>
      <c r="K365" s="5">
        <f>I365*J365</f>
        <v/>
      </c>
      <c r="L365" s="4">
        <f>IF(U365&lt;&gt;"",U365,IF(K365&gt;=Umbrales!$B$2,"Legendaria",IF(K365&gt;=Umbrales!$B$3,"Épica",IF(K365&gt;=Umbrales!$B$4,"Rara",IF(K365&gt;=Umbrales!$B$5,"Poco común","Común")))))</f>
        <v/>
      </c>
      <c r="M365" s="5" t="n">
        <v>36101.001216</v>
      </c>
      <c r="N365" s="5" t="n">
        <v>2872.999936</v>
      </c>
      <c r="O365" s="5">
        <f>IF(M365="","",M365*J365)</f>
        <v/>
      </c>
      <c r="P365" s="5">
        <f>IF(N365="","",N365*J365)</f>
        <v/>
      </c>
      <c r="Q365" s="7" t="n">
        <v>0.008800000000000001</v>
      </c>
      <c r="R365" s="8" t="n">
        <v>20.12839</v>
      </c>
      <c r="S365" s="4" t="inlineStr">
        <is>
          <t>SP500</t>
        </is>
      </c>
      <c r="T365" s="9" t="inlineStr">
        <is>
          <t>SI</t>
        </is>
      </c>
      <c r="U365" s="9" t="inlineStr"/>
      <c r="V365" s="10">
        <f>Umbrales!$B$9*(K365/1000)^Umbrales!$B$10</f>
        <v/>
      </c>
    </row>
    <row r="366">
      <c r="A366" s="4" t="inlineStr">
        <is>
          <t>PCAR</t>
        </is>
      </c>
      <c r="B366" s="4" t="inlineStr">
        <is>
          <t>PACCAR Inc</t>
        </is>
      </c>
      <c r="C366" s="4" t="inlineStr">
        <is>
          <t>United States</t>
        </is>
      </c>
      <c r="D366" s="4" t="inlineStr">
        <is>
          <t>US</t>
        </is>
      </c>
      <c r="E366" s="4" t="inlineStr">
        <is>
          <t>Industria</t>
        </is>
      </c>
      <c r="F366" s="4" t="inlineStr">
        <is>
          <t>Farm &amp; Heavy Construction Machinery</t>
        </is>
      </c>
      <c r="G366" s="4" t="inlineStr">
        <is>
          <t>NMS</t>
        </is>
      </c>
      <c r="H366" s="4" t="inlineStr">
        <is>
          <t>USD</t>
        </is>
      </c>
      <c r="I366" s="5" t="n">
        <v>57142.177792</v>
      </c>
      <c r="J366" s="6">
        <f>INDEX(FX!$B:$B,MATCH(H366,FX!$A:$A,0))</f>
        <v/>
      </c>
      <c r="K366" s="5">
        <f>I366*J366</f>
        <v/>
      </c>
      <c r="L366" s="4">
        <f>IF(U366&lt;&gt;"",U366,IF(K366&gt;=Umbrales!$B$2,"Legendaria",IF(K366&gt;=Umbrales!$B$3,"Épica",IF(K366&gt;=Umbrales!$B$4,"Rara",IF(K366&gt;=Umbrales!$B$5,"Poco común","Común")))))</f>
        <v/>
      </c>
      <c r="M366" s="5" t="n">
        <v>27815.800832</v>
      </c>
      <c r="N366" s="5" t="n">
        <v>2504.199936</v>
      </c>
      <c r="O366" s="5">
        <f>IF(M366="","",M366*J366)</f>
        <v/>
      </c>
      <c r="P366" s="5">
        <f>IF(N366="","",N366*J366)</f>
        <v/>
      </c>
      <c r="Q366" s="7" t="n">
        <v>0.013</v>
      </c>
      <c r="R366" s="8" t="n">
        <v>22.711296</v>
      </c>
      <c r="S366" s="4" t="inlineStr">
        <is>
          <t>NASDAQ100, SP500</t>
        </is>
      </c>
      <c r="T366" s="9" t="inlineStr">
        <is>
          <t>SI</t>
        </is>
      </c>
      <c r="U366" s="9" t="inlineStr"/>
      <c r="V366" s="10">
        <f>Umbrales!$B$9*(K366/1000)^Umbrales!$B$10</f>
        <v/>
      </c>
    </row>
    <row r="367">
      <c r="A367" s="4" t="inlineStr">
        <is>
          <t>TFC</t>
        </is>
      </c>
      <c r="B367" s="4" t="inlineStr">
        <is>
          <t>Truist Financial Corporation</t>
        </is>
      </c>
      <c r="C367" s="4" t="inlineStr">
        <is>
          <t>United States</t>
        </is>
      </c>
      <c r="D367" s="4" t="inlineStr">
        <is>
          <t>US</t>
        </is>
      </c>
      <c r="E367" s="4" t="inlineStr">
        <is>
          <t>Finanzas</t>
        </is>
      </c>
      <c r="F367" s="4" t="inlineStr">
        <is>
          <t>Banks - Regional</t>
        </is>
      </c>
      <c r="G367" s="4" t="inlineStr">
        <is>
          <t>NYQ</t>
        </is>
      </c>
      <c r="H367" s="4" t="inlineStr">
        <is>
          <t>USD</t>
        </is>
      </c>
      <c r="I367" s="5" t="n">
        <v>57013.293056</v>
      </c>
      <c r="J367" s="6">
        <f>INDEX(FX!$B:$B,MATCH(H367,FX!$A:$A,0))</f>
        <v/>
      </c>
      <c r="K367" s="5">
        <f>I367*J367</f>
        <v/>
      </c>
      <c r="L367" s="4">
        <f>IF(U367&lt;&gt;"",U367,IF(K367&gt;=Umbrales!$B$2,"Legendaria",IF(K367&gt;=Umbrales!$B$3,"Épica",IF(K367&gt;=Umbrales!$B$4,"Rara",IF(K367&gt;=Umbrales!$B$5,"Poco común","Común")))))</f>
        <v/>
      </c>
      <c r="M367" s="5" t="n">
        <v>19028.000768</v>
      </c>
      <c r="N367" s="5" t="n">
        <v>5533.000192</v>
      </c>
      <c r="O367" s="5">
        <f>IF(M367="","",M367*J367)</f>
        <v/>
      </c>
      <c r="P367" s="5">
        <f>IF(N367="","",N367*J367)</f>
        <v/>
      </c>
      <c r="Q367" s="7" t="n">
        <v>0.0453</v>
      </c>
      <c r="R367" s="8" t="n">
        <v>10.80324</v>
      </c>
      <c r="S367" s="4" t="inlineStr">
        <is>
          <t>SP500</t>
        </is>
      </c>
      <c r="T367" s="9" t="inlineStr">
        <is>
          <t>SI</t>
        </is>
      </c>
      <c r="U367" s="9" t="inlineStr"/>
      <c r="V367" s="10">
        <f>Umbrales!$B$9*(K367/1000)^Umbrales!$B$10</f>
        <v/>
      </c>
    </row>
    <row r="368">
      <c r="A368" s="4" t="inlineStr">
        <is>
          <t>0981.HK</t>
        </is>
      </c>
      <c r="B368" s="4" t="inlineStr">
        <is>
          <t>Semiconductor Manufacturing International Corporation</t>
        </is>
      </c>
      <c r="C368" s="4" t="inlineStr">
        <is>
          <t>China</t>
        </is>
      </c>
      <c r="D368" s="4" t="inlineStr">
        <is>
          <t>CN</t>
        </is>
      </c>
      <c r="E368" s="4" t="inlineStr">
        <is>
          <t>Tecnología</t>
        </is>
      </c>
      <c r="F368" s="4" t="inlineStr">
        <is>
          <t>Semiconductors</t>
        </is>
      </c>
      <c r="G368" s="4" t="inlineStr">
        <is>
          <t>HKG</t>
        </is>
      </c>
      <c r="H368" s="4" t="inlineStr">
        <is>
          <t>HKD</t>
        </is>
      </c>
      <c r="I368" s="5" t="n">
        <v>446528.22528</v>
      </c>
      <c r="J368" s="6">
        <f>INDEX(FX!$B:$B,MATCH(H368,FX!$A:$A,0))</f>
        <v/>
      </c>
      <c r="K368" s="5">
        <f>I368*J368</f>
        <v/>
      </c>
      <c r="L368" s="4">
        <f>IF(U368&lt;&gt;"",U368,IF(K368&gt;=Umbrales!$B$2,"Legendaria",IF(K368&gt;=Umbrales!$B$3,"Épica",IF(K368&gt;=Umbrales!$B$4,"Rara",IF(K368&gt;=Umbrales!$B$5,"Poco común","Común")))))</f>
        <v/>
      </c>
      <c r="M368" s="5" t="n">
        <v>10381.606912</v>
      </c>
      <c r="N368" s="5" t="n">
        <v>1041.254016</v>
      </c>
      <c r="O368" s="5">
        <f>IF(M368="","",M368*J368)</f>
        <v/>
      </c>
      <c r="P368" s="5">
        <f>IF(N368="","",N368*J368)</f>
        <v/>
      </c>
      <c r="Q368" s="7" t="n">
        <v>0</v>
      </c>
      <c r="R368" s="8" t="n">
        <v>51.127453</v>
      </c>
      <c r="S368" s="4" t="inlineStr">
        <is>
          <t>HANGSENG</t>
        </is>
      </c>
      <c r="T368" s="9" t="inlineStr">
        <is>
          <t>SI</t>
        </is>
      </c>
      <c r="U368" s="9" t="inlineStr"/>
      <c r="V368" s="10">
        <f>Umbrales!$B$9*(K368/1000)^Umbrales!$B$10</f>
        <v/>
      </c>
    </row>
    <row r="369">
      <c r="A369" s="4" t="inlineStr">
        <is>
          <t>AME</t>
        </is>
      </c>
      <c r="B369" s="4" t="inlineStr">
        <is>
          <t>AMETEK, Inc.</t>
        </is>
      </c>
      <c r="C369" s="4" t="inlineStr">
        <is>
          <t>United States</t>
        </is>
      </c>
      <c r="D369" s="4" t="inlineStr">
        <is>
          <t>US</t>
        </is>
      </c>
      <c r="E369" s="4" t="inlineStr">
        <is>
          <t>Industria</t>
        </is>
      </c>
      <c r="F369" s="4" t="inlineStr">
        <is>
          <t>Specialty Industrial Machinery</t>
        </is>
      </c>
      <c r="G369" s="4" t="inlineStr">
        <is>
          <t>NYQ</t>
        </is>
      </c>
      <c r="H369" s="4" t="inlineStr">
        <is>
          <t>USD</t>
        </is>
      </c>
      <c r="I369" s="5" t="n">
        <v>56204.013568</v>
      </c>
      <c r="J369" s="6">
        <f>INDEX(FX!$B:$B,MATCH(H369,FX!$A:$A,0))</f>
        <v/>
      </c>
      <c r="K369" s="5">
        <f>I369*J369</f>
        <v/>
      </c>
      <c r="L369" s="4">
        <f>IF(U369&lt;&gt;"",U369,IF(K369&gt;=Umbrales!$B$2,"Legendaria",IF(K369&gt;=Umbrales!$B$3,"Épica",IF(K369&gt;=Umbrales!$B$4,"Rara",IF(K369&gt;=Umbrales!$B$5,"Poco común","Común")))))</f>
        <v/>
      </c>
      <c r="M369" s="5" t="n">
        <v>7863.9232</v>
      </c>
      <c r="N369" s="5" t="n">
        <v>1576.269952</v>
      </c>
      <c r="O369" s="5">
        <f>IF(M369="","",M369*J369)</f>
        <v/>
      </c>
      <c r="P369" s="5">
        <f>IF(N369="","",N369*J369)</f>
        <v/>
      </c>
      <c r="Q369" s="7" t="n">
        <v>0.0054</v>
      </c>
      <c r="R369" s="8" t="n">
        <v>35.850143</v>
      </c>
      <c r="S369" s="4" t="inlineStr">
        <is>
          <t>SP500</t>
        </is>
      </c>
      <c r="T369" s="9" t="inlineStr">
        <is>
          <t>SI</t>
        </is>
      </c>
      <c r="U369" s="9" t="inlineStr"/>
      <c r="V369" s="10">
        <f>Umbrales!$B$9*(K369/1000)^Umbrales!$B$10</f>
        <v/>
      </c>
    </row>
    <row r="370">
      <c r="A370" s="4" t="inlineStr">
        <is>
          <t>KEYS</t>
        </is>
      </c>
      <c r="B370" s="4" t="inlineStr">
        <is>
          <t>Keysight Technologies, Inc.</t>
        </is>
      </c>
      <c r="C370" s="4" t="inlineStr">
        <is>
          <t>United States</t>
        </is>
      </c>
      <c r="D370" s="4" t="inlineStr">
        <is>
          <t>US</t>
        </is>
      </c>
      <c r="E370" s="4" t="inlineStr">
        <is>
          <t>Tecnología</t>
        </is>
      </c>
      <c r="F370" s="4" t="inlineStr">
        <is>
          <t>Scientific &amp; Technical Instruments</t>
        </is>
      </c>
      <c r="G370" s="4" t="inlineStr">
        <is>
          <t>NYQ</t>
        </is>
      </c>
      <c r="H370" s="4" t="inlineStr">
        <is>
          <t>USD</t>
        </is>
      </c>
      <c r="I370" s="5" t="n">
        <v>56056.487936</v>
      </c>
      <c r="J370" s="6">
        <f>INDEX(FX!$B:$B,MATCH(H370,FX!$A:$A,0))</f>
        <v/>
      </c>
      <c r="K370" s="5">
        <f>I370*J370</f>
        <v/>
      </c>
      <c r="L370" s="4">
        <f>IF(U370&lt;&gt;"",U370,IF(K370&gt;=Umbrales!$B$2,"Legendaria",IF(K370&gt;=Umbrales!$B$3,"Épica",IF(K370&gt;=Umbrales!$B$4,"Rara",IF(K370&gt;=Umbrales!$B$5,"Poco común","Común")))))</f>
        <v/>
      </c>
      <c r="M370" s="5" t="n">
        <v>6582.000128</v>
      </c>
      <c r="N370" s="5" t="n">
        <v>1279.000064</v>
      </c>
      <c r="O370" s="5">
        <f>IF(M370="","",M370*J370)</f>
        <v/>
      </c>
      <c r="P370" s="5">
        <f>IF(N370="","",N370*J370)</f>
        <v/>
      </c>
      <c r="Q370" s="7" t="n">
        <v>0</v>
      </c>
      <c r="R370" s="8" t="n">
        <v>46.116245</v>
      </c>
      <c r="S370" s="4" t="inlineStr">
        <is>
          <t>SP500</t>
        </is>
      </c>
      <c r="T370" s="9" t="inlineStr">
        <is>
          <t>SI</t>
        </is>
      </c>
      <c r="U370" s="9" t="inlineStr"/>
      <c r="V370" s="10">
        <f>Umbrales!$B$9*(K370/1000)^Umbrales!$B$10</f>
        <v/>
      </c>
    </row>
    <row r="371">
      <c r="A371" s="4" t="inlineStr">
        <is>
          <t>AAL.L</t>
        </is>
      </c>
      <c r="B371" s="4" t="inlineStr">
        <is>
          <t>Anglo American plc</t>
        </is>
      </c>
      <c r="C371" s="4" t="inlineStr">
        <is>
          <t>United Kingdom</t>
        </is>
      </c>
      <c r="D371" s="4" t="inlineStr">
        <is>
          <t>GB</t>
        </is>
      </c>
      <c r="E371" s="4" t="inlineStr">
        <is>
          <t>Materiales</t>
        </is>
      </c>
      <c r="F371" s="4" t="inlineStr">
        <is>
          <t>Other Industrial Metals &amp; Mining</t>
        </is>
      </c>
      <c r="G371" s="4" t="inlineStr">
        <is>
          <t>LSE</t>
        </is>
      </c>
      <c r="H371" s="4" t="inlineStr">
        <is>
          <t>GBP</t>
        </is>
      </c>
      <c r="I371" s="5" t="n">
        <v>42013.044736</v>
      </c>
      <c r="J371" s="6">
        <f>INDEX(FX!$B:$B,MATCH(H371,FX!$A:$A,0))</f>
        <v/>
      </c>
      <c r="K371" s="5">
        <f>I371*J371</f>
        <v/>
      </c>
      <c r="L371" s="4">
        <f>IF(U371&lt;&gt;"",U371,IF(K371&gt;=Umbrales!$B$2,"Legendaria",IF(K371&gt;=Umbrales!$B$3,"Épica",IF(K371&gt;=Umbrales!$B$4,"Rara",IF(K371&gt;=Umbrales!$B$5,"Poco común","Común")))))</f>
        <v/>
      </c>
      <c r="M371" s="5" t="n">
        <v>19517.999104</v>
      </c>
      <c r="N371" s="5" t="n">
        <v>-1368.999936</v>
      </c>
      <c r="O371" s="5">
        <f>IF(M371="","",M371*J371)</f>
        <v/>
      </c>
      <c r="P371" s="5">
        <f>IF(N371="","",N371*J371)</f>
        <v/>
      </c>
      <c r="Q371" s="7" t="n">
        <v>0.006999999999999999</v>
      </c>
      <c r="R371" s="8" t="n"/>
      <c r="S371" s="4" t="inlineStr">
        <is>
          <t>FTSE100, UK_TOP</t>
        </is>
      </c>
      <c r="T371" s="9" t="inlineStr">
        <is>
          <t>SI</t>
        </is>
      </c>
      <c r="U371" s="9" t="inlineStr"/>
      <c r="V371" s="10">
        <f>Umbrales!$B$9*(K371/1000)^Umbrales!$B$10</f>
        <v/>
      </c>
    </row>
    <row r="372">
      <c r="A372" s="4" t="inlineStr">
        <is>
          <t>NXPI</t>
        </is>
      </c>
      <c r="B372" s="4" t="inlineStr">
        <is>
          <t>NXP Semiconductors N.V.</t>
        </is>
      </c>
      <c r="C372" s="4" t="inlineStr">
        <is>
          <t>Netherlands</t>
        </is>
      </c>
      <c r="D372" s="4" t="inlineStr">
        <is>
          <t>NL</t>
        </is>
      </c>
      <c r="E372" s="4" t="inlineStr">
        <is>
          <t>Tecnología</t>
        </is>
      </c>
      <c r="F372" s="4" t="inlineStr">
        <is>
          <t>Semiconductors</t>
        </is>
      </c>
      <c r="G372" s="4" t="inlineStr">
        <is>
          <t>NMS</t>
        </is>
      </c>
      <c r="H372" s="4" t="inlineStr">
        <is>
          <t>USD</t>
        </is>
      </c>
      <c r="I372" s="5" t="n">
        <v>55685.414912</v>
      </c>
      <c r="J372" s="6">
        <f>INDEX(FX!$B:$B,MATCH(H372,FX!$A:$A,0))</f>
        <v/>
      </c>
      <c r="K372" s="5">
        <f>I372*J372</f>
        <v/>
      </c>
      <c r="L372" s="4">
        <f>IF(U372&lt;&gt;"",U372,IF(K372&gt;=Umbrales!$B$2,"Legendaria",IF(K372&gt;=Umbrales!$B$3,"Épica",IF(K372&gt;=Umbrales!$B$4,"Rara",IF(K372&gt;=Umbrales!$B$5,"Poco común","Común")))))</f>
        <v/>
      </c>
      <c r="M372" s="5" t="n">
        <v>13185.000448</v>
      </c>
      <c r="N372" s="5" t="n">
        <v>2975.000064</v>
      </c>
      <c r="O372" s="5">
        <f>IF(M372="","",M372*J372)</f>
        <v/>
      </c>
      <c r="P372" s="5">
        <f>IF(N372="","",N372*J372)</f>
        <v/>
      </c>
      <c r="Q372" s="7" t="n">
        <v>0.0179</v>
      </c>
      <c r="R372" s="8" t="n">
        <v>19.32021</v>
      </c>
      <c r="S372" s="4" t="inlineStr">
        <is>
          <t>NASDAQ100, SP500</t>
        </is>
      </c>
      <c r="T372" s="9" t="inlineStr">
        <is>
          <t>SI</t>
        </is>
      </c>
      <c r="U372" s="9" t="inlineStr"/>
      <c r="V372" s="10">
        <f>Umbrales!$B$9*(K372/1000)^Umbrales!$B$10</f>
        <v/>
      </c>
    </row>
    <row r="373">
      <c r="A373" s="4" t="inlineStr">
        <is>
          <t>FANG</t>
        </is>
      </c>
      <c r="B373" s="4" t="inlineStr">
        <is>
          <t>Diamondback Energy, Inc.</t>
        </is>
      </c>
      <c r="C373" s="4" t="inlineStr">
        <is>
          <t>United States</t>
        </is>
      </c>
      <c r="D373" s="4" t="inlineStr">
        <is>
          <t>US</t>
        </is>
      </c>
      <c r="E373" s="4" t="inlineStr">
        <is>
          <t>Energía</t>
        </is>
      </c>
      <c r="F373" s="4" t="inlineStr">
        <is>
          <t>Oil &amp; Gas E&amp;P</t>
        </is>
      </c>
      <c r="G373" s="4" t="inlineStr">
        <is>
          <t>NMS</t>
        </is>
      </c>
      <c r="H373" s="4" t="inlineStr">
        <is>
          <t>USD</t>
        </is>
      </c>
      <c r="I373" s="5" t="n">
        <v>55562.190848</v>
      </c>
      <c r="J373" s="6">
        <f>INDEX(FX!$B:$B,MATCH(H373,FX!$A:$A,0))</f>
        <v/>
      </c>
      <c r="K373" s="5">
        <f>I373*J373</f>
        <v/>
      </c>
      <c r="L373" s="4">
        <f>IF(U373&lt;&gt;"",U373,IF(K373&gt;=Umbrales!$B$2,"Legendaria",IF(K373&gt;=Umbrales!$B$3,"Épica",IF(K373&gt;=Umbrales!$B$4,"Rara",IF(K373&gt;=Umbrales!$B$5,"Poco común","Común")))))</f>
        <v/>
      </c>
      <c r="M373" s="5" t="n">
        <v>16248.000512</v>
      </c>
      <c r="N373" s="5" t="n">
        <v>1458</v>
      </c>
      <c r="O373" s="5">
        <f>IF(M373="","",M373*J373)</f>
        <v/>
      </c>
      <c r="P373" s="5">
        <f>IF(N373="","",N373*J373)</f>
        <v/>
      </c>
      <c r="Q373" s="7" t="n">
        <v>0.0222</v>
      </c>
      <c r="R373" s="8" t="n">
        <v>37.620953</v>
      </c>
      <c r="S373" s="4" t="inlineStr">
        <is>
          <t>NASDAQ100, SP500</t>
        </is>
      </c>
      <c r="T373" s="9" t="inlineStr">
        <is>
          <t>SI</t>
        </is>
      </c>
      <c r="U373" s="9" t="inlineStr"/>
      <c r="V373" s="10">
        <f>Umbrales!$B$9*(K373/1000)^Umbrales!$B$10</f>
        <v/>
      </c>
    </row>
    <row r="374">
      <c r="A374" s="4" t="inlineStr">
        <is>
          <t>GRMN</t>
        </is>
      </c>
      <c r="B374" s="4" t="inlineStr">
        <is>
          <t>Garmin Ltd.</t>
        </is>
      </c>
      <c r="C374" s="4" t="inlineStr">
        <is>
          <t>Switzerland</t>
        </is>
      </c>
      <c r="D374" s="4" t="inlineStr">
        <is>
          <t>CH</t>
        </is>
      </c>
      <c r="E374" s="4" t="inlineStr">
        <is>
          <t>Tecnología</t>
        </is>
      </c>
      <c r="F374" s="4" t="inlineStr">
        <is>
          <t>Scientific &amp; Technical Instruments</t>
        </is>
      </c>
      <c r="G374" s="4" t="inlineStr">
        <is>
          <t>NYQ</t>
        </is>
      </c>
      <c r="H374" s="4" t="inlineStr">
        <is>
          <t>USD</t>
        </is>
      </c>
      <c r="I374" s="5" t="n">
        <v>55550.304256</v>
      </c>
      <c r="J374" s="6">
        <f>INDEX(FX!$B:$B,MATCH(H374,FX!$A:$A,0))</f>
        <v/>
      </c>
      <c r="K374" s="5">
        <f>I374*J374</f>
        <v/>
      </c>
      <c r="L374" s="4">
        <f>IF(U374&lt;&gt;"",U374,IF(K374&gt;=Umbrales!$B$2,"Legendaria",IF(K374&gt;=Umbrales!$B$3,"Épica",IF(K374&gt;=Umbrales!$B$4,"Rara",IF(K374&gt;=Umbrales!$B$5,"Poco común","Común")))))</f>
        <v/>
      </c>
      <c r="M374" s="5" t="n">
        <v>7671.437824</v>
      </c>
      <c r="N374" s="5" t="n">
        <v>1877.294976</v>
      </c>
      <c r="O374" s="5">
        <f>IF(M374="","",M374*J374)</f>
        <v/>
      </c>
      <c r="P374" s="5">
        <f>IF(N374="","",N374*J374)</f>
        <v/>
      </c>
      <c r="Q374" s="7" t="n">
        <v>0.0152</v>
      </c>
      <c r="R374" s="8" t="n">
        <v>29.361876</v>
      </c>
      <c r="S374" s="4" t="inlineStr">
        <is>
          <t>SP500</t>
        </is>
      </c>
      <c r="T374" s="9" t="inlineStr">
        <is>
          <t>SI</t>
        </is>
      </c>
      <c r="U374" s="9" t="inlineStr"/>
      <c r="V374" s="10">
        <f>Umbrales!$B$9*(K374/1000)^Umbrales!$B$10</f>
        <v/>
      </c>
    </row>
    <row r="375">
      <c r="A375" s="4" t="inlineStr">
        <is>
          <t>L.TO</t>
        </is>
      </c>
      <c r="B375" s="4" t="inlineStr">
        <is>
          <t>Loblaw Companies Limited</t>
        </is>
      </c>
      <c r="C375" s="4" t="inlineStr">
        <is>
          <t>Canada</t>
        </is>
      </c>
      <c r="D375" s="4" t="inlineStr">
        <is>
          <t>CA</t>
        </is>
      </c>
      <c r="E375" s="4" t="inlineStr">
        <is>
          <t>Consumo básico</t>
        </is>
      </c>
      <c r="F375" s="4" t="inlineStr">
        <is>
          <t>Grocery Stores</t>
        </is>
      </c>
      <c r="G375" s="4" t="inlineStr">
        <is>
          <t>TOR</t>
        </is>
      </c>
      <c r="H375" s="4" t="inlineStr">
        <is>
          <t>CAD</t>
        </is>
      </c>
      <c r="I375" s="5" t="n">
        <v>78580.883456</v>
      </c>
      <c r="J375" s="6">
        <f>INDEX(FX!$B:$B,MATCH(H375,FX!$A:$A,0))</f>
        <v/>
      </c>
      <c r="K375" s="5">
        <f>I375*J375</f>
        <v/>
      </c>
      <c r="L375" s="4">
        <f>IF(U375&lt;&gt;"",U375,IF(K375&gt;=Umbrales!$B$2,"Legendaria",IF(K375&gt;=Umbrales!$B$3,"Épica",IF(K375&gt;=Umbrales!$B$4,"Rara",IF(K375&gt;=Umbrales!$B$5,"Poco común","Común")))))</f>
        <v/>
      </c>
      <c r="M375" s="5" t="n">
        <v>65072.001024</v>
      </c>
      <c r="N375" s="5" t="n">
        <v>2664</v>
      </c>
      <c r="O375" s="5">
        <f>IF(M375="","",M375*J375)</f>
        <v/>
      </c>
      <c r="P375" s="5">
        <f>IF(N375="","",N375*J375)</f>
        <v/>
      </c>
      <c r="Q375" s="7" t="n">
        <v>0.0097</v>
      </c>
      <c r="R375" s="8" t="n">
        <v>29.824562</v>
      </c>
      <c r="S375" s="4" t="inlineStr">
        <is>
          <t>TSX60</t>
        </is>
      </c>
      <c r="T375" s="9" t="inlineStr">
        <is>
          <t>SI</t>
        </is>
      </c>
      <c r="U375" s="9" t="inlineStr"/>
      <c r="V375" s="10">
        <f>Umbrales!$B$9*(K375/1000)^Umbrales!$B$10</f>
        <v/>
      </c>
    </row>
    <row r="376">
      <c r="A376" s="4" t="inlineStr">
        <is>
          <t>D</t>
        </is>
      </c>
      <c r="B376" s="4" t="inlineStr">
        <is>
          <t>Dominion Energy, Inc.</t>
        </is>
      </c>
      <c r="C376" s="4" t="inlineStr">
        <is>
          <t>United States</t>
        </is>
      </c>
      <c r="D376" s="4" t="inlineStr">
        <is>
          <t>US</t>
        </is>
      </c>
      <c r="E376" s="4" t="inlineStr">
        <is>
          <t>Servicios públicos</t>
        </is>
      </c>
      <c r="F376" s="4" t="inlineStr">
        <is>
          <t>Utilities - Regulated Electric</t>
        </is>
      </c>
      <c r="G376" s="4" t="inlineStr">
        <is>
          <t>NYQ</t>
        </is>
      </c>
      <c r="H376" s="4" t="inlineStr">
        <is>
          <t>USD</t>
        </is>
      </c>
      <c r="I376" s="5" t="n">
        <v>55260.618752</v>
      </c>
      <c r="J376" s="6">
        <f>INDEX(FX!$B:$B,MATCH(H376,FX!$A:$A,0))</f>
        <v/>
      </c>
      <c r="K376" s="5">
        <f>I376*J376</f>
        <v/>
      </c>
      <c r="L376" s="4">
        <f>IF(U376&lt;&gt;"",U376,IF(K376&gt;=Umbrales!$B$2,"Legendaria",IF(K376&gt;=Umbrales!$B$3,"Épica",IF(K376&gt;=Umbrales!$B$4,"Rara",IF(K376&gt;=Umbrales!$B$5,"Poco común","Común")))))</f>
        <v/>
      </c>
      <c r="M376" s="5" t="n">
        <v>18119.000064</v>
      </c>
      <c r="N376" s="5" t="n">
        <v>2505.999872</v>
      </c>
      <c r="O376" s="5">
        <f>IF(M376="","",M376*J376)</f>
        <v/>
      </c>
      <c r="P376" s="5">
        <f>IF(N376="","",N376*J376)</f>
        <v/>
      </c>
      <c r="Q376" s="7" t="n">
        <v>0.0429</v>
      </c>
      <c r="R376" s="8" t="n">
        <v>21.740484</v>
      </c>
      <c r="S376" s="4" t="inlineStr">
        <is>
          <t>SP500</t>
        </is>
      </c>
      <c r="T376" s="9" t="inlineStr">
        <is>
          <t>SI</t>
        </is>
      </c>
      <c r="U376" s="9" t="inlineStr"/>
      <c r="V376" s="10">
        <f>Umbrales!$B$9*(K376/1000)^Umbrales!$B$10</f>
        <v/>
      </c>
    </row>
    <row r="377">
      <c r="A377" s="4" t="inlineStr">
        <is>
          <t>BKR</t>
        </is>
      </c>
      <c r="B377" s="4" t="inlineStr">
        <is>
          <t>Baker Hughes Company</t>
        </is>
      </c>
      <c r="C377" s="4" t="inlineStr">
        <is>
          <t>United States</t>
        </is>
      </c>
      <c r="D377" s="4" t="inlineStr">
        <is>
          <t>US</t>
        </is>
      </c>
      <c r="E377" s="4" t="inlineStr">
        <is>
          <t>Energía</t>
        </is>
      </c>
      <c r="F377" s="4" t="inlineStr">
        <is>
          <t>Oil &amp; Gas Equipment &amp; Services</t>
        </is>
      </c>
      <c r="G377" s="4" t="inlineStr">
        <is>
          <t>NMS</t>
        </is>
      </c>
      <c r="H377" s="4" t="inlineStr">
        <is>
          <t>USD</t>
        </is>
      </c>
      <c r="I377" s="5" t="n">
        <v>54964.359168</v>
      </c>
      <c r="J377" s="6">
        <f>INDEX(FX!$B:$B,MATCH(H377,FX!$A:$A,0))</f>
        <v/>
      </c>
      <c r="K377" s="5">
        <f>I377*J377</f>
        <v/>
      </c>
      <c r="L377" s="4">
        <f>IF(U377&lt;&gt;"",U377,IF(K377&gt;=Umbrales!$B$2,"Legendaria",IF(K377&gt;=Umbrales!$B$3,"Épica",IF(K377&gt;=Umbrales!$B$4,"Rara",IF(K377&gt;=Umbrales!$B$5,"Poco común","Común")))))</f>
        <v/>
      </c>
      <c r="M377" s="5" t="n">
        <v>27725.000704</v>
      </c>
      <c r="N377" s="5" t="n">
        <v>3096</v>
      </c>
      <c r="O377" s="5">
        <f>IF(M377="","",M377*J377)</f>
        <v/>
      </c>
      <c r="P377" s="5">
        <f>IF(N377="","",N377*J377)</f>
        <v/>
      </c>
      <c r="Q377" s="7" t="n">
        <v>0.0163</v>
      </c>
      <c r="R377" s="8" t="n">
        <v>17.80386</v>
      </c>
      <c r="S377" s="4" t="inlineStr">
        <is>
          <t>NASDAQ100, SP500</t>
        </is>
      </c>
      <c r="T377" s="9" t="inlineStr">
        <is>
          <t>SI</t>
        </is>
      </c>
      <c r="U377" s="9" t="inlineStr"/>
      <c r="V377" s="10">
        <f>Umbrales!$B$9*(K377/1000)^Umbrales!$B$10</f>
        <v/>
      </c>
    </row>
    <row r="378">
      <c r="A378" s="4" t="inlineStr">
        <is>
          <t>LSEG.L</t>
        </is>
      </c>
      <c r="B378" s="4" t="inlineStr">
        <is>
          <t>London Stock Exchange Group plc</t>
        </is>
      </c>
      <c r="C378" s="4" t="inlineStr">
        <is>
          <t>United Kingdom</t>
        </is>
      </c>
      <c r="D378" s="4" t="inlineStr">
        <is>
          <t>GB</t>
        </is>
      </c>
      <c r="E378" s="4" t="inlineStr">
        <is>
          <t>Finanzas</t>
        </is>
      </c>
      <c r="F378" s="4" t="inlineStr">
        <is>
          <t>Financial Data &amp; Stock Exchanges</t>
        </is>
      </c>
      <c r="G378" s="4" t="inlineStr">
        <is>
          <t>LSE</t>
        </is>
      </c>
      <c r="H378" s="4" t="inlineStr">
        <is>
          <t>GBP</t>
        </is>
      </c>
      <c r="I378" s="5" t="n">
        <v>41327.529984</v>
      </c>
      <c r="J378" s="6">
        <f>INDEX(FX!$B:$B,MATCH(H378,FX!$A:$A,0))</f>
        <v/>
      </c>
      <c r="K378" s="5">
        <f>I378*J378</f>
        <v/>
      </c>
      <c r="L378" s="4">
        <f>IF(U378&lt;&gt;"",U378,IF(K378&gt;=Umbrales!$B$2,"Legendaria",IF(K378&gt;=Umbrales!$B$3,"Épica",IF(K378&gt;=Umbrales!$B$4,"Rara",IF(K378&gt;=Umbrales!$B$5,"Poco común","Común")))))</f>
        <v/>
      </c>
      <c r="M378" s="5" t="n">
        <v>9658.999808</v>
      </c>
      <c r="N378" s="5" t="n">
        <v>1414</v>
      </c>
      <c r="O378" s="5">
        <f>IF(M378="","",M378*J378)</f>
        <v/>
      </c>
      <c r="P378" s="5">
        <f>IF(N378="","",N378*J378)</f>
        <v/>
      </c>
      <c r="Q378" s="7" t="n">
        <v>0.0189</v>
      </c>
      <c r="R378" s="8" t="n">
        <v>30.956835</v>
      </c>
      <c r="S378" s="4" t="inlineStr">
        <is>
          <t>FTSE100, UK_TOP</t>
        </is>
      </c>
      <c r="T378" s="9" t="inlineStr">
        <is>
          <t>SI</t>
        </is>
      </c>
      <c r="U378" s="9" t="inlineStr"/>
      <c r="V378" s="10">
        <f>Umbrales!$B$9*(K378/1000)^Umbrales!$B$10</f>
        <v/>
      </c>
    </row>
    <row r="379">
      <c r="A379" s="4" t="inlineStr">
        <is>
          <t>CRH</t>
        </is>
      </c>
      <c r="B379" s="4" t="inlineStr">
        <is>
          <t>CRH plc</t>
        </is>
      </c>
      <c r="C379" s="4" t="inlineStr">
        <is>
          <t>Ireland</t>
        </is>
      </c>
      <c r="D379" s="4" t="inlineStr">
        <is>
          <t>IE</t>
        </is>
      </c>
      <c r="E379" s="4" t="inlineStr">
        <is>
          <t>Materiales</t>
        </is>
      </c>
      <c r="F379" s="4" t="inlineStr">
        <is>
          <t>Building Materials</t>
        </is>
      </c>
      <c r="G379" s="4" t="inlineStr">
        <is>
          <t>NYQ</t>
        </is>
      </c>
      <c r="H379" s="4" t="inlineStr">
        <is>
          <t>USD</t>
        </is>
      </c>
      <c r="I379" s="5" t="n">
        <v>54566.629376</v>
      </c>
      <c r="J379" s="6">
        <f>INDEX(FX!$B:$B,MATCH(H379,FX!$A:$A,0))</f>
        <v/>
      </c>
      <c r="K379" s="5">
        <f>I379*J379</f>
        <v/>
      </c>
      <c r="L379" s="4">
        <f>IF(U379&lt;&gt;"",U379,IF(K379&gt;=Umbrales!$B$2,"Legendaria",IF(K379&gt;=Umbrales!$B$3,"Épica",IF(K379&gt;=Umbrales!$B$4,"Rara",IF(K379&gt;=Umbrales!$B$5,"Poco común","Común")))))</f>
        <v/>
      </c>
      <c r="M379" s="5" t="n">
        <v>38632.001536</v>
      </c>
      <c r="N379" s="5" t="n">
        <v>3814.000128</v>
      </c>
      <c r="O379" s="5">
        <f>IF(M379="","",M379*J379)</f>
        <v/>
      </c>
      <c r="P379" s="5">
        <f>IF(N379="","",N379*J379)</f>
        <v/>
      </c>
      <c r="Q379" s="7" t="n">
        <v>0.0195</v>
      </c>
      <c r="R379" s="8" t="n">
        <v>14.672628</v>
      </c>
      <c r="S379" s="4" t="inlineStr">
        <is>
          <t>SP500</t>
        </is>
      </c>
      <c r="T379" s="9" t="inlineStr">
        <is>
          <t>SI</t>
        </is>
      </c>
      <c r="U379" s="9" t="inlineStr"/>
      <c r="V379" s="10">
        <f>Umbrales!$B$9*(K379/1000)^Umbrales!$B$10</f>
        <v/>
      </c>
    </row>
    <row r="380">
      <c r="A380" s="4" t="inlineStr">
        <is>
          <t>EBAY</t>
        </is>
      </c>
      <c r="B380" s="4" t="inlineStr">
        <is>
          <t>eBay Inc.</t>
        </is>
      </c>
      <c r="C380" s="4" t="inlineStr">
        <is>
          <t>United States</t>
        </is>
      </c>
      <c r="D380" s="4" t="inlineStr">
        <is>
          <t>US</t>
        </is>
      </c>
      <c r="E380" s="4" t="inlineStr">
        <is>
          <t>Consumo cíclico</t>
        </is>
      </c>
      <c r="F380" s="4" t="inlineStr">
        <is>
          <t>Internet Retail</t>
        </is>
      </c>
      <c r="G380" s="4" t="inlineStr">
        <is>
          <t>NMS</t>
        </is>
      </c>
      <c r="H380" s="4" t="inlineStr">
        <is>
          <t>USD</t>
        </is>
      </c>
      <c r="I380" s="5" t="n">
        <v>54370.0992</v>
      </c>
      <c r="J380" s="6">
        <f>INDEX(FX!$B:$B,MATCH(H380,FX!$A:$A,0))</f>
        <v/>
      </c>
      <c r="K380" s="5">
        <f>I380*J380</f>
        <v/>
      </c>
      <c r="L380" s="4">
        <f>IF(U380&lt;&gt;"",U380,IF(K380&gt;=Umbrales!$B$2,"Legendaria",IF(K380&gt;=Umbrales!$B$3,"Épica",IF(K380&gt;=Umbrales!$B$4,"Rara",IF(K380&gt;=Umbrales!$B$5,"Poco común","Común")))))</f>
        <v/>
      </c>
      <c r="M380" s="5" t="n">
        <v>12007.999488</v>
      </c>
      <c r="N380" s="5" t="n">
        <v>2193.999872</v>
      </c>
      <c r="O380" s="5">
        <f>IF(M380="","",M380*J380)</f>
        <v/>
      </c>
      <c r="P380" s="5">
        <f>IF(N380="","",N380*J380)</f>
        <v/>
      </c>
      <c r="Q380" s="7" t="n">
        <v>0.0107</v>
      </c>
      <c r="R380" s="8" t="n">
        <v>25.614256</v>
      </c>
      <c r="S380" s="4" t="inlineStr">
        <is>
          <t>SP500</t>
        </is>
      </c>
      <c r="T380" s="9" t="inlineStr">
        <is>
          <t>SI</t>
        </is>
      </c>
      <c r="U380" s="9" t="inlineStr"/>
      <c r="V380" s="10">
        <f>Umbrales!$B$9*(K380/1000)^Umbrales!$B$10</f>
        <v/>
      </c>
    </row>
    <row r="381">
      <c r="A381" s="4" t="inlineStr">
        <is>
          <t>CPG.L</t>
        </is>
      </c>
      <c r="B381" s="4" t="inlineStr">
        <is>
          <t>Compass Group PLC</t>
        </is>
      </c>
      <c r="C381" s="4" t="inlineStr">
        <is>
          <t>United Kingdom</t>
        </is>
      </c>
      <c r="D381" s="4" t="inlineStr">
        <is>
          <t>GB</t>
        </is>
      </c>
      <c r="E381" s="4" t="inlineStr">
        <is>
          <t>Consumo cíclico</t>
        </is>
      </c>
      <c r="F381" s="4" t="inlineStr">
        <is>
          <t>Restaurants</t>
        </is>
      </c>
      <c r="G381" s="4" t="inlineStr">
        <is>
          <t>LSE</t>
        </is>
      </c>
      <c r="H381" s="4" t="inlineStr">
        <is>
          <t>USD</t>
        </is>
      </c>
      <c r="I381" s="5" t="n">
        <v>54240.227328</v>
      </c>
      <c r="J381" s="6">
        <f>INDEX(FX!$B:$B,MATCH(H381,FX!$A:$A,0))</f>
        <v/>
      </c>
      <c r="K381" s="5">
        <f>I381*J381</f>
        <v/>
      </c>
      <c r="L381" s="4">
        <f>IF(U381&lt;&gt;"",U381,IF(K381&gt;=Umbrales!$B$2,"Legendaria",IF(K381&gt;=Umbrales!$B$3,"Épica",IF(K381&gt;=Umbrales!$B$4,"Rara",IF(K381&gt;=Umbrales!$B$5,"Poco común","Común")))))</f>
        <v/>
      </c>
      <c r="M381" s="5" t="n">
        <v>48484.999168</v>
      </c>
      <c r="N381" s="5" t="n">
        <v>2018</v>
      </c>
      <c r="O381" s="5">
        <f>IF(M381="","",M381*J381)</f>
        <v/>
      </c>
      <c r="P381" s="5">
        <f>IF(N381="","",N381*J381)</f>
        <v/>
      </c>
      <c r="Q381" s="7" t="n">
        <v>0.0221</v>
      </c>
      <c r="R381" s="8" t="n">
        <v>26.80672</v>
      </c>
      <c r="S381" s="4" t="inlineStr">
        <is>
          <t>FTSE100, UK_TOP</t>
        </is>
      </c>
      <c r="T381" s="9" t="inlineStr">
        <is>
          <t>SI</t>
        </is>
      </c>
      <c r="U381" s="9" t="inlineStr"/>
      <c r="V381" s="10">
        <f>Umbrales!$B$9*(K381/1000)^Umbrales!$B$10</f>
        <v/>
      </c>
    </row>
    <row r="382">
      <c r="A382" s="4" t="inlineStr">
        <is>
          <t>DVN</t>
        </is>
      </c>
      <c r="B382" s="4" t="inlineStr">
        <is>
          <t>Devon Energy Corporation</t>
        </is>
      </c>
      <c r="C382" s="4" t="inlineStr">
        <is>
          <t>United States</t>
        </is>
      </c>
      <c r="D382" s="4" t="inlineStr">
        <is>
          <t>US</t>
        </is>
      </c>
      <c r="E382" s="4" t="inlineStr">
        <is>
          <t>Energía</t>
        </is>
      </c>
      <c r="F382" s="4" t="inlineStr">
        <is>
          <t>Oil &amp; Gas E&amp;P</t>
        </is>
      </c>
      <c r="G382" s="4" t="inlineStr">
        <is>
          <t>NYQ</t>
        </is>
      </c>
      <c r="H382" s="4" t="inlineStr">
        <is>
          <t>USD</t>
        </is>
      </c>
      <c r="I382" s="5" t="n">
        <v>54070.49728</v>
      </c>
      <c r="J382" s="6">
        <f>INDEX(FX!$B:$B,MATCH(H382,FX!$A:$A,0))</f>
        <v/>
      </c>
      <c r="K382" s="5">
        <f>I382*J382</f>
        <v/>
      </c>
      <c r="L382" s="4">
        <f>IF(U382&lt;&gt;"",U382,IF(K382&gt;=Umbrales!$B$2,"Legendaria",IF(K382&gt;=Umbrales!$B$3,"Épica",IF(K382&gt;=Umbrales!$B$4,"Rara",IF(K382&gt;=Umbrales!$B$5,"Poco común","Común")))))</f>
        <v/>
      </c>
      <c r="M382" s="5" t="n">
        <v>18780.99968</v>
      </c>
      <c r="N382" s="5" t="n">
        <v>3280</v>
      </c>
      <c r="O382" s="5">
        <f>IF(M382="","",M382*J382)</f>
        <v/>
      </c>
      <c r="P382" s="5">
        <f>IF(N382="","",N382*J382)</f>
        <v/>
      </c>
      <c r="Q382" s="7" t="n">
        <v>0.0255</v>
      </c>
      <c r="R382" s="8" t="n">
        <v>10.779605</v>
      </c>
      <c r="S382" s="4" t="inlineStr">
        <is>
          <t>SP500</t>
        </is>
      </c>
      <c r="T382" s="9" t="inlineStr">
        <is>
          <t>SI</t>
        </is>
      </c>
      <c r="U382" s="9" t="inlineStr"/>
      <c r="V382" s="10">
        <f>Umbrales!$B$9*(K382/1000)^Umbrales!$B$10</f>
        <v/>
      </c>
    </row>
    <row r="383">
      <c r="A383" s="4" t="inlineStr">
        <is>
          <t>PSA</t>
        </is>
      </c>
      <c r="B383" s="4" t="inlineStr">
        <is>
          <t>Public Storage</t>
        </is>
      </c>
      <c r="C383" s="4" t="inlineStr">
        <is>
          <t>United States</t>
        </is>
      </c>
      <c r="D383" s="4" t="inlineStr">
        <is>
          <t>US</t>
        </is>
      </c>
      <c r="E383" s="4" t="inlineStr">
        <is>
          <t>Inmobiliario</t>
        </is>
      </c>
      <c r="F383" s="4" t="inlineStr">
        <is>
          <t>REIT - Industrial</t>
        </is>
      </c>
      <c r="G383" s="4" t="inlineStr">
        <is>
          <t>NYQ</t>
        </is>
      </c>
      <c r="H383" s="4" t="inlineStr">
        <is>
          <t>USD</t>
        </is>
      </c>
      <c r="I383" s="5" t="n">
        <v>53955.469312</v>
      </c>
      <c r="J383" s="6">
        <f>INDEX(FX!$B:$B,MATCH(H383,FX!$A:$A,0))</f>
        <v/>
      </c>
      <c r="K383" s="5">
        <f>I383*J383</f>
        <v/>
      </c>
      <c r="L383" s="4">
        <f>IF(U383&lt;&gt;"",U383,IF(K383&gt;=Umbrales!$B$2,"Legendaria",IF(K383&gt;=Umbrales!$B$3,"Épica",IF(K383&gt;=Umbrales!$B$4,"Rara",IF(K383&gt;=Umbrales!$B$5,"Poco común","Común")))))</f>
        <v/>
      </c>
      <c r="M383" s="5" t="n">
        <v>4910.444032</v>
      </c>
      <c r="N383" s="5" t="n">
        <v>1845.43296</v>
      </c>
      <c r="O383" s="5">
        <f>IF(M383="","",M383*J383)</f>
        <v/>
      </c>
      <c r="P383" s="5">
        <f>IF(N383="","",N383*J383)</f>
        <v/>
      </c>
      <c r="Q383" s="7" t="n">
        <v>0.0416</v>
      </c>
      <c r="R383" s="8" t="n">
        <v>27.553438</v>
      </c>
      <c r="S383" s="4" t="inlineStr">
        <is>
          <t>SP500</t>
        </is>
      </c>
      <c r="T383" s="9" t="inlineStr">
        <is>
          <t>SI</t>
        </is>
      </c>
      <c r="U383" s="9" t="inlineStr"/>
      <c r="V383" s="10">
        <f>Umbrales!$B$9*(K383/1000)^Umbrales!$B$10</f>
        <v/>
      </c>
    </row>
    <row r="384">
      <c r="A384" s="4" t="inlineStr">
        <is>
          <t>SRE</t>
        </is>
      </c>
      <c r="B384" s="4" t="inlineStr">
        <is>
          <t>Sempra</t>
        </is>
      </c>
      <c r="C384" s="4" t="inlineStr">
        <is>
          <t>United States</t>
        </is>
      </c>
      <c r="D384" s="4" t="inlineStr">
        <is>
          <t>US</t>
        </is>
      </c>
      <c r="E384" s="4" t="inlineStr">
        <is>
          <t>Servicios públicos</t>
        </is>
      </c>
      <c r="F384" s="4" t="inlineStr">
        <is>
          <t>Utilities - Diversified</t>
        </is>
      </c>
      <c r="G384" s="4" t="inlineStr">
        <is>
          <t>NYQ</t>
        </is>
      </c>
      <c r="H384" s="4" t="inlineStr">
        <is>
          <t>USD</t>
        </is>
      </c>
      <c r="I384" s="5" t="n">
        <v>53459.61984</v>
      </c>
      <c r="J384" s="6">
        <f>INDEX(FX!$B:$B,MATCH(H384,FX!$A:$A,0))</f>
        <v/>
      </c>
      <c r="K384" s="5">
        <f>I384*J384</f>
        <v/>
      </c>
      <c r="L384" s="4">
        <f>IF(U384&lt;&gt;"",U384,IF(K384&gt;=Umbrales!$B$2,"Legendaria",IF(K384&gt;=Umbrales!$B$3,"Épica",IF(K384&gt;=Umbrales!$B$4,"Rara",IF(K384&gt;=Umbrales!$B$5,"Poco común","Común")))))</f>
        <v/>
      </c>
      <c r="M384" s="5" t="n">
        <v>13552</v>
      </c>
      <c r="N384" s="5" t="n">
        <v>2262.000128</v>
      </c>
      <c r="O384" s="5">
        <f>IF(M384="","",M384*J384)</f>
        <v/>
      </c>
      <c r="P384" s="5">
        <f>IF(N384="","",N384*J384)</f>
        <v/>
      </c>
      <c r="Q384" s="7" t="n">
        <v>0.0319</v>
      </c>
      <c r="R384" s="8" t="n">
        <v>23.765987</v>
      </c>
      <c r="S384" s="4" t="inlineStr">
        <is>
          <t>SP500</t>
        </is>
      </c>
      <c r="T384" s="9" t="inlineStr">
        <is>
          <t>SI</t>
        </is>
      </c>
      <c r="U384" s="9" t="inlineStr"/>
      <c r="V384" s="10">
        <f>Umbrales!$B$9*(K384/1000)^Umbrales!$B$10</f>
        <v/>
      </c>
    </row>
    <row r="385">
      <c r="A385" s="4" t="inlineStr">
        <is>
          <t>SREN.SW</t>
        </is>
      </c>
      <c r="B385" s="4" t="inlineStr">
        <is>
          <t>Swiss Re AG</t>
        </is>
      </c>
      <c r="C385" s="4" t="inlineStr">
        <is>
          <t>Switzerland</t>
        </is>
      </c>
      <c r="D385" s="4" t="inlineStr">
        <is>
          <t>CH</t>
        </is>
      </c>
      <c r="E385" s="4" t="inlineStr">
        <is>
          <t>Finanzas</t>
        </is>
      </c>
      <c r="F385" s="4" t="inlineStr">
        <is>
          <t>Insurance - Reinsurance</t>
        </is>
      </c>
      <c r="G385" s="4" t="inlineStr">
        <is>
          <t>EBS</t>
        </is>
      </c>
      <c r="H385" s="4" t="inlineStr">
        <is>
          <t>CHF</t>
        </is>
      </c>
      <c r="I385" s="5" t="n">
        <v>44178.956288</v>
      </c>
      <c r="J385" s="6">
        <f>INDEX(FX!$B:$B,MATCH(H385,FX!$A:$A,0))</f>
        <v/>
      </c>
      <c r="K385" s="5">
        <f>I385*J385</f>
        <v/>
      </c>
      <c r="L385" s="4">
        <f>IF(U385&lt;&gt;"",U385,IF(K385&gt;=Umbrales!$B$2,"Legendaria",IF(K385&gt;=Umbrales!$B$3,"Épica",IF(K385&gt;=Umbrales!$B$4,"Rara",IF(K385&gt;=Umbrales!$B$5,"Poco común","Común")))))</f>
        <v/>
      </c>
      <c r="M385" s="5" t="n">
        <v>41846.001664</v>
      </c>
      <c r="N385" s="5" t="n">
        <v>4865.999872</v>
      </c>
      <c r="O385" s="5">
        <f>IF(M385="","",M385*J385)</f>
        <v/>
      </c>
      <c r="P385" s="5">
        <f>IF(N385="","",N385*J385)</f>
        <v/>
      </c>
      <c r="Q385" s="7" t="n">
        <v>0.0425</v>
      </c>
      <c r="R385" s="8" t="n">
        <v>11.496547</v>
      </c>
      <c r="S385" s="4" t="inlineStr">
        <is>
          <t>SMI</t>
        </is>
      </c>
      <c r="T385" s="9" t="inlineStr">
        <is>
          <t>SI</t>
        </is>
      </c>
      <c r="U385" s="9" t="inlineStr"/>
      <c r="V385" s="10">
        <f>Umbrales!$B$9*(K385/1000)^Umbrales!$B$10</f>
        <v/>
      </c>
    </row>
    <row r="386">
      <c r="A386" s="4" t="inlineStr">
        <is>
          <t>ACA.PA</t>
        </is>
      </c>
      <c r="B386" s="4" t="inlineStr">
        <is>
          <t>Crédit Agricole S.A.</t>
        </is>
      </c>
      <c r="C386" s="4" t="inlineStr">
        <is>
          <t>France</t>
        </is>
      </c>
      <c r="D386" s="4" t="inlineStr">
        <is>
          <t>FR</t>
        </is>
      </c>
      <c r="E386" s="4" t="inlineStr">
        <is>
          <t>Finanzas</t>
        </is>
      </c>
      <c r="F386" s="4" t="inlineStr">
        <is>
          <t>Banks - Regional</t>
        </is>
      </c>
      <c r="G386" s="4" t="inlineStr">
        <is>
          <t>PAR</t>
        </is>
      </c>
      <c r="H386" s="4" t="inlineStr">
        <is>
          <t>EUR</t>
        </is>
      </c>
      <c r="I386" s="5" t="n">
        <v>47502.11072</v>
      </c>
      <c r="J386" s="6">
        <f>INDEX(FX!$B:$B,MATCH(H386,FX!$A:$A,0))</f>
        <v/>
      </c>
      <c r="K386" s="5">
        <f>I386*J386</f>
        <v/>
      </c>
      <c r="L386" s="4">
        <f>IF(U386&lt;&gt;"",U386,IF(K386&gt;=Umbrales!$B$2,"Legendaria",IF(K386&gt;=Umbrales!$B$3,"Épica",IF(K386&gt;=Umbrales!$B$4,"Rara",IF(K386&gt;=Umbrales!$B$5,"Poco común","Común")))))</f>
        <v/>
      </c>
      <c r="M386" s="5" t="n">
        <v>26023.999488</v>
      </c>
      <c r="N386" s="5" t="n">
        <v>6122.999808</v>
      </c>
      <c r="O386" s="5">
        <f>IF(M386="","",M386*J386)</f>
        <v/>
      </c>
      <c r="P386" s="5">
        <f>IF(N386="","",N386*J386)</f>
        <v/>
      </c>
      <c r="Q386" s="7" t="n">
        <v>0.1068</v>
      </c>
      <c r="R386" s="8" t="n">
        <v>7.9897957</v>
      </c>
      <c r="S386" s="4" t="inlineStr">
        <is>
          <t>CAC40</t>
        </is>
      </c>
      <c r="T386" s="9" t="inlineStr">
        <is>
          <t>SI</t>
        </is>
      </c>
      <c r="U386" s="9" t="inlineStr"/>
      <c r="V386" s="10">
        <f>Umbrales!$B$9*(K386/1000)^Umbrales!$B$10</f>
        <v/>
      </c>
    </row>
    <row r="387">
      <c r="A387" s="4" t="inlineStr">
        <is>
          <t>TER</t>
        </is>
      </c>
      <c r="B387" s="4" t="inlineStr">
        <is>
          <t>Teradyne, Inc.</t>
        </is>
      </c>
      <c r="C387" s="4" t="inlineStr">
        <is>
          <t>United States</t>
        </is>
      </c>
      <c r="D387" s="4" t="inlineStr">
        <is>
          <t>US</t>
        </is>
      </c>
      <c r="E387" s="4" t="inlineStr">
        <is>
          <t>Tecnología</t>
        </is>
      </c>
      <c r="F387" s="4" t="inlineStr">
        <is>
          <t>Semiconductor Equipment &amp; Materials</t>
        </is>
      </c>
      <c r="G387" s="4" t="inlineStr">
        <is>
          <t>NMS</t>
        </is>
      </c>
      <c r="H387" s="4" t="inlineStr">
        <is>
          <t>USD</t>
        </is>
      </c>
      <c r="I387" s="5" t="n">
        <v>53127.716864</v>
      </c>
      <c r="J387" s="6">
        <f>INDEX(FX!$B:$B,MATCH(H387,FX!$A:$A,0))</f>
        <v/>
      </c>
      <c r="K387" s="5">
        <f>I387*J387</f>
        <v/>
      </c>
      <c r="L387" s="4">
        <f>IF(U387&lt;&gt;"",U387,IF(K387&gt;=Umbrales!$B$2,"Legendaria",IF(K387&gt;=Umbrales!$B$3,"Épica",IF(K387&gt;=Umbrales!$B$4,"Rara",IF(K387&gt;=Umbrales!$B$5,"Poco común","Común")))))</f>
        <v/>
      </c>
      <c r="M387" s="5" t="n">
        <v>4464.031232</v>
      </c>
      <c r="N387" s="5" t="n">
        <v>1150.220032</v>
      </c>
      <c r="O387" s="5">
        <f>IF(M387="","",M387*J387)</f>
        <v/>
      </c>
      <c r="P387" s="5">
        <f>IF(N387="","",N387*J387)</f>
        <v/>
      </c>
      <c r="Q387" s="7" t="n">
        <v>0.0014</v>
      </c>
      <c r="R387" s="8" t="n">
        <v>46.67857</v>
      </c>
      <c r="S387" s="4" t="inlineStr">
        <is>
          <t>SP500</t>
        </is>
      </c>
      <c r="T387" s="9" t="inlineStr">
        <is>
          <t>SI</t>
        </is>
      </c>
      <c r="U387" s="9" t="inlineStr"/>
      <c r="V387" s="10">
        <f>Umbrales!$B$9*(K387/1000)^Umbrales!$B$10</f>
        <v/>
      </c>
    </row>
    <row r="388">
      <c r="A388" s="4" t="inlineStr">
        <is>
          <t>ATD.TO</t>
        </is>
      </c>
      <c r="B388" s="4" t="inlineStr">
        <is>
          <t>Alimentation Couche-Tard Inc.</t>
        </is>
      </c>
      <c r="C388" s="4" t="inlineStr">
        <is>
          <t>Canada</t>
        </is>
      </c>
      <c r="D388" s="4" t="inlineStr">
        <is>
          <t>CA</t>
        </is>
      </c>
      <c r="E388" s="4" t="inlineStr">
        <is>
          <t>Consumo cíclico</t>
        </is>
      </c>
      <c r="F388" s="4" t="inlineStr">
        <is>
          <t>Specialty Retail</t>
        </is>
      </c>
      <c r="G388" s="4" t="inlineStr">
        <is>
          <t>TOR</t>
        </is>
      </c>
      <c r="H388" s="4" t="inlineStr">
        <is>
          <t>CAD</t>
        </is>
      </c>
      <c r="I388" s="5" t="n">
        <v>75355.5456</v>
      </c>
      <c r="J388" s="6">
        <f>INDEX(FX!$B:$B,MATCH(H388,FX!$A:$A,0))</f>
        <v/>
      </c>
      <c r="K388" s="5">
        <f>I388*J388</f>
        <v/>
      </c>
      <c r="L388" s="4">
        <f>IF(U388&lt;&gt;"",U388,IF(K388&gt;=Umbrales!$B$2,"Legendaria",IF(K388&gt;=Umbrales!$B$3,"Épica",IF(K388&gt;=Umbrales!$B$4,"Rara",IF(K388&gt;=Umbrales!$B$5,"Poco común","Común")))))</f>
        <v/>
      </c>
      <c r="M388" s="5" t="n">
        <v>80864.50176</v>
      </c>
      <c r="N388" s="5" t="n">
        <v>3189.700096</v>
      </c>
      <c r="O388" s="5">
        <f>IF(M388="","",M388*J388)</f>
        <v/>
      </c>
      <c r="P388" s="5">
        <f>IF(N388="","",N388*J388)</f>
        <v/>
      </c>
      <c r="Q388" s="7" t="n">
        <v>0.0109</v>
      </c>
      <c r="R388" s="8" t="n">
        <v>17.209642</v>
      </c>
      <c r="S388" s="4" t="inlineStr">
        <is>
          <t>TSX60</t>
        </is>
      </c>
      <c r="T388" s="9" t="inlineStr">
        <is>
          <t>SI</t>
        </is>
      </c>
      <c r="U388" s="9" t="inlineStr"/>
      <c r="V388" s="10">
        <f>Umbrales!$B$9*(K388/1000)^Umbrales!$B$10</f>
        <v/>
      </c>
    </row>
    <row r="389">
      <c r="A389" s="4" t="inlineStr">
        <is>
          <t>EA</t>
        </is>
      </c>
      <c r="B389" s="4" t="inlineStr">
        <is>
          <t>Electronic Arts Inc</t>
        </is>
      </c>
      <c r="C389" s="4" t="inlineStr">
        <is>
          <t>United States</t>
        </is>
      </c>
      <c r="D389" s="4" t="inlineStr">
        <is>
          <t>US</t>
        </is>
      </c>
      <c r="E389" s="4" t="inlineStr">
        <is>
          <t>Comunicación</t>
        </is>
      </c>
      <c r="F389" s="4" t="inlineStr">
        <is>
          <t>Electronic Gaming &amp; Multimedia</t>
        </is>
      </c>
      <c r="G389" s="4" t="inlineStr">
        <is>
          <t>NMS</t>
        </is>
      </c>
      <c r="H389" s="4" t="inlineStr">
        <is>
          <t>USD</t>
        </is>
      </c>
      <c r="I389" s="5" t="n">
        <v>52925.640704</v>
      </c>
      <c r="J389" s="6">
        <f>INDEX(FX!$B:$B,MATCH(H389,FX!$A:$A,0))</f>
        <v/>
      </c>
      <c r="K389" s="5">
        <f>I389*J389</f>
        <v/>
      </c>
      <c r="L389" s="4">
        <f>IF(U389&lt;&gt;"",U389,IF(K389&gt;=Umbrales!$B$2,"Legendaria",IF(K389&gt;=Umbrales!$B$3,"Épica",IF(K389&gt;=Umbrales!$B$4,"Rara",IF(K389&gt;=Umbrales!$B$5,"Poco común","Común")))))</f>
        <v/>
      </c>
      <c r="M389" s="5" t="n">
        <v>7846.000128</v>
      </c>
      <c r="N389" s="5" t="n">
        <v>1083.000064</v>
      </c>
      <c r="O389" s="5">
        <f>IF(M389="","",M389*J389)</f>
        <v/>
      </c>
      <c r="P389" s="5">
        <f>IF(N389="","",N389*J389)</f>
        <v/>
      </c>
      <c r="Q389" s="7" t="n">
        <v>3.6000002e-05</v>
      </c>
      <c r="R389" s="8" t="n">
        <v>59.743587</v>
      </c>
      <c r="S389" s="4" t="inlineStr">
        <is>
          <t>NASDAQ100</t>
        </is>
      </c>
      <c r="T389" s="9" t="inlineStr">
        <is>
          <t>SI</t>
        </is>
      </c>
      <c r="U389" s="9" t="inlineStr"/>
      <c r="V389" s="10">
        <f>Umbrales!$B$9*(K389/1000)^Umbrales!$B$10</f>
        <v/>
      </c>
    </row>
    <row r="390">
      <c r="A390" s="4" t="inlineStr">
        <is>
          <t>RHM.DE</t>
        </is>
      </c>
      <c r="B390" s="4" t="inlineStr">
        <is>
          <t>Rheinmetall AG</t>
        </is>
      </c>
      <c r="C390" s="4" t="inlineStr">
        <is>
          <t>Germany</t>
        </is>
      </c>
      <c r="D390" s="4" t="inlineStr">
        <is>
          <t>DE</t>
        </is>
      </c>
      <c r="E390" s="4" t="inlineStr">
        <is>
          <t>Industria</t>
        </is>
      </c>
      <c r="F390" s="4" t="inlineStr">
        <is>
          <t>Aerospace &amp; Defense</t>
        </is>
      </c>
      <c r="G390" s="4" t="inlineStr">
        <is>
          <t>GER</t>
        </is>
      </c>
      <c r="H390" s="4" t="inlineStr">
        <is>
          <t>EUR</t>
        </is>
      </c>
      <c r="I390" s="5" t="n">
        <v>47060.078592</v>
      </c>
      <c r="J390" s="6">
        <f>INDEX(FX!$B:$B,MATCH(H390,FX!$A:$A,0))</f>
        <v/>
      </c>
      <c r="K390" s="5">
        <f>I390*J390</f>
        <v/>
      </c>
      <c r="L390" s="4">
        <f>IF(U390&lt;&gt;"",U390,IF(K390&gt;=Umbrales!$B$2,"Legendaria",IF(K390&gt;=Umbrales!$B$3,"Épica",IF(K390&gt;=Umbrales!$B$4,"Rara",IF(K390&gt;=Umbrales!$B$5,"Poco común","Común")))))</f>
        <v/>
      </c>
      <c r="M390" s="5" t="n">
        <v>11413.000192</v>
      </c>
      <c r="N390" s="5" t="n">
        <v>1210</v>
      </c>
      <c r="O390" s="5">
        <f>IF(M390="","",M390*J390)</f>
        <v/>
      </c>
      <c r="P390" s="5">
        <f>IF(N390="","",N390*J390)</f>
        <v/>
      </c>
      <c r="Q390" s="7" t="n">
        <v>0.0124</v>
      </c>
      <c r="R390" s="8" t="n">
        <v>38.038475</v>
      </c>
      <c r="S390" s="4" t="inlineStr">
        <is>
          <t>DAX40</t>
        </is>
      </c>
      <c r="T390" s="9" t="inlineStr">
        <is>
          <t>SI</t>
        </is>
      </c>
      <c r="U390" s="9" t="inlineStr"/>
      <c r="V390" s="10">
        <f>Umbrales!$B$9*(K390/1000)^Umbrales!$B$10</f>
        <v/>
      </c>
    </row>
    <row r="391">
      <c r="A391" s="4" t="inlineStr">
        <is>
          <t>BDX</t>
        </is>
      </c>
      <c r="B391" s="4" t="inlineStr">
        <is>
          <t>Becton, Dickinson and Company</t>
        </is>
      </c>
      <c r="C391" s="4" t="inlineStr">
        <is>
          <t>United States</t>
        </is>
      </c>
      <c r="D391" s="4" t="inlineStr">
        <is>
          <t>US</t>
        </is>
      </c>
      <c r="E391" s="4" t="inlineStr">
        <is>
          <t>Salud</t>
        </is>
      </c>
      <c r="F391" s="4" t="inlineStr">
        <is>
          <t>Medical Instruments &amp; Supplies</t>
        </is>
      </c>
      <c r="G391" s="4" t="inlineStr">
        <is>
          <t>NYQ</t>
        </is>
      </c>
      <c r="H391" s="4" t="inlineStr">
        <is>
          <t>USD</t>
        </is>
      </c>
      <c r="I391" s="5" t="n">
        <v>52704.124928</v>
      </c>
      <c r="J391" s="6">
        <f>INDEX(FX!$B:$B,MATCH(H391,FX!$A:$A,0))</f>
        <v/>
      </c>
      <c r="K391" s="5">
        <f>I391*J391</f>
        <v/>
      </c>
      <c r="L391" s="4">
        <f>IF(U391&lt;&gt;"",U391,IF(K391&gt;=Umbrales!$B$2,"Legendaria",IF(K391&gt;=Umbrales!$B$3,"Épica",IF(K391&gt;=Umbrales!$B$4,"Rara",IF(K391&gt;=Umbrales!$B$5,"Poco común","Común")))))</f>
        <v/>
      </c>
      <c r="M391" s="5" t="n">
        <v>22484.000768</v>
      </c>
      <c r="N391" s="5" t="n">
        <v>1648</v>
      </c>
      <c r="O391" s="5">
        <f>IF(M391="","",M391*J391)</f>
        <v/>
      </c>
      <c r="P391" s="5">
        <f>IF(N391="","",N391*J391)</f>
        <v/>
      </c>
      <c r="Q391" s="7" t="n">
        <v>0.0224</v>
      </c>
      <c r="R391" s="8" t="n">
        <v>44.685913</v>
      </c>
      <c r="S391" s="4" t="inlineStr">
        <is>
          <t>SP500</t>
        </is>
      </c>
      <c r="T391" s="9" t="inlineStr">
        <is>
          <t>SI</t>
        </is>
      </c>
      <c r="U391" s="9" t="inlineStr"/>
      <c r="V391" s="10">
        <f>Umbrales!$B$9*(K391/1000)^Umbrales!$B$10</f>
        <v/>
      </c>
    </row>
    <row r="392">
      <c r="A392" s="4" t="inlineStr">
        <is>
          <t>LT.NS</t>
        </is>
      </c>
      <c r="B392" s="4" t="inlineStr">
        <is>
          <t>Larsen &amp; Toubro Limited</t>
        </is>
      </c>
      <c r="C392" s="4" t="inlineStr">
        <is>
          <t>India</t>
        </is>
      </c>
      <c r="D392" s="4" t="inlineStr">
        <is>
          <t>IN</t>
        </is>
      </c>
      <c r="E392" s="4" t="inlineStr">
        <is>
          <t>Industria</t>
        </is>
      </c>
      <c r="F392" s="4" t="inlineStr">
        <is>
          <t>Engineering &amp; Construction</t>
        </is>
      </c>
      <c r="G392" s="4" t="inlineStr">
        <is>
          <t>NSI</t>
        </is>
      </c>
      <c r="H392" s="4" t="inlineStr">
        <is>
          <t>INR</t>
        </is>
      </c>
      <c r="I392" s="5" t="n">
        <v>4997145.690112</v>
      </c>
      <c r="J392" s="6">
        <f>INDEX(FX!$B:$B,MATCH(H392,FX!$A:$A,0))</f>
        <v/>
      </c>
      <c r="K392" s="5">
        <f>I392*J392</f>
        <v/>
      </c>
      <c r="L392" s="4">
        <f>IF(U392&lt;&gt;"",U392,IF(K392&gt;=Umbrales!$B$2,"Legendaria",IF(K392&gt;=Umbrales!$B$3,"Épica",IF(K392&gt;=Umbrales!$B$4,"Rara",IF(K392&gt;=Umbrales!$B$5,"Poco común","Común")))))</f>
        <v/>
      </c>
      <c r="M392" s="5" t="n">
        <v>2969008.078848</v>
      </c>
      <c r="N392" s="5" t="n">
        <v>183120.904192</v>
      </c>
      <c r="O392" s="5">
        <f>IF(M392="","",M392*J392)</f>
        <v/>
      </c>
      <c r="P392" s="5">
        <f>IF(N392="","",N392*J392)</f>
        <v/>
      </c>
      <c r="Q392" s="7" t="n">
        <v>0.0104</v>
      </c>
      <c r="R392" s="8" t="n">
        <v>30.128576</v>
      </c>
      <c r="S392" s="4" t="inlineStr">
        <is>
          <t>NIFTY50</t>
        </is>
      </c>
      <c r="T392" s="9" t="inlineStr">
        <is>
          <t>SI</t>
        </is>
      </c>
      <c r="U392" s="9" t="inlineStr"/>
      <c r="V392" s="10">
        <f>Umbrales!$B$9*(K392/1000)^Umbrales!$B$10</f>
        <v/>
      </c>
    </row>
    <row r="393">
      <c r="A393" s="4" t="inlineStr">
        <is>
          <t>NKE</t>
        </is>
      </c>
      <c r="B393" s="4" t="inlineStr">
        <is>
          <t>NIKE, Inc.</t>
        </is>
      </c>
      <c r="C393" s="4" t="inlineStr">
        <is>
          <t>United States</t>
        </is>
      </c>
      <c r="D393" s="4" t="inlineStr">
        <is>
          <t>US</t>
        </is>
      </c>
      <c r="E393" s="4" t="inlineStr">
        <is>
          <t>Consumo cíclico</t>
        </is>
      </c>
      <c r="F393" s="4" t="inlineStr">
        <is>
          <t>Footwear &amp; Accessories</t>
        </is>
      </c>
      <c r="G393" s="4" t="inlineStr">
        <is>
          <t>NYQ</t>
        </is>
      </c>
      <c r="H393" s="4" t="inlineStr">
        <is>
          <t>USD</t>
        </is>
      </c>
      <c r="I393" s="5" t="n">
        <v>52431.40096</v>
      </c>
      <c r="J393" s="6">
        <f>INDEX(FX!$B:$B,MATCH(H393,FX!$A:$A,0))</f>
        <v/>
      </c>
      <c r="K393" s="5">
        <f>I393*J393</f>
        <v/>
      </c>
      <c r="L393" s="4">
        <f>IF(U393&lt;&gt;"",U393,IF(K393&gt;=Umbrales!$B$2,"Legendaria",IF(K393&gt;=Umbrales!$B$3,"Épica",IF(K393&gt;=Umbrales!$B$4,"Rara",IF(K393&gt;=Umbrales!$B$5,"Poco común","Común")))))</f>
        <v/>
      </c>
      <c r="M393" s="5" t="n">
        <v>45890.998272</v>
      </c>
      <c r="N393" s="5" t="n">
        <v>3092.999936</v>
      </c>
      <c r="O393" s="5">
        <f>IF(M393="","",M393*J393)</f>
        <v/>
      </c>
      <c r="P393" s="5">
        <f>IF(N393="","",N393*J393)</f>
        <v/>
      </c>
      <c r="Q393" s="7" t="n">
        <v>0.0464</v>
      </c>
      <c r="R393" s="8" t="n">
        <v>16.971153</v>
      </c>
      <c r="S393" s="4" t="inlineStr">
        <is>
          <t>DOW30, SP500</t>
        </is>
      </c>
      <c r="T393" s="9" t="inlineStr">
        <is>
          <t>SI</t>
        </is>
      </c>
      <c r="U393" s="9" t="inlineStr"/>
      <c r="V393" s="10">
        <f>Umbrales!$B$9*(K393/1000)^Umbrales!$B$10</f>
        <v/>
      </c>
    </row>
    <row r="394">
      <c r="A394" s="4" t="inlineStr">
        <is>
          <t>NOKIA.HE</t>
        </is>
      </c>
      <c r="B394" s="4" t="inlineStr">
        <is>
          <t>Nokia Oyj</t>
        </is>
      </c>
      <c r="C394" s="4" t="inlineStr">
        <is>
          <t>Finland</t>
        </is>
      </c>
      <c r="D394" s="4" t="inlineStr">
        <is>
          <t>FI</t>
        </is>
      </c>
      <c r="E394" s="4" t="inlineStr">
        <is>
          <t>Tecnología</t>
        </is>
      </c>
      <c r="F394" s="4" t="inlineStr">
        <is>
          <t>Communication Equipment</t>
        </is>
      </c>
      <c r="G394" s="4" t="inlineStr">
        <is>
          <t>HEL</t>
        </is>
      </c>
      <c r="H394" s="4" t="inlineStr">
        <is>
          <t>EUR</t>
        </is>
      </c>
      <c r="I394" s="5" t="n">
        <v>46715.088896</v>
      </c>
      <c r="J394" s="6">
        <f>INDEX(FX!$B:$B,MATCH(H394,FX!$A:$A,0))</f>
        <v/>
      </c>
      <c r="K394" s="5">
        <f>I394*J394</f>
        <v/>
      </c>
      <c r="L394" s="4">
        <f>IF(U394&lt;&gt;"",U394,IF(K394&gt;=Umbrales!$B$2,"Legendaria",IF(K394&gt;=Umbrales!$B$3,"Épica",IF(K394&gt;=Umbrales!$B$4,"Rara",IF(K394&gt;=Umbrales!$B$5,"Poco común","Común")))))</f>
        <v/>
      </c>
      <c r="M394" s="5" t="n">
        <v>20394.000384</v>
      </c>
      <c r="N394" s="5" t="n">
        <v>702</v>
      </c>
      <c r="O394" s="5">
        <f>IF(M394="","",M394*J394)</f>
        <v/>
      </c>
      <c r="P394" s="5">
        <f>IF(N394="","",N394*J394)</f>
        <v/>
      </c>
      <c r="Q394" s="7" t="n">
        <v>0.0161</v>
      </c>
      <c r="R394" s="8" t="n">
        <v>69.53333000000001</v>
      </c>
      <c r="S394" s="4" t="inlineStr">
        <is>
          <t>EUROSTOXX50</t>
        </is>
      </c>
      <c r="T394" s="9" t="inlineStr">
        <is>
          <t>SI</t>
        </is>
      </c>
      <c r="U394" s="9" t="inlineStr"/>
      <c r="V394" s="10">
        <f>Umbrales!$B$9*(K394/1000)^Umbrales!$B$10</f>
        <v/>
      </c>
    </row>
    <row r="395">
      <c r="A395" s="4" t="inlineStr">
        <is>
          <t>HO.PA</t>
        </is>
      </c>
      <c r="B395" s="4" t="inlineStr">
        <is>
          <t>Thales S.A.</t>
        </is>
      </c>
      <c r="C395" s="4" t="inlineStr">
        <is>
          <t>France</t>
        </is>
      </c>
      <c r="D395" s="4" t="inlineStr">
        <is>
          <t>FR</t>
        </is>
      </c>
      <c r="E395" s="4" t="inlineStr">
        <is>
          <t>Industria</t>
        </is>
      </c>
      <c r="F395" s="4" t="inlineStr">
        <is>
          <t>Aerospace &amp; Defense</t>
        </is>
      </c>
      <c r="G395" s="4" t="inlineStr">
        <is>
          <t>PAR</t>
        </is>
      </c>
      <c r="H395" s="4" t="inlineStr">
        <is>
          <t>EUR</t>
        </is>
      </c>
      <c r="I395" s="5" t="n">
        <v>46684.295168</v>
      </c>
      <c r="J395" s="6">
        <f>INDEX(FX!$B:$B,MATCH(H395,FX!$A:$A,0))</f>
        <v/>
      </c>
      <c r="K395" s="5">
        <f>I395*J395</f>
        <v/>
      </c>
      <c r="L395" s="4">
        <f>IF(U395&lt;&gt;"",U395,IF(K395&gt;=Umbrales!$B$2,"Legendaria",IF(K395&gt;=Umbrales!$B$3,"Épica",IF(K395&gt;=Umbrales!$B$4,"Rara",IF(K395&gt;=Umbrales!$B$5,"Poco común","Común")))))</f>
        <v/>
      </c>
      <c r="M395" s="5" t="n">
        <v>22820.499456</v>
      </c>
      <c r="N395" s="5" t="n">
        <v>1495.800064</v>
      </c>
      <c r="O395" s="5">
        <f>IF(M395="","",M395*J395)</f>
        <v/>
      </c>
      <c r="P395" s="5">
        <f>IF(N395="","",N395*J395)</f>
        <v/>
      </c>
      <c r="Q395" s="7" t="n">
        <v>0.0177</v>
      </c>
      <c r="R395" s="8" t="n">
        <v>30.717186</v>
      </c>
      <c r="S395" s="4" t="inlineStr">
        <is>
          <t>CAC40</t>
        </is>
      </c>
      <c r="T395" s="9" t="inlineStr">
        <is>
          <t>SI</t>
        </is>
      </c>
      <c r="U395" s="9" t="inlineStr"/>
      <c r="V395" s="10">
        <f>Umbrales!$B$9*(K395/1000)^Umbrales!$B$10</f>
        <v/>
      </c>
    </row>
    <row r="396">
      <c r="A396" s="4" t="inlineStr">
        <is>
          <t>MAERSK-B.CO</t>
        </is>
      </c>
      <c r="B396" s="4" t="inlineStr">
        <is>
          <t>A.P. Møller - Mærsk A/S</t>
        </is>
      </c>
      <c r="C396" s="4" t="inlineStr">
        <is>
          <t>Denmark</t>
        </is>
      </c>
      <c r="D396" s="4" t="inlineStr">
        <is>
          <t>DK</t>
        </is>
      </c>
      <c r="E396" s="4" t="inlineStr">
        <is>
          <t>Industria</t>
        </is>
      </c>
      <c r="F396" s="4" t="inlineStr">
        <is>
          <t>Marine Shipping</t>
        </is>
      </c>
      <c r="G396" s="4" t="inlineStr">
        <is>
          <t>CPH</t>
        </is>
      </c>
      <c r="H396" s="4" t="inlineStr">
        <is>
          <t>DKK</t>
        </is>
      </c>
      <c r="I396" s="5" t="n">
        <v>348411.035648</v>
      </c>
      <c r="J396" s="6">
        <f>INDEX(FX!$B:$B,MATCH(H396,FX!$A:$A,0))</f>
        <v/>
      </c>
      <c r="K396" s="5">
        <f>I396*J396</f>
        <v/>
      </c>
      <c r="L396" s="4">
        <f>IF(U396&lt;&gt;"",U396,IF(K396&gt;=Umbrales!$B$2,"Legendaria",IF(K396&gt;=Umbrales!$B$3,"Épica",IF(K396&gt;=Umbrales!$B$4,"Rara",IF(K396&gt;=Umbrales!$B$5,"Poco común","Común")))))</f>
        <v/>
      </c>
      <c r="M396" s="5" t="n">
        <v>56263.999488</v>
      </c>
      <c r="N396" s="5" t="n">
        <v>2292.999936</v>
      </c>
      <c r="O396" s="5">
        <f>IF(M396="","",M396*J396)</f>
        <v/>
      </c>
      <c r="P396" s="5">
        <f>IF(N396="","",N396*J396)</f>
        <v/>
      </c>
      <c r="Q396" s="7" t="n">
        <v>0.0197</v>
      </c>
      <c r="R396" s="8" t="n">
        <v>23.985733</v>
      </c>
      <c r="S396" s="4" t="inlineStr"/>
      <c r="T396" s="9" t="inlineStr">
        <is>
          <t>SI</t>
        </is>
      </c>
      <c r="U396" s="9" t="inlineStr"/>
      <c r="V396" s="10">
        <f>Umbrales!$B$9*(K396/1000)^Umbrales!$B$10</f>
        <v/>
      </c>
    </row>
    <row r="397">
      <c r="A397" s="4" t="inlineStr">
        <is>
          <t>O</t>
        </is>
      </c>
      <c r="B397" s="4" t="inlineStr">
        <is>
          <t>Realty Income Corporation</t>
        </is>
      </c>
      <c r="C397" s="4" t="inlineStr">
        <is>
          <t>United States</t>
        </is>
      </c>
      <c r="D397" s="4" t="inlineStr">
        <is>
          <t>US</t>
        </is>
      </c>
      <c r="E397" s="4" t="inlineStr">
        <is>
          <t>Inmobiliario</t>
        </is>
      </c>
      <c r="F397" s="4" t="inlineStr">
        <is>
          <t>REIT - Retail</t>
        </is>
      </c>
      <c r="G397" s="4" t="inlineStr">
        <is>
          <t>NYQ</t>
        </is>
      </c>
      <c r="H397" s="4" t="inlineStr">
        <is>
          <t>USD</t>
        </is>
      </c>
      <c r="I397" s="5" t="n">
        <v>52202.848256</v>
      </c>
      <c r="J397" s="6">
        <f>INDEX(FX!$B:$B,MATCH(H397,FX!$A:$A,0))</f>
        <v/>
      </c>
      <c r="K397" s="5">
        <f>I397*J397</f>
        <v/>
      </c>
      <c r="L397" s="4">
        <f>IF(U397&lt;&gt;"",U397,IF(K397&gt;=Umbrales!$B$2,"Legendaria",IF(K397&gt;=Umbrales!$B$3,"Épica",IF(K397&gt;=Umbrales!$B$4,"Rara",IF(K397&gt;=Umbrales!$B$5,"Poco común","Común")))))</f>
        <v/>
      </c>
      <c r="M397" s="5" t="n">
        <v>6065.508864</v>
      </c>
      <c r="N397" s="5" t="n">
        <v>1267.57696</v>
      </c>
      <c r="O397" s="5">
        <f>IF(M397="","",M397*J397)</f>
        <v/>
      </c>
      <c r="P397" s="5">
        <f>IF(N397="","",N397*J397)</f>
        <v/>
      </c>
      <c r="Q397" s="7" t="n">
        <v>0.0592</v>
      </c>
      <c r="R397" s="8" t="n">
        <v>39.97826</v>
      </c>
      <c r="S397" s="4" t="inlineStr">
        <is>
          <t>SP500</t>
        </is>
      </c>
      <c r="T397" s="9" t="inlineStr">
        <is>
          <t>SI</t>
        </is>
      </c>
      <c r="U397" s="9" t="inlineStr"/>
      <c r="V397" s="10">
        <f>Umbrales!$B$9*(K397/1000)^Umbrales!$B$10</f>
        <v/>
      </c>
    </row>
    <row r="398">
      <c r="A398" s="4" t="inlineStr">
        <is>
          <t>GLE.PA</t>
        </is>
      </c>
      <c r="B398" s="4" t="inlineStr">
        <is>
          <t>Société Générale Société anonyme</t>
        </is>
      </c>
      <c r="C398" s="4" t="inlineStr">
        <is>
          <t>France</t>
        </is>
      </c>
      <c r="D398" s="4" t="inlineStr">
        <is>
          <t>FR</t>
        </is>
      </c>
      <c r="E398" s="4" t="inlineStr">
        <is>
          <t>Finanzas</t>
        </is>
      </c>
      <c r="F398" s="4" t="inlineStr">
        <is>
          <t>Banks - Regional</t>
        </is>
      </c>
      <c r="G398" s="4" t="inlineStr">
        <is>
          <t>PAR</t>
        </is>
      </c>
      <c r="H398" s="4" t="inlineStr">
        <is>
          <t>EUR</t>
        </is>
      </c>
      <c r="I398" s="5" t="n">
        <v>46502.412288</v>
      </c>
      <c r="J398" s="6">
        <f>INDEX(FX!$B:$B,MATCH(H398,FX!$A:$A,0))</f>
        <v/>
      </c>
      <c r="K398" s="5">
        <f>I398*J398</f>
        <v/>
      </c>
      <c r="L398" s="4">
        <f>IF(U398&lt;&gt;"",U398,IF(K398&gt;=Umbrales!$B$2,"Legendaria",IF(K398&gt;=Umbrales!$B$3,"Épica",IF(K398&gt;=Umbrales!$B$4,"Rara",IF(K398&gt;=Umbrales!$B$5,"Poco común","Común")))))</f>
        <v/>
      </c>
      <c r="M398" s="5" t="n">
        <v>26055.999488</v>
      </c>
      <c r="N398" s="5" t="n">
        <v>5717.000192</v>
      </c>
      <c r="O398" s="5">
        <f>IF(M398="","",M398*J398)</f>
        <v/>
      </c>
      <c r="P398" s="5">
        <f>IF(N398="","",N398*J398)</f>
        <v/>
      </c>
      <c r="Q398" s="7" t="n">
        <v>0.027</v>
      </c>
      <c r="R398" s="8" t="n">
        <v>8.301423</v>
      </c>
      <c r="S398" s="4" t="inlineStr">
        <is>
          <t>CAC40</t>
        </is>
      </c>
      <c r="T398" s="9" t="inlineStr">
        <is>
          <t>SI</t>
        </is>
      </c>
      <c r="U398" s="9" t="inlineStr"/>
      <c r="V398" s="10">
        <f>Umbrales!$B$9*(K398/1000)^Umbrales!$B$10</f>
        <v/>
      </c>
    </row>
    <row r="399">
      <c r="A399" s="4" t="inlineStr">
        <is>
          <t>NDAQ</t>
        </is>
      </c>
      <c r="B399" s="4" t="inlineStr">
        <is>
          <t>Nasdaq, Inc.</t>
        </is>
      </c>
      <c r="C399" s="4" t="inlineStr">
        <is>
          <t>United States</t>
        </is>
      </c>
      <c r="D399" s="4" t="inlineStr">
        <is>
          <t>US</t>
        </is>
      </c>
      <c r="E399" s="4" t="inlineStr">
        <is>
          <t>Finanzas</t>
        </is>
      </c>
      <c r="F399" s="4" t="inlineStr">
        <is>
          <t>Financial Data &amp; Stock Exchanges</t>
        </is>
      </c>
      <c r="G399" s="4" t="inlineStr">
        <is>
          <t>NMS</t>
        </is>
      </c>
      <c r="H399" s="4" t="inlineStr">
        <is>
          <t>USD</t>
        </is>
      </c>
      <c r="I399" s="5" t="n">
        <v>52077.125632</v>
      </c>
      <c r="J399" s="6">
        <f>INDEX(FX!$B:$B,MATCH(H399,FX!$A:$A,0))</f>
        <v/>
      </c>
      <c r="K399" s="5">
        <f>I399*J399</f>
        <v/>
      </c>
      <c r="L399" s="4">
        <f>IF(U399&lt;&gt;"",U399,IF(K399&gt;=Umbrales!$B$2,"Legendaria",IF(K399&gt;=Umbrales!$B$3,"Épica",IF(K399&gt;=Umbrales!$B$4,"Rara",IF(K399&gt;=Umbrales!$B$5,"Poco común","Común")))))</f>
        <v/>
      </c>
      <c r="M399" s="5" t="n">
        <v>5614.000128</v>
      </c>
      <c r="N399" s="5" t="n">
        <v>1967.000064</v>
      </c>
      <c r="O399" s="5">
        <f>IF(M399="","",M399*J399)</f>
        <v/>
      </c>
      <c r="P399" s="5">
        <f>IF(N399="","",N399*J399)</f>
        <v/>
      </c>
      <c r="Q399" s="7" t="n">
        <v>0.0124</v>
      </c>
      <c r="R399" s="8" t="n">
        <v>27.645401</v>
      </c>
      <c r="S399" s="4" t="inlineStr">
        <is>
          <t>SP500</t>
        </is>
      </c>
      <c r="T399" s="9" t="inlineStr">
        <is>
          <t>SI</t>
        </is>
      </c>
      <c r="U399" s="9" t="inlineStr"/>
      <c r="V399" s="10">
        <f>Umbrales!$B$9*(K399/1000)^Umbrales!$B$10</f>
        <v/>
      </c>
    </row>
    <row r="400">
      <c r="A400" s="4" t="inlineStr">
        <is>
          <t>HUM</t>
        </is>
      </c>
      <c r="B400" s="4" t="inlineStr">
        <is>
          <t>Humana Inc.</t>
        </is>
      </c>
      <c r="C400" s="4" t="inlineStr">
        <is>
          <t>United States</t>
        </is>
      </c>
      <c r="D400" s="4" t="inlineStr">
        <is>
          <t>US</t>
        </is>
      </c>
      <c r="E400" s="4" t="inlineStr">
        <is>
          <t>Salud</t>
        </is>
      </c>
      <c r="F400" s="4" t="inlineStr">
        <is>
          <t>Healthcare Plans</t>
        </is>
      </c>
      <c r="G400" s="4" t="inlineStr">
        <is>
          <t>NYQ</t>
        </is>
      </c>
      <c r="H400" s="4" t="inlineStr">
        <is>
          <t>USD</t>
        </is>
      </c>
      <c r="I400" s="5" t="n">
        <v>51994.771456</v>
      </c>
      <c r="J400" s="6">
        <f>INDEX(FX!$B:$B,MATCH(H400,FX!$A:$A,0))</f>
        <v/>
      </c>
      <c r="K400" s="5">
        <f>I400*J400</f>
        <v/>
      </c>
      <c r="L400" s="4">
        <f>IF(U400&lt;&gt;"",U400,IF(K400&gt;=Umbrales!$B$2,"Legendaria",IF(K400&gt;=Umbrales!$B$3,"Épica",IF(K400&gt;=Umbrales!$B$4,"Rara",IF(K400&gt;=Umbrales!$B$5,"Poco común","Común")))))</f>
        <v/>
      </c>
      <c r="M400" s="5" t="n">
        <v>145679.007744</v>
      </c>
      <c r="N400" s="5" t="n">
        <v>1279.000064</v>
      </c>
      <c r="O400" s="5">
        <f>IF(M400="","",M400*J400)</f>
        <v/>
      </c>
      <c r="P400" s="5">
        <f>IF(N400="","",N400*J400)</f>
        <v/>
      </c>
      <c r="Q400" s="7" t="n">
        <v>0.008399999999999999</v>
      </c>
      <c r="R400" s="8" t="n">
        <v>40.926277</v>
      </c>
      <c r="S400" s="4" t="inlineStr">
        <is>
          <t>SP500</t>
        </is>
      </c>
      <c r="T400" s="9" t="inlineStr">
        <is>
          <t>SI</t>
        </is>
      </c>
      <c r="U400" s="9" t="inlineStr"/>
      <c r="V400" s="10">
        <f>Umbrales!$B$9*(K400/1000)^Umbrales!$B$10</f>
        <v/>
      </c>
    </row>
    <row r="401">
      <c r="A401" s="4" t="inlineStr">
        <is>
          <t>BAS.DE</t>
        </is>
      </c>
      <c r="B401" s="4" t="inlineStr">
        <is>
          <t>BASF SE</t>
        </is>
      </c>
      <c r="C401" s="4" t="inlineStr">
        <is>
          <t>Germany</t>
        </is>
      </c>
      <c r="D401" s="4" t="inlineStr">
        <is>
          <t>DE</t>
        </is>
      </c>
      <c r="E401" s="4" t="inlineStr">
        <is>
          <t>Materiales</t>
        </is>
      </c>
      <c r="F401" s="4" t="inlineStr">
        <is>
          <t>Chemicals</t>
        </is>
      </c>
      <c r="G401" s="4" t="inlineStr">
        <is>
          <t>GER</t>
        </is>
      </c>
      <c r="H401" s="4" t="inlineStr">
        <is>
          <t>EUR</t>
        </is>
      </c>
      <c r="I401" s="5" t="n">
        <v>46338.646016</v>
      </c>
      <c r="J401" s="6">
        <f>INDEX(FX!$B:$B,MATCH(H401,FX!$A:$A,0))</f>
        <v/>
      </c>
      <c r="K401" s="5">
        <f>I401*J401</f>
        <v/>
      </c>
      <c r="L401" s="4">
        <f>IF(U401&lt;&gt;"",U401,IF(K401&gt;=Umbrales!$B$2,"Legendaria",IF(K401&gt;=Umbrales!$B$3,"Épica",IF(K401&gt;=Umbrales!$B$4,"Rara",IF(K401&gt;=Umbrales!$B$5,"Poco común","Común")))))</f>
        <v/>
      </c>
      <c r="M401" s="5" t="n">
        <v>61586.00192</v>
      </c>
      <c r="N401" s="5" t="n">
        <v>2091.000064</v>
      </c>
      <c r="O401" s="5">
        <f>IF(M401="","",M401*J401)</f>
        <v/>
      </c>
      <c r="P401" s="5">
        <f>IF(N401="","",N401*J401)</f>
        <v/>
      </c>
      <c r="Q401" s="7" t="n">
        <v>0.044</v>
      </c>
      <c r="R401" s="8" t="n">
        <v>21.742739</v>
      </c>
      <c r="S401" s="4" t="inlineStr">
        <is>
          <t>DAX40, EUROSTOXX50</t>
        </is>
      </c>
      <c r="T401" s="9" t="inlineStr">
        <is>
          <t>SI</t>
        </is>
      </c>
      <c r="U401" s="9" t="inlineStr"/>
      <c r="V401" s="10">
        <f>Umbrales!$B$9*(K401/1000)^Umbrales!$B$10</f>
        <v/>
      </c>
    </row>
    <row r="402">
      <c r="A402" s="4" t="inlineStr">
        <is>
          <t>TEAM</t>
        </is>
      </c>
      <c r="B402" s="4" t="inlineStr">
        <is>
          <t>Atlassian Corporation</t>
        </is>
      </c>
      <c r="C402" s="4" t="inlineStr">
        <is>
          <t>Australia</t>
        </is>
      </c>
      <c r="D402" s="4" t="inlineStr">
        <is>
          <t>AU</t>
        </is>
      </c>
      <c r="E402" s="4" t="inlineStr">
        <is>
          <t>Tecnología</t>
        </is>
      </c>
      <c r="F402" s="4" t="inlineStr">
        <is>
          <t>Software - Application</t>
        </is>
      </c>
      <c r="G402" s="4" t="inlineStr">
        <is>
          <t>NMS</t>
        </is>
      </c>
      <c r="H402" s="4" t="inlineStr">
        <is>
          <t>USD</t>
        </is>
      </c>
      <c r="I402" s="5" t="n">
        <v>51807.391744</v>
      </c>
      <c r="J402" s="6">
        <f>INDEX(FX!$B:$B,MATCH(H402,FX!$A:$A,0))</f>
        <v/>
      </c>
      <c r="K402" s="5">
        <f>I402*J402</f>
        <v/>
      </c>
      <c r="L402" s="4">
        <f>IF(U402&lt;&gt;"",U402,IF(K402&gt;=Umbrales!$B$2,"Legendaria",IF(K402&gt;=Umbrales!$B$3,"Épica",IF(K402&gt;=Umbrales!$B$4,"Rara",IF(K402&gt;=Umbrales!$B$5,"Poco común","Común")))))</f>
        <v/>
      </c>
      <c r="M402" s="5" t="n">
        <v>6572.307968</v>
      </c>
      <c r="N402" s="5" t="n">
        <v>-53.828</v>
      </c>
      <c r="O402" s="5">
        <f>IF(M402="","",M402*J402)</f>
        <v/>
      </c>
      <c r="P402" s="5">
        <f>IF(N402="","",N402*J402)</f>
        <v/>
      </c>
      <c r="Q402" s="7" t="n">
        <v>0</v>
      </c>
      <c r="R402" s="8" t="n"/>
      <c r="S402" s="4" t="inlineStr">
        <is>
          <t>NASDAQ100</t>
        </is>
      </c>
      <c r="T402" s="9" t="inlineStr">
        <is>
          <t>SI</t>
        </is>
      </c>
      <c r="U402" s="9" t="inlineStr"/>
      <c r="V402" s="10">
        <f>Umbrales!$B$9*(K402/1000)^Umbrales!$B$10</f>
        <v/>
      </c>
    </row>
    <row r="403">
      <c r="A403" s="4" t="inlineStr">
        <is>
          <t>DGE.L</t>
        </is>
      </c>
      <c r="B403" s="4" t="inlineStr">
        <is>
          <t>Diageo plc</t>
        </is>
      </c>
      <c r="C403" s="4" t="inlineStr">
        <is>
          <t>United Kingdom</t>
        </is>
      </c>
      <c r="D403" s="4" t="inlineStr">
        <is>
          <t>GB</t>
        </is>
      </c>
      <c r="E403" s="4" t="inlineStr">
        <is>
          <t>Consumo básico</t>
        </is>
      </c>
      <c r="F403" s="4" t="inlineStr">
        <is>
          <t>Beverages - Wineries &amp; Distilleries</t>
        </is>
      </c>
      <c r="G403" s="4" t="inlineStr">
        <is>
          <t>LSE</t>
        </is>
      </c>
      <c r="H403" s="4" t="inlineStr">
        <is>
          <t>GBP</t>
        </is>
      </c>
      <c r="I403" s="5" t="n">
        <v>38907.912192</v>
      </c>
      <c r="J403" s="6">
        <f>INDEX(FX!$B:$B,MATCH(H403,FX!$A:$A,0))</f>
        <v/>
      </c>
      <c r="K403" s="5">
        <f>I403*J403</f>
        <v/>
      </c>
      <c r="L403" s="4">
        <f>IF(U403&lt;&gt;"",U403,IF(K403&gt;=Umbrales!$B$2,"Legendaria",IF(K403&gt;=Umbrales!$B$3,"Épica",IF(K403&gt;=Umbrales!$B$4,"Rara",IF(K403&gt;=Umbrales!$B$5,"Poco común","Común")))))</f>
        <v/>
      </c>
      <c r="M403" s="5" t="n">
        <v>19643.000832</v>
      </c>
      <c r="N403" s="5" t="n">
        <v>1736.999936</v>
      </c>
      <c r="O403" s="5">
        <f>IF(M403="","",M403*J403)</f>
        <v/>
      </c>
      <c r="P403" s="5">
        <f>IF(N403="","",N403*J403)</f>
        <v/>
      </c>
      <c r="Q403" s="7" t="n">
        <v>0.0265</v>
      </c>
      <c r="R403" s="8" t="n">
        <v>30.155172</v>
      </c>
      <c r="S403" s="4" t="inlineStr">
        <is>
          <t>FTSE100, UK_TOP</t>
        </is>
      </c>
      <c r="T403" s="9" t="inlineStr">
        <is>
          <t>SI</t>
        </is>
      </c>
      <c r="U403" s="9" t="inlineStr"/>
      <c r="V403" s="10">
        <f>Umbrales!$B$9*(K403/1000)^Umbrales!$B$10</f>
        <v/>
      </c>
    </row>
    <row r="404">
      <c r="A404" s="4" t="inlineStr">
        <is>
          <t>EOAN.DE</t>
        </is>
      </c>
      <c r="B404" s="4" t="inlineStr">
        <is>
          <t>E.ON SE</t>
        </is>
      </c>
      <c r="C404" s="4" t="inlineStr">
        <is>
          <t>Germany</t>
        </is>
      </c>
      <c r="D404" s="4" t="inlineStr">
        <is>
          <t>DE</t>
        </is>
      </c>
      <c r="E404" s="4" t="inlineStr">
        <is>
          <t>Servicios públicos</t>
        </is>
      </c>
      <c r="F404" s="4" t="inlineStr">
        <is>
          <t>Utilities - Diversified</t>
        </is>
      </c>
      <c r="G404" s="4" t="inlineStr">
        <is>
          <t>GER</t>
        </is>
      </c>
      <c r="H404" s="4" t="inlineStr">
        <is>
          <t>EUR</t>
        </is>
      </c>
      <c r="I404" s="5" t="n">
        <v>45566.980096</v>
      </c>
      <c r="J404" s="6">
        <f>INDEX(FX!$B:$B,MATCH(H404,FX!$A:$A,0))</f>
        <v/>
      </c>
      <c r="K404" s="5">
        <f>I404*J404</f>
        <v/>
      </c>
      <c r="L404" s="4">
        <f>IF(U404&lt;&gt;"",U404,IF(K404&gt;=Umbrales!$B$2,"Legendaria",IF(K404&gt;=Umbrales!$B$3,"Épica",IF(K404&gt;=Umbrales!$B$4,"Rara",IF(K404&gt;=Umbrales!$B$5,"Poco común","Común")))))</f>
        <v/>
      </c>
      <c r="M404" s="5" t="n">
        <v>75225.99731200001</v>
      </c>
      <c r="N404" s="5" t="n">
        <v>3372.999936</v>
      </c>
      <c r="O404" s="5">
        <f>IF(M404="","",M404*J404)</f>
        <v/>
      </c>
      <c r="P404" s="5">
        <f>IF(N404="","",N404*J404)</f>
        <v/>
      </c>
      <c r="Q404" s="7" t="n">
        <v>0.0337</v>
      </c>
      <c r="R404" s="8" t="n">
        <v>13.511628</v>
      </c>
      <c r="S404" s="4" t="inlineStr">
        <is>
          <t>DAX40</t>
        </is>
      </c>
      <c r="T404" s="9" t="inlineStr">
        <is>
          <t>SI</t>
        </is>
      </c>
      <c r="U404" s="9" t="inlineStr"/>
      <c r="V404" s="10">
        <f>Umbrales!$B$9*(K404/1000)^Umbrales!$B$10</f>
        <v/>
      </c>
    </row>
    <row r="405">
      <c r="A405" s="4" t="inlineStr">
        <is>
          <t>RWE.DE</t>
        </is>
      </c>
      <c r="B405" s="4" t="inlineStr">
        <is>
          <t>RWE Aktiengesellschaft</t>
        </is>
      </c>
      <c r="C405" s="4" t="inlineStr">
        <is>
          <t>Germany</t>
        </is>
      </c>
      <c r="D405" s="4" t="inlineStr">
        <is>
          <t>DE</t>
        </is>
      </c>
      <c r="E405" s="4" t="inlineStr">
        <is>
          <t>Servicios públicos</t>
        </is>
      </c>
      <c r="F405" s="4" t="inlineStr">
        <is>
          <t>Utilities - Diversified</t>
        </is>
      </c>
      <c r="G405" s="4" t="inlineStr">
        <is>
          <t>GER</t>
        </is>
      </c>
      <c r="H405" s="4" t="inlineStr">
        <is>
          <t>EUR</t>
        </is>
      </c>
      <c r="I405" s="5" t="n">
        <v>45410.738176</v>
      </c>
      <c r="J405" s="6">
        <f>INDEX(FX!$B:$B,MATCH(H405,FX!$A:$A,0))</f>
        <v/>
      </c>
      <c r="K405" s="5">
        <f>I405*J405</f>
        <v/>
      </c>
      <c r="L405" s="4">
        <f>IF(U405&lt;&gt;"",U405,IF(K405&gt;=Umbrales!$B$2,"Legendaria",IF(K405&gt;=Umbrales!$B$3,"Épica",IF(K405&gt;=Umbrales!$B$4,"Rara",IF(K405&gt;=Umbrales!$B$5,"Poco común","Común")))))</f>
        <v/>
      </c>
      <c r="M405" s="5" t="n">
        <v>15966.999552</v>
      </c>
      <c r="N405" s="5" t="n">
        <v>3233.999872</v>
      </c>
      <c r="O405" s="5">
        <f>IF(M405="","",M405*J405)</f>
        <v/>
      </c>
      <c r="P405" s="5">
        <f>IF(N405="","",N405*J405)</f>
        <v/>
      </c>
      <c r="Q405" s="7" t="n">
        <v>0.0207</v>
      </c>
      <c r="R405" s="8" t="n">
        <v>12.629067</v>
      </c>
      <c r="S405" s="4" t="inlineStr">
        <is>
          <t>DAX40</t>
        </is>
      </c>
      <c r="T405" s="9" t="inlineStr">
        <is>
          <t>SI</t>
        </is>
      </c>
      <c r="U405" s="9" t="inlineStr"/>
      <c r="V405" s="10">
        <f>Umbrales!$B$9*(K405/1000)^Umbrales!$B$10</f>
        <v/>
      </c>
    </row>
    <row r="406">
      <c r="A406" s="4" t="inlineStr">
        <is>
          <t>LONN.SW</t>
        </is>
      </c>
      <c r="B406" s="4" t="inlineStr">
        <is>
          <t>Lonza Group AG</t>
        </is>
      </c>
      <c r="C406" s="4" t="inlineStr">
        <is>
          <t>Switzerland</t>
        </is>
      </c>
      <c r="D406" s="4" t="inlineStr">
        <is>
          <t>CH</t>
        </is>
      </c>
      <c r="E406" s="4" t="inlineStr">
        <is>
          <t>Salud</t>
        </is>
      </c>
      <c r="F406" s="4" t="inlineStr">
        <is>
          <t>Diagnostics &amp; Research</t>
        </is>
      </c>
      <c r="G406" s="4" t="inlineStr">
        <is>
          <t>EBS</t>
        </is>
      </c>
      <c r="H406" s="4" t="inlineStr">
        <is>
          <t>CHF</t>
        </is>
      </c>
      <c r="I406" s="5" t="n">
        <v>42116.071424</v>
      </c>
      <c r="J406" s="6">
        <f>INDEX(FX!$B:$B,MATCH(H406,FX!$A:$A,0))</f>
        <v/>
      </c>
      <c r="K406" s="5">
        <f>I406*J406</f>
        <v/>
      </c>
      <c r="L406" s="4">
        <f>IF(U406&lt;&gt;"",U406,IF(K406&gt;=Umbrales!$B$2,"Legendaria",IF(K406&gt;=Umbrales!$B$3,"Épica",IF(K406&gt;=Umbrales!$B$4,"Rara",IF(K406&gt;=Umbrales!$B$5,"Poco común","Común")))))</f>
        <v/>
      </c>
      <c r="M406" s="5" t="n">
        <v>6871.000064</v>
      </c>
      <c r="N406" s="5" t="n">
        <v>1080.999936</v>
      </c>
      <c r="O406" s="5">
        <f>IF(M406="","",M406*J406)</f>
        <v/>
      </c>
      <c r="P406" s="5">
        <f>IF(N406="","",N406*J406)</f>
        <v/>
      </c>
      <c r="Q406" s="7" t="n">
        <v>0.008500000000000001</v>
      </c>
      <c r="R406" s="8" t="n">
        <v>39.96024</v>
      </c>
      <c r="S406" s="4" t="inlineStr">
        <is>
          <t>SMI</t>
        </is>
      </c>
      <c r="T406" s="9" t="inlineStr">
        <is>
          <t>SI</t>
        </is>
      </c>
      <c r="U406" s="9" t="inlineStr"/>
      <c r="V406" s="10">
        <f>Umbrales!$B$9*(K406/1000)^Umbrales!$B$10</f>
        <v/>
      </c>
    </row>
    <row r="407">
      <c r="A407" s="4" t="inlineStr">
        <is>
          <t>FIX</t>
        </is>
      </c>
      <c r="B407" s="4" t="inlineStr">
        <is>
          <t>Comfort Systems USA, Inc.</t>
        </is>
      </c>
      <c r="C407" s="4" t="inlineStr">
        <is>
          <t>United States</t>
        </is>
      </c>
      <c r="D407" s="4" t="inlineStr">
        <is>
          <t>US</t>
        </is>
      </c>
      <c r="E407" s="4" t="inlineStr">
        <is>
          <t>Industria</t>
        </is>
      </c>
      <c r="F407" s="4" t="inlineStr">
        <is>
          <t>Engineering &amp; Construction</t>
        </is>
      </c>
      <c r="G407" s="4" t="inlineStr">
        <is>
          <t>NYQ</t>
        </is>
      </c>
      <c r="H407" s="4" t="inlineStr">
        <is>
          <t>USD</t>
        </is>
      </c>
      <c r="I407" s="5" t="n">
        <v>50730.336256</v>
      </c>
      <c r="J407" s="6">
        <f>INDEX(FX!$B:$B,MATCH(H407,FX!$A:$A,0))</f>
        <v/>
      </c>
      <c r="K407" s="5">
        <f>I407*J407</f>
        <v/>
      </c>
      <c r="L407" s="4">
        <f>IF(U407&lt;&gt;"",U407,IF(K407&gt;=Umbrales!$B$2,"Legendaria",IF(K407&gt;=Umbrales!$B$3,"Épica",IF(K407&gt;=Umbrales!$B$4,"Rara",IF(K407&gt;=Umbrales!$B$5,"Poco común","Común")))))</f>
        <v/>
      </c>
      <c r="M407" s="5" t="n">
        <v>11228.023808</v>
      </c>
      <c r="N407" s="5" t="n">
        <v>1434.401024</v>
      </c>
      <c r="O407" s="5">
        <f>IF(M407="","",M407*J407)</f>
        <v/>
      </c>
      <c r="P407" s="5">
        <f>IF(N407="","",N407*J407)</f>
        <v/>
      </c>
      <c r="Q407" s="7" t="n">
        <v>0.0022</v>
      </c>
      <c r="R407" s="8" t="n">
        <v>37.420433</v>
      </c>
      <c r="S407" s="4" t="inlineStr">
        <is>
          <t>SP500</t>
        </is>
      </c>
      <c r="T407" s="9" t="inlineStr">
        <is>
          <t>SI</t>
        </is>
      </c>
      <c r="U407" s="9" t="inlineStr"/>
      <c r="V407" s="10">
        <f>Umbrales!$B$9*(K407/1000)^Umbrales!$B$10</f>
        <v/>
      </c>
    </row>
    <row r="408">
      <c r="A408" s="4" t="inlineStr">
        <is>
          <t>HONA</t>
        </is>
      </c>
      <c r="B408" s="4" t="inlineStr">
        <is>
          <t>Honeywell Aerospace Inc.</t>
        </is>
      </c>
      <c r="C408" s="4" t="inlineStr">
        <is>
          <t>United States</t>
        </is>
      </c>
      <c r="D408" s="4" t="inlineStr">
        <is>
          <t>US</t>
        </is>
      </c>
      <c r="E408" s="4" t="inlineStr">
        <is>
          <t>Industria</t>
        </is>
      </c>
      <c r="F408" s="4" t="inlineStr">
        <is>
          <t>Aerospace &amp; Defense</t>
        </is>
      </c>
      <c r="G408" s="4" t="inlineStr">
        <is>
          <t>NMS</t>
        </is>
      </c>
      <c r="H408" s="4" t="inlineStr">
        <is>
          <t>USD</t>
        </is>
      </c>
      <c r="I408" s="5" t="n">
        <v>50607.84128</v>
      </c>
      <c r="J408" s="6">
        <f>INDEX(FX!$B:$B,MATCH(H408,FX!$A:$A,0))</f>
        <v/>
      </c>
      <c r="K408" s="5">
        <f>I408*J408</f>
        <v/>
      </c>
      <c r="L408" s="4">
        <f>IF(U408&lt;&gt;"",U408,IF(K408&gt;=Umbrales!$B$2,"Legendaria",IF(K408&gt;=Umbrales!$B$3,"Épica",IF(K408&gt;=Umbrales!$B$4,"Rara",IF(K408&gt;=Umbrales!$B$5,"Poco común","Común")))))</f>
        <v/>
      </c>
      <c r="M408" s="5" t="n">
        <v>17915.000832</v>
      </c>
      <c r="N408" s="5" t="n">
        <v>1946</v>
      </c>
      <c r="O408" s="5">
        <f>IF(M408="","",M408*J408)</f>
        <v/>
      </c>
      <c r="P408" s="5">
        <f>IF(N408="","",N408*J408)</f>
        <v/>
      </c>
      <c r="Q408" s="7" t="n">
        <v>0</v>
      </c>
      <c r="R408" s="8" t="n">
        <v>49.12923</v>
      </c>
      <c r="S408" s="4" t="inlineStr">
        <is>
          <t>SP500</t>
        </is>
      </c>
      <c r="T408" s="9" t="inlineStr">
        <is>
          <t>SI</t>
        </is>
      </c>
      <c r="U408" s="9" t="inlineStr"/>
      <c r="V408" s="10">
        <f>Umbrales!$B$9*(K408/1000)^Umbrales!$B$10</f>
        <v/>
      </c>
    </row>
    <row r="409">
      <c r="A409" s="4" t="inlineStr">
        <is>
          <t>SHL.DE</t>
        </is>
      </c>
      <c r="B409" s="4" t="inlineStr">
        <is>
          <t>Siemens Healthineers AG</t>
        </is>
      </c>
      <c r="C409" s="4" t="inlineStr">
        <is>
          <t>Germany</t>
        </is>
      </c>
      <c r="D409" s="4" t="inlineStr">
        <is>
          <t>DE</t>
        </is>
      </c>
      <c r="E409" s="4" t="inlineStr">
        <is>
          <t>Salud</t>
        </is>
      </c>
      <c r="F409" s="4" t="inlineStr">
        <is>
          <t>Medical Devices</t>
        </is>
      </c>
      <c r="G409" s="4" t="inlineStr">
        <is>
          <t>GER</t>
        </is>
      </c>
      <c r="H409" s="4" t="inlineStr">
        <is>
          <t>EUR</t>
        </is>
      </c>
      <c r="I409" s="5" t="n">
        <v>45047.758848</v>
      </c>
      <c r="J409" s="6">
        <f>INDEX(FX!$B:$B,MATCH(H409,FX!$A:$A,0))</f>
        <v/>
      </c>
      <c r="K409" s="5">
        <f>I409*J409</f>
        <v/>
      </c>
      <c r="L409" s="4">
        <f>IF(U409&lt;&gt;"",U409,IF(K409&gt;=Umbrales!$B$2,"Legendaria",IF(K409&gt;=Umbrales!$B$3,"Épica",IF(K409&gt;=Umbrales!$B$4,"Rara",IF(K409&gt;=Umbrales!$B$5,"Poco común","Común")))))</f>
        <v/>
      </c>
      <c r="M409" s="5" t="n">
        <v>23168</v>
      </c>
      <c r="N409" s="5" t="n">
        <v>2212.999936</v>
      </c>
      <c r="O409" s="5">
        <f>IF(M409="","",M409*J409)</f>
        <v/>
      </c>
      <c r="P409" s="5">
        <f>IF(N409="","",N409*J409)</f>
        <v/>
      </c>
      <c r="Q409" s="7" t="n">
        <v>0.0259</v>
      </c>
      <c r="R409" s="8" t="n">
        <v>19.730392</v>
      </c>
      <c r="S409" s="4" t="inlineStr">
        <is>
          <t>DAX40</t>
        </is>
      </c>
      <c r="T409" s="9" t="inlineStr">
        <is>
          <t>SI</t>
        </is>
      </c>
      <c r="U409" s="9" t="inlineStr"/>
      <c r="V409" s="10">
        <f>Umbrales!$B$9*(K409/1000)^Umbrales!$B$10</f>
        <v/>
      </c>
    </row>
    <row r="410">
      <c r="A410" s="4" t="inlineStr">
        <is>
          <t>DAL</t>
        </is>
      </c>
      <c r="B410" s="4" t="inlineStr">
        <is>
          <t>Delta Air Lines, Inc.</t>
        </is>
      </c>
      <c r="C410" s="4" t="inlineStr">
        <is>
          <t>United States</t>
        </is>
      </c>
      <c r="D410" s="4" t="inlineStr">
        <is>
          <t>US</t>
        </is>
      </c>
      <c r="E410" s="4" t="inlineStr">
        <is>
          <t>Industria</t>
        </is>
      </c>
      <c r="F410" s="4" t="inlineStr">
        <is>
          <t>Airlines</t>
        </is>
      </c>
      <c r="G410" s="4" t="inlineStr">
        <is>
          <t>NYQ</t>
        </is>
      </c>
      <c r="H410" s="4" t="inlineStr">
        <is>
          <t>USD</t>
        </is>
      </c>
      <c r="I410" s="5" t="n">
        <v>50310.561792</v>
      </c>
      <c r="J410" s="6">
        <f>INDEX(FX!$B:$B,MATCH(H410,FX!$A:$A,0))</f>
        <v/>
      </c>
      <c r="K410" s="5">
        <f>I410*J410</f>
        <v/>
      </c>
      <c r="L410" s="4">
        <f>IF(U410&lt;&gt;"",U410,IF(K410&gt;=Umbrales!$B$2,"Legendaria",IF(K410&gt;=Umbrales!$B$3,"Épica",IF(K410&gt;=Umbrales!$B$4,"Rara",IF(K410&gt;=Umbrales!$B$5,"Poco común","Común")))))</f>
        <v/>
      </c>
      <c r="M410" s="5" t="n">
        <v>71799.99641599999</v>
      </c>
      <c r="N410" s="5" t="n">
        <v>3288.999936</v>
      </c>
      <c r="O410" s="5">
        <f>IF(M410="","",M410*J410)</f>
        <v/>
      </c>
      <c r="P410" s="5">
        <f>IF(N410="","",N410*J410)</f>
        <v/>
      </c>
      <c r="Q410" s="7" t="n">
        <v>0.0108</v>
      </c>
      <c r="R410" s="8" t="n">
        <v>15.832298</v>
      </c>
      <c r="S410" s="4" t="inlineStr">
        <is>
          <t>SP500</t>
        </is>
      </c>
      <c r="T410" s="9" t="inlineStr">
        <is>
          <t>SI</t>
        </is>
      </c>
      <c r="U410" s="9" t="inlineStr"/>
      <c r="V410" s="10">
        <f>Umbrales!$B$9*(K410/1000)^Umbrales!$B$10</f>
        <v/>
      </c>
    </row>
    <row r="411">
      <c r="A411" s="4" t="inlineStr">
        <is>
          <t>VEEV</t>
        </is>
      </c>
      <c r="B411" s="4" t="inlineStr">
        <is>
          <t>Veeva Systems Inc.</t>
        </is>
      </c>
      <c r="C411" s="4" t="inlineStr">
        <is>
          <t>United States</t>
        </is>
      </c>
      <c r="D411" s="4" t="inlineStr">
        <is>
          <t>US</t>
        </is>
      </c>
      <c r="E411" s="4" t="inlineStr">
        <is>
          <t>Salud</t>
        </is>
      </c>
      <c r="F411" s="4" t="inlineStr">
        <is>
          <t>Health Information Services</t>
        </is>
      </c>
      <c r="G411" s="4" t="inlineStr">
        <is>
          <t>NYQ</t>
        </is>
      </c>
      <c r="H411" s="4" t="inlineStr">
        <is>
          <t>USD</t>
        </is>
      </c>
      <c r="I411" s="5" t="n">
        <v>50283.966464</v>
      </c>
      <c r="J411" s="6">
        <f>INDEX(FX!$B:$B,MATCH(H411,FX!$A:$A,0))</f>
        <v/>
      </c>
      <c r="K411" s="5">
        <f>I411*J411</f>
        <v/>
      </c>
      <c r="L411" s="4">
        <f>IF(U411&lt;&gt;"",U411,IF(K411&gt;=Umbrales!$B$2,"Legendaria",IF(K411&gt;=Umbrales!$B$3,"Épica",IF(K411&gt;=Umbrales!$B$4,"Rara",IF(K411&gt;=Umbrales!$B$5,"Poco común","Común")))))</f>
        <v/>
      </c>
      <c r="M411" s="5" t="n">
        <v>3458.09792</v>
      </c>
      <c r="N411" s="5" t="n">
        <v>1014.771968</v>
      </c>
      <c r="O411" s="5">
        <f>IF(M411="","",M411*J411)</f>
        <v/>
      </c>
      <c r="P411" s="5">
        <f>IF(N411="","",N411*J411)</f>
        <v/>
      </c>
      <c r="Q411" s="7" t="n">
        <v>0</v>
      </c>
      <c r="R411" s="8" t="n">
        <v>51.675472</v>
      </c>
      <c r="S411" s="4" t="inlineStr">
        <is>
          <t>SP500</t>
        </is>
      </c>
      <c r="T411" s="9" t="inlineStr">
        <is>
          <t>SI</t>
        </is>
      </c>
      <c r="U411" s="9" t="inlineStr"/>
      <c r="V411" s="10">
        <f>Umbrales!$B$9*(K411/1000)^Umbrales!$B$10</f>
        <v/>
      </c>
    </row>
    <row r="412">
      <c r="A412" s="4" t="inlineStr">
        <is>
          <t>BAYN.DE</t>
        </is>
      </c>
      <c r="B412" s="4" t="inlineStr">
        <is>
          <t>Bayer Aktiengesellschaft</t>
        </is>
      </c>
      <c r="C412" s="4" t="inlineStr">
        <is>
          <t>Germany</t>
        </is>
      </c>
      <c r="D412" s="4" t="inlineStr">
        <is>
          <t>DE</t>
        </is>
      </c>
      <c r="E412" s="4" t="inlineStr">
        <is>
          <t>Salud</t>
        </is>
      </c>
      <c r="F412" s="4" t="inlineStr">
        <is>
          <t>Drug Manufacturers - General</t>
        </is>
      </c>
      <c r="G412" s="4" t="inlineStr">
        <is>
          <t>GER</t>
        </is>
      </c>
      <c r="H412" s="4" t="inlineStr">
        <is>
          <t>EUR</t>
        </is>
      </c>
      <c r="I412" s="5" t="n">
        <v>44700.295168</v>
      </c>
      <c r="J412" s="6">
        <f>INDEX(FX!$B:$B,MATCH(H412,FX!$A:$A,0))</f>
        <v/>
      </c>
      <c r="K412" s="5">
        <f>I412*J412</f>
        <v/>
      </c>
      <c r="L412" s="4">
        <f>IF(U412&lt;&gt;"",U412,IF(K412&gt;=Umbrales!$B$2,"Legendaria",IF(K412&gt;=Umbrales!$B$3,"Épica",IF(K412&gt;=Umbrales!$B$4,"Rara",IF(K412&gt;=Umbrales!$B$5,"Poco común","Común")))))</f>
        <v/>
      </c>
      <c r="M412" s="5" t="n">
        <v>45375.000576</v>
      </c>
      <c r="N412" s="5" t="n">
        <v>-1738</v>
      </c>
      <c r="O412" s="5">
        <f>IF(M412="","",M412*J412)</f>
        <v/>
      </c>
      <c r="P412" s="5">
        <f>IF(N412="","",N412*J412)</f>
        <v/>
      </c>
      <c r="Q412" s="7" t="n">
        <v>0.0025</v>
      </c>
      <c r="R412" s="8" t="n"/>
      <c r="S412" s="4" t="inlineStr">
        <is>
          <t>DAX40, EUROSTOXX50</t>
        </is>
      </c>
      <c r="T412" s="9" t="inlineStr">
        <is>
          <t>SI</t>
        </is>
      </c>
      <c r="U412" s="9" t="inlineStr"/>
      <c r="V412" s="10">
        <f>Umbrales!$B$9*(K412/1000)^Umbrales!$B$10</f>
        <v/>
      </c>
    </row>
    <row r="413">
      <c r="A413" s="4" t="inlineStr">
        <is>
          <t>VYLR</t>
        </is>
      </c>
      <c r="B413" s="4" t="inlineStr">
        <is>
          <t>Vylor Inc.</t>
        </is>
      </c>
      <c r="C413" s="4" t="inlineStr">
        <is>
          <t>United States</t>
        </is>
      </c>
      <c r="D413" s="4" t="inlineStr">
        <is>
          <t>US</t>
        </is>
      </c>
      <c r="E413" s="4" t="inlineStr">
        <is>
          <t>Finanzas</t>
        </is>
      </c>
      <c r="F413" s="4" t="inlineStr">
        <is>
          <t>Shell Companies</t>
        </is>
      </c>
      <c r="G413" s="4" t="inlineStr">
        <is>
          <t>NYQ</t>
        </is>
      </c>
      <c r="H413" s="4" t="inlineStr">
        <is>
          <t>USD</t>
        </is>
      </c>
      <c r="I413" s="5" t="n">
        <v>49560.584192</v>
      </c>
      <c r="J413" s="6">
        <f>INDEX(FX!$B:$B,MATCH(H413,FX!$A:$A,0))</f>
        <v/>
      </c>
      <c r="K413" s="5">
        <f>I413*J413</f>
        <v/>
      </c>
      <c r="L413" s="4">
        <f>IF(U413&lt;&gt;"",U413,IF(K413&gt;=Umbrales!$B$2,"Legendaria",IF(K413&gt;=Umbrales!$B$3,"Épica",IF(K413&gt;=Umbrales!$B$4,"Rara",IF(K413&gt;=Umbrales!$B$5,"Poco común","Común")))))</f>
        <v/>
      </c>
      <c r="M413" s="5" t="n">
        <v>17812.000768</v>
      </c>
      <c r="N413" s="5" t="n">
        <v>1084.999936</v>
      </c>
      <c r="O413" s="5">
        <f>IF(M413="","",M413*J413)</f>
        <v/>
      </c>
      <c r="P413" s="5">
        <f>IF(N413="","",N413*J413)</f>
        <v/>
      </c>
      <c r="Q413" s="7" t="n">
        <v>0</v>
      </c>
      <c r="R413" s="8" t="n">
        <v>106.1</v>
      </c>
      <c r="S413" s="4" t="inlineStr">
        <is>
          <t>SP500</t>
        </is>
      </c>
      <c r="T413" s="9" t="inlineStr">
        <is>
          <t>SI</t>
        </is>
      </c>
      <c r="U413" s="9" t="inlineStr"/>
      <c r="V413" s="10">
        <f>Umbrales!$B$9*(K413/1000)^Umbrales!$B$10</f>
        <v/>
      </c>
    </row>
    <row r="414">
      <c r="A414" s="4" t="inlineStr">
        <is>
          <t>A</t>
        </is>
      </c>
      <c r="B414" s="4" t="inlineStr">
        <is>
          <t>Agilent Technologies, Inc.</t>
        </is>
      </c>
      <c r="C414" s="4" t="inlineStr">
        <is>
          <t>United States</t>
        </is>
      </c>
      <c r="D414" s="4" t="inlineStr">
        <is>
          <t>US</t>
        </is>
      </c>
      <c r="E414" s="4" t="inlineStr">
        <is>
          <t>Salud</t>
        </is>
      </c>
      <c r="F414" s="4" t="inlineStr">
        <is>
          <t>Diagnostics &amp; Research</t>
        </is>
      </c>
      <c r="G414" s="4" t="inlineStr">
        <is>
          <t>NYQ</t>
        </is>
      </c>
      <c r="H414" s="4" t="inlineStr">
        <is>
          <t>USD</t>
        </is>
      </c>
      <c r="I414" s="5" t="n">
        <v>49365.745664</v>
      </c>
      <c r="J414" s="6">
        <f>INDEX(FX!$B:$B,MATCH(H414,FX!$A:$A,0))</f>
        <v/>
      </c>
      <c r="K414" s="5">
        <f>I414*J414</f>
        <v/>
      </c>
      <c r="L414" s="4">
        <f>IF(U414&lt;&gt;"",U414,IF(K414&gt;=Umbrales!$B$2,"Legendaria",IF(K414&gt;=Umbrales!$B$3,"Épica",IF(K414&gt;=Umbrales!$B$4,"Rara",IF(K414&gt;=Umbrales!$B$5,"Poco común","Común")))))</f>
        <v/>
      </c>
      <c r="M414" s="5" t="n">
        <v>7372.000256</v>
      </c>
      <c r="N414" s="5" t="n">
        <v>1440</v>
      </c>
      <c r="O414" s="5">
        <f>IF(M414="","",M414*J414)</f>
        <v/>
      </c>
      <c r="P414" s="5">
        <f>IF(N414="","",N414*J414)</f>
        <v/>
      </c>
      <c r="Q414" s="7" t="n">
        <v>0.0059</v>
      </c>
      <c r="R414" s="8" t="n">
        <v>34.06615</v>
      </c>
      <c r="S414" s="4" t="inlineStr">
        <is>
          <t>SP500</t>
        </is>
      </c>
      <c r="T414" s="9" t="inlineStr">
        <is>
          <t>SI</t>
        </is>
      </c>
      <c r="U414" s="9" t="inlineStr"/>
      <c r="V414" s="10">
        <f>Umbrales!$B$9*(K414/1000)^Umbrales!$B$10</f>
        <v/>
      </c>
    </row>
    <row r="415">
      <c r="A415" s="4" t="inlineStr">
        <is>
          <t>VST</t>
        </is>
      </c>
      <c r="B415" s="4" t="inlineStr">
        <is>
          <t>Vistra Corp.</t>
        </is>
      </c>
      <c r="C415" s="4" t="inlineStr">
        <is>
          <t>United States</t>
        </is>
      </c>
      <c r="D415" s="4" t="inlineStr">
        <is>
          <t>US</t>
        </is>
      </c>
      <c r="E415" s="4" t="inlineStr">
        <is>
          <t>Servicios públicos</t>
        </is>
      </c>
      <c r="F415" s="4" t="inlineStr">
        <is>
          <t>Utilities - Independent Power Producers</t>
        </is>
      </c>
      <c r="G415" s="4" t="inlineStr">
        <is>
          <t>NYQ</t>
        </is>
      </c>
      <c r="H415" s="4" t="inlineStr">
        <is>
          <t>USD</t>
        </is>
      </c>
      <c r="I415" s="5" t="n">
        <v>49359.351808</v>
      </c>
      <c r="J415" s="6">
        <f>INDEX(FX!$B:$B,MATCH(H415,FX!$A:$A,0))</f>
        <v/>
      </c>
      <c r="K415" s="5">
        <f>I415*J415</f>
        <v/>
      </c>
      <c r="L415" s="4">
        <f>IF(U415&lt;&gt;"",U415,IF(K415&gt;=Umbrales!$B$2,"Legendaria",IF(K415&gt;=Umbrales!$B$3,"Épica",IF(K415&gt;=Umbrales!$B$4,"Rara",IF(K415&gt;=Umbrales!$B$5,"Poco común","Común")))))</f>
        <v/>
      </c>
      <c r="M415" s="5" t="n">
        <v>19211.999232</v>
      </c>
      <c r="N415" s="5" t="n">
        <v>2027.000064</v>
      </c>
      <c r="O415" s="5">
        <f>IF(M415="","",M415*J415)</f>
        <v/>
      </c>
      <c r="P415" s="5">
        <f>IF(N415="","",N415*J415)</f>
        <v/>
      </c>
      <c r="Q415" s="7" t="n">
        <v>0.005699999999999999</v>
      </c>
      <c r="R415" s="8" t="n">
        <v>26.545578</v>
      </c>
      <c r="S415" s="4" t="inlineStr">
        <is>
          <t>SP500</t>
        </is>
      </c>
      <c r="T415" s="9" t="inlineStr">
        <is>
          <t>SI</t>
        </is>
      </c>
      <c r="U415" s="9" t="inlineStr"/>
      <c r="V415" s="10">
        <f>Umbrales!$B$9*(K415/1000)^Umbrales!$B$10</f>
        <v/>
      </c>
    </row>
    <row r="416">
      <c r="A416" s="4" t="inlineStr">
        <is>
          <t>EW</t>
        </is>
      </c>
      <c r="B416" s="4" t="inlineStr">
        <is>
          <t>Edwards Lifesciences Corporation</t>
        </is>
      </c>
      <c r="C416" s="4" t="inlineStr">
        <is>
          <t>United States</t>
        </is>
      </c>
      <c r="D416" s="4" t="inlineStr">
        <is>
          <t>US</t>
        </is>
      </c>
      <c r="E416" s="4" t="inlineStr">
        <is>
          <t>Salud</t>
        </is>
      </c>
      <c r="F416" s="4" t="inlineStr">
        <is>
          <t>Medical Devices</t>
        </is>
      </c>
      <c r="G416" s="4" t="inlineStr">
        <is>
          <t>NYQ</t>
        </is>
      </c>
      <c r="H416" s="4" t="inlineStr">
        <is>
          <t>USD</t>
        </is>
      </c>
      <c r="I416" s="5" t="n">
        <v>49294.237696</v>
      </c>
      <c r="J416" s="6">
        <f>INDEX(FX!$B:$B,MATCH(H416,FX!$A:$A,0))</f>
        <v/>
      </c>
      <c r="K416" s="5">
        <f>I416*J416</f>
        <v/>
      </c>
      <c r="L416" s="4">
        <f>IF(U416&lt;&gt;"",U416,IF(K416&gt;=Umbrales!$B$2,"Legendaria",IF(K416&gt;=Umbrales!$B$3,"Épica",IF(K416&gt;=Umbrales!$B$4,"Rara",IF(K416&gt;=Umbrales!$B$5,"Poco común","Común")))))</f>
        <v/>
      </c>
      <c r="M416" s="5" t="n">
        <v>6512.300032</v>
      </c>
      <c r="N416" s="5" t="n">
        <v>979.900032</v>
      </c>
      <c r="O416" s="5">
        <f>IF(M416="","",M416*J416)</f>
        <v/>
      </c>
      <c r="P416" s="5">
        <f>IF(N416="","",N416*J416)</f>
        <v/>
      </c>
      <c r="Q416" s="7" t="n">
        <v>0</v>
      </c>
      <c r="R416" s="8" t="n">
        <v>50.958336</v>
      </c>
      <c r="S416" s="4" t="inlineStr">
        <is>
          <t>SP500</t>
        </is>
      </c>
      <c r="T416" s="9" t="inlineStr">
        <is>
          <t>SI</t>
        </is>
      </c>
      <c r="U416" s="9" t="inlineStr"/>
      <c r="V416" s="10">
        <f>Umbrales!$B$9*(K416/1000)^Umbrales!$B$10</f>
        <v/>
      </c>
    </row>
    <row r="417">
      <c r="A417" s="4" t="inlineStr">
        <is>
          <t>ETR</t>
        </is>
      </c>
      <c r="B417" s="4" t="inlineStr">
        <is>
          <t>Entergy Corporation</t>
        </is>
      </c>
      <c r="C417" s="4" t="inlineStr">
        <is>
          <t>United States</t>
        </is>
      </c>
      <c r="D417" s="4" t="inlineStr">
        <is>
          <t>US</t>
        </is>
      </c>
      <c r="E417" s="4" t="inlineStr">
        <is>
          <t>Servicios públicos</t>
        </is>
      </c>
      <c r="F417" s="4" t="inlineStr">
        <is>
          <t>Utilities - Regulated Electric</t>
        </is>
      </c>
      <c r="G417" s="4" t="inlineStr">
        <is>
          <t>NYQ</t>
        </is>
      </c>
      <c r="H417" s="4" t="inlineStr">
        <is>
          <t>USD</t>
        </is>
      </c>
      <c r="I417" s="5" t="n">
        <v>49191.968768</v>
      </c>
      <c r="J417" s="6">
        <f>INDEX(FX!$B:$B,MATCH(H417,FX!$A:$A,0))</f>
        <v/>
      </c>
      <c r="K417" s="5">
        <f>I417*J417</f>
        <v/>
      </c>
      <c r="L417" s="4">
        <f>IF(U417&lt;&gt;"",U417,IF(K417&gt;=Umbrales!$B$2,"Legendaria",IF(K417&gt;=Umbrales!$B$3,"Épica",IF(K417&gt;=Umbrales!$B$4,"Rara",IF(K417&gt;=Umbrales!$B$5,"Poco común","Común")))))</f>
        <v/>
      </c>
      <c r="M417" s="5" t="n">
        <v>13482.226688</v>
      </c>
      <c r="N417" s="5" t="n">
        <v>1797.105024</v>
      </c>
      <c r="O417" s="5">
        <f>IF(M417="","",M417*J417)</f>
        <v/>
      </c>
      <c r="P417" s="5">
        <f>IF(N417="","",N417*J417)</f>
        <v/>
      </c>
      <c r="Q417" s="7" t="n">
        <v>0.0244</v>
      </c>
      <c r="R417" s="8" t="n">
        <v>26.467865</v>
      </c>
      <c r="S417" s="4" t="inlineStr">
        <is>
          <t>SP500</t>
        </is>
      </c>
      <c r="T417" s="9" t="inlineStr">
        <is>
          <t>SI</t>
        </is>
      </c>
      <c r="U417" s="9" t="inlineStr"/>
      <c r="V417" s="10">
        <f>Umbrales!$B$9*(K417/1000)^Umbrales!$B$10</f>
        <v/>
      </c>
    </row>
    <row r="418">
      <c r="A418" s="4" t="inlineStr">
        <is>
          <t>AZO</t>
        </is>
      </c>
      <c r="B418" s="4" t="inlineStr">
        <is>
          <t>AutoZone, Inc.</t>
        </is>
      </c>
      <c r="C418" s="4" t="inlineStr">
        <is>
          <t>United States</t>
        </is>
      </c>
      <c r="D418" s="4" t="inlineStr">
        <is>
          <t>US</t>
        </is>
      </c>
      <c r="E418" s="4" t="inlineStr">
        <is>
          <t>Consumo cíclico</t>
        </is>
      </c>
      <c r="F418" s="4" t="inlineStr">
        <is>
          <t>Auto Parts</t>
        </is>
      </c>
      <c r="G418" s="4" t="inlineStr">
        <is>
          <t>NYQ</t>
        </is>
      </c>
      <c r="H418" s="4" t="inlineStr">
        <is>
          <t>USD</t>
        </is>
      </c>
      <c r="I418" s="5" t="n">
        <v>49178.615808</v>
      </c>
      <c r="J418" s="6">
        <f>INDEX(FX!$B:$B,MATCH(H418,FX!$A:$A,0))</f>
        <v/>
      </c>
      <c r="K418" s="5">
        <f>I418*J418</f>
        <v/>
      </c>
      <c r="L418" s="4">
        <f>IF(U418&lt;&gt;"",U418,IF(K418&gt;=Umbrales!$B$2,"Legendaria",IF(K418&gt;=Umbrales!$B$3,"Épica",IF(K418&gt;=Umbrales!$B$4,"Rara",IF(K418&gt;=Umbrales!$B$5,"Poco común","Común")))))</f>
        <v/>
      </c>
      <c r="M418" s="5" t="n">
        <v>20338.55488</v>
      </c>
      <c r="N418" s="5" t="n">
        <v>2572.77696</v>
      </c>
      <c r="O418" s="5">
        <f>IF(M418="","",M418*J418)</f>
        <v/>
      </c>
      <c r="P418" s="5">
        <f>IF(N418="","",N418*J418)</f>
        <v/>
      </c>
      <c r="Q418" s="7" t="n">
        <v>0</v>
      </c>
      <c r="R418" s="8" t="n">
        <v>19.933037</v>
      </c>
      <c r="S418" s="4" t="inlineStr">
        <is>
          <t>SP500</t>
        </is>
      </c>
      <c r="T418" s="9" t="inlineStr">
        <is>
          <t>SI</t>
        </is>
      </c>
      <c r="U418" s="9" t="inlineStr"/>
      <c r="V418" s="10">
        <f>Umbrales!$B$9*(K418/1000)^Umbrales!$B$10</f>
        <v/>
      </c>
    </row>
    <row r="419">
      <c r="A419" s="4" t="inlineStr">
        <is>
          <t>CIEN</t>
        </is>
      </c>
      <c r="B419" s="4" t="inlineStr">
        <is>
          <t>Ciena Corporation</t>
        </is>
      </c>
      <c r="C419" s="4" t="inlineStr">
        <is>
          <t>United States</t>
        </is>
      </c>
      <c r="D419" s="4" t="inlineStr">
        <is>
          <t>US</t>
        </is>
      </c>
      <c r="E419" s="4" t="inlineStr">
        <is>
          <t>Tecnología</t>
        </is>
      </c>
      <c r="F419" s="4" t="inlineStr">
        <is>
          <t>Communication Equipment</t>
        </is>
      </c>
      <c r="G419" s="4" t="inlineStr">
        <is>
          <t>NYQ</t>
        </is>
      </c>
      <c r="H419" s="4" t="inlineStr">
        <is>
          <t>USD</t>
        </is>
      </c>
      <c r="I419" s="5" t="n">
        <v>49052.987392</v>
      </c>
      <c r="J419" s="6">
        <f>INDEX(FX!$B:$B,MATCH(H419,FX!$A:$A,0))</f>
        <v/>
      </c>
      <c r="K419" s="5">
        <f>I419*J419</f>
        <v/>
      </c>
      <c r="L419" s="4">
        <f>IF(U419&lt;&gt;"",U419,IF(K419&gt;=Umbrales!$B$2,"Legendaria",IF(K419&gt;=Umbrales!$B$3,"Épica",IF(K419&gt;=Umbrales!$B$4,"Rara",IF(K419&gt;=Umbrales!$B$5,"Poco común","Común")))))</f>
        <v/>
      </c>
      <c r="M419" s="5" t="n">
        <v>6020.894208</v>
      </c>
      <c r="N419" s="5" t="n">
        <v>654.409984</v>
      </c>
      <c r="O419" s="5">
        <f>IF(M419="","",M419*J419)</f>
        <v/>
      </c>
      <c r="P419" s="5">
        <f>IF(N419="","",N419*J419)</f>
        <v/>
      </c>
      <c r="Q419" s="7" t="n">
        <v>0</v>
      </c>
      <c r="R419" s="8" t="n">
        <v>77.38479</v>
      </c>
      <c r="S419" s="4" t="inlineStr">
        <is>
          <t>SP500</t>
        </is>
      </c>
      <c r="T419" s="9" t="inlineStr">
        <is>
          <t>SI</t>
        </is>
      </c>
      <c r="U419" s="9" t="inlineStr"/>
      <c r="V419" s="10">
        <f>Umbrales!$B$9*(K419/1000)^Umbrales!$B$10</f>
        <v/>
      </c>
    </row>
    <row r="420">
      <c r="A420" s="4" t="inlineStr">
        <is>
          <t>ELE.MC</t>
        </is>
      </c>
      <c r="B420" s="4" t="inlineStr">
        <is>
          <t>Endesa, S.A.</t>
        </is>
      </c>
      <c r="C420" s="4" t="inlineStr">
        <is>
          <t>Spain</t>
        </is>
      </c>
      <c r="D420" s="4" t="inlineStr">
        <is>
          <t>ES</t>
        </is>
      </c>
      <c r="E420" s="4" t="inlineStr">
        <is>
          <t>Servicios públicos</t>
        </is>
      </c>
      <c r="F420" s="4" t="inlineStr">
        <is>
          <t>Utilities - Regulated Electric</t>
        </is>
      </c>
      <c r="G420" s="4" t="inlineStr">
        <is>
          <t>MCE</t>
        </is>
      </c>
      <c r="H420" s="4" t="inlineStr">
        <is>
          <t>EUR</t>
        </is>
      </c>
      <c r="I420" s="5" t="n">
        <v>43737.264128</v>
      </c>
      <c r="J420" s="6">
        <f>INDEX(FX!$B:$B,MATCH(H420,FX!$A:$A,0))</f>
        <v/>
      </c>
      <c r="K420" s="5">
        <f>I420*J420</f>
        <v/>
      </c>
      <c r="L420" s="4">
        <f>IF(U420&lt;&gt;"",U420,IF(K420&gt;=Umbrales!$B$2,"Legendaria",IF(K420&gt;=Umbrales!$B$3,"Épica",IF(K420&gt;=Umbrales!$B$4,"Rara",IF(K420&gt;=Umbrales!$B$5,"Poco común","Común")))))</f>
        <v/>
      </c>
      <c r="M420" s="5" t="n">
        <v>21126.00064</v>
      </c>
      <c r="N420" s="5" t="n">
        <v>2627.000064</v>
      </c>
      <c r="O420" s="5">
        <f>IF(M420="","",M420*J420)</f>
        <v/>
      </c>
      <c r="P420" s="5">
        <f>IF(N420="","",N420*J420)</f>
        <v/>
      </c>
      <c r="Q420" s="7" t="n">
        <v>0.0367</v>
      </c>
      <c r="R420" s="8" t="n">
        <v>17.035572</v>
      </c>
      <c r="S420" s="4" t="inlineStr">
        <is>
          <t>IBEX35</t>
        </is>
      </c>
      <c r="T420" s="9" t="inlineStr">
        <is>
          <t>SI</t>
        </is>
      </c>
      <c r="U420" s="9" t="inlineStr"/>
      <c r="V420" s="10">
        <f>Umbrales!$B$9*(K420/1000)^Umbrales!$B$10</f>
        <v/>
      </c>
    </row>
    <row r="421">
      <c r="A421" s="4" t="inlineStr">
        <is>
          <t>CCEP.L</t>
        </is>
      </c>
      <c r="B421" s="4" t="inlineStr">
        <is>
          <t>Coca-Cola Europacific Partners PLC</t>
        </is>
      </c>
      <c r="C421" s="4" t="inlineStr">
        <is>
          <t>United Kingdom</t>
        </is>
      </c>
      <c r="D421" s="4" t="inlineStr">
        <is>
          <t>GB</t>
        </is>
      </c>
      <c r="E421" s="4" t="inlineStr">
        <is>
          <t>Consumo básico</t>
        </is>
      </c>
      <c r="F421" s="4" t="inlineStr">
        <is>
          <t>Beverages - Non-Alcoholic</t>
        </is>
      </c>
      <c r="G421" s="4" t="inlineStr">
        <is>
          <t>LSE</t>
        </is>
      </c>
      <c r="H421" s="4" t="inlineStr">
        <is>
          <t>GBP</t>
        </is>
      </c>
      <c r="I421" s="5" t="n">
        <v>36628.348928</v>
      </c>
      <c r="J421" s="6">
        <f>INDEX(FX!$B:$B,MATCH(H421,FX!$A:$A,0))</f>
        <v/>
      </c>
      <c r="K421" s="5">
        <f>I421*J421</f>
        <v/>
      </c>
      <c r="L421" s="4">
        <f>IF(U421&lt;&gt;"",U421,IF(K421&gt;=Umbrales!$B$2,"Legendaria",IF(K421&gt;=Umbrales!$B$3,"Épica",IF(K421&gt;=Umbrales!$B$4,"Rara",IF(K421&gt;=Umbrales!$B$5,"Poco común","Común")))))</f>
        <v/>
      </c>
      <c r="M421" s="5" t="n">
        <v>21351.000064</v>
      </c>
      <c r="N421" s="5" t="n">
        <v>1996</v>
      </c>
      <c r="O421" s="5">
        <f>IF(M421="","",M421*J421)</f>
        <v/>
      </c>
      <c r="P421" s="5">
        <f>IF(N421="","",N421*J421)</f>
        <v/>
      </c>
      <c r="Q421" s="7" t="n">
        <v>0.0226</v>
      </c>
      <c r="R421" s="8" t="n">
        <v>21.593264</v>
      </c>
      <c r="S421" s="4" t="inlineStr">
        <is>
          <t>FTSE100</t>
        </is>
      </c>
      <c r="T421" s="9" t="inlineStr">
        <is>
          <t>SI</t>
        </is>
      </c>
      <c r="U421" s="9" t="inlineStr"/>
      <c r="V421" s="10">
        <f>Umbrales!$B$9*(K421/1000)^Umbrales!$B$10</f>
        <v/>
      </c>
    </row>
    <row r="422">
      <c r="A422" s="4" t="inlineStr">
        <is>
          <t>GALD.SW</t>
        </is>
      </c>
      <c r="B422" s="4" t="inlineStr">
        <is>
          <t>Galderma Group AG</t>
        </is>
      </c>
      <c r="C422" s="4" t="inlineStr">
        <is>
          <t>Switzerland</t>
        </is>
      </c>
      <c r="D422" s="4" t="inlineStr">
        <is>
          <t>CH</t>
        </is>
      </c>
      <c r="E422" s="4" t="inlineStr">
        <is>
          <t>Salud</t>
        </is>
      </c>
      <c r="F422" s="4" t="inlineStr">
        <is>
          <t>Drug Manufacturers - Specialty &amp; Generic</t>
        </is>
      </c>
      <c r="G422" s="4" t="inlineStr">
        <is>
          <t>EBS</t>
        </is>
      </c>
      <c r="H422" s="4" t="inlineStr">
        <is>
          <t>CHF</t>
        </is>
      </c>
      <c r="I422" s="5" t="n">
        <v>40120.160256</v>
      </c>
      <c r="J422" s="6">
        <f>INDEX(FX!$B:$B,MATCH(H422,FX!$A:$A,0))</f>
        <v/>
      </c>
      <c r="K422" s="5">
        <f>I422*J422</f>
        <v/>
      </c>
      <c r="L422" s="4">
        <f>IF(U422&lt;&gt;"",U422,IF(K422&gt;=Umbrales!$B$2,"Legendaria",IF(K422&gt;=Umbrales!$B$3,"Épica",IF(K422&gt;=Umbrales!$B$4,"Rara",IF(K422&gt;=Umbrales!$B$5,"Poco común","Común")))))</f>
        <v/>
      </c>
      <c r="M422" s="5" t="n">
        <v>5922.999808</v>
      </c>
      <c r="N422" s="5" t="n">
        <v>863</v>
      </c>
      <c r="O422" s="5">
        <f>IF(M422="","",M422*J422)</f>
        <v/>
      </c>
      <c r="P422" s="5">
        <f>IF(N422="","",N422*J422)</f>
        <v/>
      </c>
      <c r="Q422" s="7" t="n">
        <v>0.002</v>
      </c>
      <c r="R422" s="8" t="n">
        <v>59.327587</v>
      </c>
      <c r="S422" s="4" t="inlineStr">
        <is>
          <t>SMI</t>
        </is>
      </c>
      <c r="T422" s="9" t="inlineStr">
        <is>
          <t>SI</t>
        </is>
      </c>
      <c r="U422" s="9" t="inlineStr"/>
      <c r="V422" s="10">
        <f>Umbrales!$B$9*(K422/1000)^Umbrales!$B$10</f>
        <v/>
      </c>
    </row>
    <row r="423">
      <c r="A423" s="4" t="inlineStr">
        <is>
          <t>PYPL</t>
        </is>
      </c>
      <c r="B423" s="4" t="inlineStr">
        <is>
          <t>PayPal Holdings, Inc.</t>
        </is>
      </c>
      <c r="C423" s="4" t="inlineStr">
        <is>
          <t>United States</t>
        </is>
      </c>
      <c r="D423" s="4" t="inlineStr">
        <is>
          <t>US</t>
        </is>
      </c>
      <c r="E423" s="4" t="inlineStr">
        <is>
          <t>Finanzas</t>
        </is>
      </c>
      <c r="F423" s="4" t="inlineStr">
        <is>
          <t>Credit Services</t>
        </is>
      </c>
      <c r="G423" s="4" t="inlineStr">
        <is>
          <t>NMS</t>
        </is>
      </c>
      <c r="H423" s="4" t="inlineStr">
        <is>
          <t>USD</t>
        </is>
      </c>
      <c r="I423" s="5" t="n">
        <v>48358.199296</v>
      </c>
      <c r="J423" s="6">
        <f>INDEX(FX!$B:$B,MATCH(H423,FX!$A:$A,0))</f>
        <v/>
      </c>
      <c r="K423" s="5">
        <f>I423*J423</f>
        <v/>
      </c>
      <c r="L423" s="4">
        <f>IF(U423&lt;&gt;"",U423,IF(K423&gt;=Umbrales!$B$2,"Legendaria",IF(K423&gt;=Umbrales!$B$3,"Épica",IF(K423&gt;=Umbrales!$B$4,"Rara",IF(K423&gt;=Umbrales!$B$5,"Poco común","Común")))))</f>
        <v/>
      </c>
      <c r="M423" s="5" t="n">
        <v>34127.998976</v>
      </c>
      <c r="N423" s="5" t="n">
        <v>4902.000128</v>
      </c>
      <c r="O423" s="5">
        <f>IF(M423="","",M423*J423)</f>
        <v/>
      </c>
      <c r="P423" s="5">
        <f>IF(N423="","",N423*J423)</f>
        <v/>
      </c>
      <c r="Q423" s="7" t="n">
        <v>0.01</v>
      </c>
      <c r="R423" s="8" t="n">
        <v>10.604915</v>
      </c>
      <c r="S423" s="4" t="inlineStr">
        <is>
          <t>NASDAQ100, SP500</t>
        </is>
      </c>
      <c r="T423" s="9" t="inlineStr">
        <is>
          <t>SI</t>
        </is>
      </c>
      <c r="U423" s="9" t="inlineStr"/>
      <c r="V423" s="10">
        <f>Umbrales!$B$9*(K423/1000)^Umbrales!$B$10</f>
        <v/>
      </c>
    </row>
    <row r="424">
      <c r="A424" s="4" t="inlineStr">
        <is>
          <t>CSU.TO</t>
        </is>
      </c>
      <c r="B424" s="4" t="inlineStr">
        <is>
          <t>Constellation Software Inc.</t>
        </is>
      </c>
      <c r="C424" s="4" t="inlineStr">
        <is>
          <t>Canada</t>
        </is>
      </c>
      <c r="D424" s="4" t="inlineStr">
        <is>
          <t>CA</t>
        </is>
      </c>
      <c r="E424" s="4" t="inlineStr">
        <is>
          <t>Tecnología</t>
        </is>
      </c>
      <c r="F424" s="4" t="inlineStr">
        <is>
          <t>Software - Application</t>
        </is>
      </c>
      <c r="G424" s="4" t="inlineStr">
        <is>
          <t>TOR</t>
        </is>
      </c>
      <c r="H424" s="4" t="inlineStr">
        <is>
          <t>CAD</t>
        </is>
      </c>
      <c r="I424" s="5" t="n">
        <v>68608.638976</v>
      </c>
      <c r="J424" s="6">
        <f>INDEX(FX!$B:$B,MATCH(H424,FX!$A:$A,0))</f>
        <v/>
      </c>
      <c r="K424" s="5">
        <f>I424*J424</f>
        <v/>
      </c>
      <c r="L424" s="4">
        <f>IF(U424&lt;&gt;"",U424,IF(K424&gt;=Umbrales!$B$2,"Legendaria",IF(K424&gt;=Umbrales!$B$3,"Épica",IF(K424&gt;=Umbrales!$B$4,"Rara",IF(K424&gt;=Umbrales!$B$5,"Poco común","Común")))))</f>
        <v/>
      </c>
      <c r="M424" s="5" t="n">
        <v>12641.000448</v>
      </c>
      <c r="N424" s="5" t="n">
        <v>961</v>
      </c>
      <c r="O424" s="5">
        <f>IF(M424="","",M424*J424)</f>
        <v/>
      </c>
      <c r="P424" s="5">
        <f>IF(N424="","",N424*J424)</f>
        <v/>
      </c>
      <c r="Q424" s="7" t="n">
        <v>0.0018</v>
      </c>
      <c r="R424" s="8" t="n">
        <v>50.91288</v>
      </c>
      <c r="S424" s="4" t="inlineStr">
        <is>
          <t>TSX60</t>
        </is>
      </c>
      <c r="T424" s="9" t="inlineStr">
        <is>
          <t>SI</t>
        </is>
      </c>
      <c r="U424" s="9" t="inlineStr"/>
      <c r="V424" s="10">
        <f>Umbrales!$B$9*(K424/1000)^Umbrales!$B$10</f>
        <v/>
      </c>
    </row>
    <row r="425">
      <c r="A425" s="4" t="inlineStr">
        <is>
          <t>ADSK</t>
        </is>
      </c>
      <c r="B425" s="4" t="inlineStr">
        <is>
          <t>Autodesk, Inc.</t>
        </is>
      </c>
      <c r="C425" s="4" t="inlineStr">
        <is>
          <t>United States</t>
        </is>
      </c>
      <c r="D425" s="4" t="inlineStr">
        <is>
          <t>US</t>
        </is>
      </c>
      <c r="E425" s="4" t="inlineStr">
        <is>
          <t>Tecnología</t>
        </is>
      </c>
      <c r="F425" s="4" t="inlineStr">
        <is>
          <t>Software - Application</t>
        </is>
      </c>
      <c r="G425" s="4" t="inlineStr">
        <is>
          <t>NMS</t>
        </is>
      </c>
      <c r="H425" s="4" t="inlineStr">
        <is>
          <t>USD</t>
        </is>
      </c>
      <c r="I425" s="5" t="n">
        <v>48308.260864</v>
      </c>
      <c r="J425" s="6">
        <f>INDEX(FX!$B:$B,MATCH(H425,FX!$A:$A,0))</f>
        <v/>
      </c>
      <c r="K425" s="5">
        <f>I425*J425</f>
        <v/>
      </c>
      <c r="L425" s="4">
        <f>IF(U425&lt;&gt;"",U425,IF(K425&gt;=Umbrales!$B$2,"Legendaria",IF(K425&gt;=Umbrales!$B$3,"Épica",IF(K425&gt;=Umbrales!$B$4,"Rara",IF(K425&gt;=Umbrales!$B$5,"Poco común","Común")))))</f>
        <v/>
      </c>
      <c r="M425" s="5" t="n">
        <v>7790.000128</v>
      </c>
      <c r="N425" s="5" t="n">
        <v>1642</v>
      </c>
      <c r="O425" s="5">
        <f>IF(M425="","",M425*J425)</f>
        <v/>
      </c>
      <c r="P425" s="5">
        <f>IF(N425="","",N425*J425)</f>
        <v/>
      </c>
      <c r="Q425" s="7" t="n">
        <v>0</v>
      </c>
      <c r="R425" s="8" t="n">
        <v>29.979248</v>
      </c>
      <c r="S425" s="4" t="inlineStr">
        <is>
          <t>NASDAQ100, SP500</t>
        </is>
      </c>
      <c r="T425" s="9" t="inlineStr">
        <is>
          <t>SI</t>
        </is>
      </c>
      <c r="U425" s="9" t="inlineStr"/>
      <c r="V425" s="10">
        <f>Umbrales!$B$9*(K425/1000)^Umbrales!$B$10</f>
        <v/>
      </c>
    </row>
    <row r="426">
      <c r="A426" s="4" t="inlineStr">
        <is>
          <t>WAB</t>
        </is>
      </c>
      <c r="B426" s="4" t="inlineStr">
        <is>
          <t>Westinghouse Air Brake Technologies Corporation</t>
        </is>
      </c>
      <c r="C426" s="4" t="inlineStr">
        <is>
          <t>United States</t>
        </is>
      </c>
      <c r="D426" s="4" t="inlineStr">
        <is>
          <t>US</t>
        </is>
      </c>
      <c r="E426" s="4" t="inlineStr">
        <is>
          <t>Industria</t>
        </is>
      </c>
      <c r="F426" s="4" t="inlineStr">
        <is>
          <t>Railroads</t>
        </is>
      </c>
      <c r="G426" s="4" t="inlineStr">
        <is>
          <t>NYQ</t>
        </is>
      </c>
      <c r="H426" s="4" t="inlineStr">
        <is>
          <t>USD</t>
        </is>
      </c>
      <c r="I426" s="5" t="n">
        <v>48238.403584</v>
      </c>
      <c r="J426" s="6">
        <f>INDEX(FX!$B:$B,MATCH(H426,FX!$A:$A,0))</f>
        <v/>
      </c>
      <c r="K426" s="5">
        <f>I426*J426</f>
        <v/>
      </c>
      <c r="L426" s="4">
        <f>IF(U426&lt;&gt;"",U426,IF(K426&gt;=Umbrales!$B$2,"Legendaria",IF(K426&gt;=Umbrales!$B$3,"Épica",IF(K426&gt;=Umbrales!$B$4,"Rara",IF(K426&gt;=Umbrales!$B$5,"Poco común","Común")))))</f>
        <v/>
      </c>
      <c r="M426" s="5" t="n">
        <v>11980.000256</v>
      </c>
      <c r="N426" s="5" t="n">
        <v>1266</v>
      </c>
      <c r="O426" s="5">
        <f>IF(M426="","",M426*J426)</f>
        <v/>
      </c>
      <c r="P426" s="5">
        <f>IF(N426="","",N426*J426)</f>
        <v/>
      </c>
      <c r="Q426" s="7" t="n">
        <v>0.0043</v>
      </c>
      <c r="R426" s="8" t="n">
        <v>38.38508</v>
      </c>
      <c r="S426" s="4" t="inlineStr">
        <is>
          <t>SP500</t>
        </is>
      </c>
      <c r="T426" s="9" t="inlineStr">
        <is>
          <t>SI</t>
        </is>
      </c>
      <c r="U426" s="9" t="inlineStr"/>
      <c r="V426" s="10">
        <f>Umbrales!$B$9*(K426/1000)^Umbrales!$B$10</f>
        <v/>
      </c>
    </row>
    <row r="427">
      <c r="A427" s="4" t="inlineStr">
        <is>
          <t>F</t>
        </is>
      </c>
      <c r="B427" s="4" t="inlineStr">
        <is>
          <t>Ford Motor Company</t>
        </is>
      </c>
      <c r="C427" s="4" t="inlineStr">
        <is>
          <t>United States</t>
        </is>
      </c>
      <c r="D427" s="4" t="inlineStr">
        <is>
          <t>US</t>
        </is>
      </c>
      <c r="E427" s="4" t="inlineStr">
        <is>
          <t>Consumo cíclico</t>
        </is>
      </c>
      <c r="F427" s="4" t="inlineStr">
        <is>
          <t>Auto Manufacturers</t>
        </is>
      </c>
      <c r="G427" s="4" t="inlineStr">
        <is>
          <t>NYQ</t>
        </is>
      </c>
      <c r="H427" s="4" t="inlineStr">
        <is>
          <t>USD</t>
        </is>
      </c>
      <c r="I427" s="5" t="n">
        <v>48050.528256</v>
      </c>
      <c r="J427" s="6">
        <f>INDEX(FX!$B:$B,MATCH(H427,FX!$A:$A,0))</f>
        <v/>
      </c>
      <c r="K427" s="5">
        <f>I427*J427</f>
        <v/>
      </c>
      <c r="L427" s="4">
        <f>IF(U427&lt;&gt;"",U427,IF(K427&gt;=Umbrales!$B$2,"Legendaria",IF(K427&gt;=Umbrales!$B$3,"Épica",IF(K427&gt;=Umbrales!$B$4,"Rara",IF(K427&gt;=Umbrales!$B$5,"Poco común","Común")))))</f>
        <v/>
      </c>
      <c r="M427" s="5" t="n">
        <v>187972.993024</v>
      </c>
      <c r="N427" s="5" t="n">
        <v>-7395.999744</v>
      </c>
      <c r="O427" s="5">
        <f>IF(M427="","",M427*J427)</f>
        <v/>
      </c>
      <c r="P427" s="5">
        <f>IF(N427="","",N427*J427)</f>
        <v/>
      </c>
      <c r="Q427" s="7" t="n">
        <v>0.0496</v>
      </c>
      <c r="R427" s="8" t="n"/>
      <c r="S427" s="4" t="inlineStr">
        <is>
          <t>SP500</t>
        </is>
      </c>
      <c r="T427" s="9" t="inlineStr">
        <is>
          <t>SI</t>
        </is>
      </c>
      <c r="U427" s="9" t="inlineStr"/>
      <c r="V427" s="10">
        <f>Umbrales!$B$9*(K427/1000)^Umbrales!$B$10</f>
        <v/>
      </c>
    </row>
    <row r="428">
      <c r="A428" s="4" t="inlineStr">
        <is>
          <t>COHR</t>
        </is>
      </c>
      <c r="B428" s="4" t="inlineStr">
        <is>
          <t>Coherent Corp.</t>
        </is>
      </c>
      <c r="C428" s="4" t="inlineStr">
        <is>
          <t>United States</t>
        </is>
      </c>
      <c r="D428" s="4" t="inlineStr">
        <is>
          <t>US</t>
        </is>
      </c>
      <c r="E428" s="4" t="inlineStr">
        <is>
          <t>Tecnología</t>
        </is>
      </c>
      <c r="F428" s="4" t="inlineStr">
        <is>
          <t>Scientific &amp; Technical Instruments</t>
        </is>
      </c>
      <c r="G428" s="4" t="inlineStr">
        <is>
          <t>NYQ</t>
        </is>
      </c>
      <c r="H428" s="4" t="inlineStr">
        <is>
          <t>USD</t>
        </is>
      </c>
      <c r="I428" s="5" t="n">
        <v>47911.38304</v>
      </c>
      <c r="J428" s="6">
        <f>INDEX(FX!$B:$B,MATCH(H428,FX!$A:$A,0))</f>
        <v/>
      </c>
      <c r="K428" s="5">
        <f>I428*J428</f>
        <v/>
      </c>
      <c r="L428" s="4">
        <f>IF(U428&lt;&gt;"",U428,IF(K428&gt;=Umbrales!$B$2,"Legendaria",IF(K428&gt;=Umbrales!$B$3,"Épica",IF(K428&gt;=Umbrales!$B$4,"Rara",IF(K428&gt;=Umbrales!$B$5,"Poco común","Común")))))</f>
        <v/>
      </c>
      <c r="M428" s="5" t="n">
        <v>7118.180864</v>
      </c>
      <c r="N428" s="5" t="n">
        <v>769.896</v>
      </c>
      <c r="O428" s="5">
        <f>IF(M428="","",M428*J428)</f>
        <v/>
      </c>
      <c r="P428" s="5">
        <f>IF(N428="","",N428*J428)</f>
        <v/>
      </c>
      <c r="Q428" s="7" t="n">
        <v>0</v>
      </c>
      <c r="R428" s="8" t="n">
        <v>65.0508</v>
      </c>
      <c r="S428" s="4" t="inlineStr">
        <is>
          <t>SP500</t>
        </is>
      </c>
      <c r="T428" s="9" t="inlineStr">
        <is>
          <t>SI</t>
        </is>
      </c>
      <c r="U428" s="9" t="inlineStr"/>
      <c r="V428" s="10">
        <f>Umbrales!$B$9*(K428/1000)^Umbrales!$B$10</f>
        <v/>
      </c>
    </row>
    <row r="429">
      <c r="A429" s="4" t="inlineStr">
        <is>
          <t>VMRK</t>
        </is>
      </c>
      <c r="B429" s="4" t="inlineStr">
        <is>
          <t>Vivmark Residential</t>
        </is>
      </c>
      <c r="C429" s="4" t="inlineStr">
        <is>
          <t>United States</t>
        </is>
      </c>
      <c r="D429" s="4" t="inlineStr">
        <is>
          <t>US</t>
        </is>
      </c>
      <c r="E429" s="4" t="inlineStr">
        <is>
          <t>Inmobiliario</t>
        </is>
      </c>
      <c r="F429" s="4" t="inlineStr">
        <is>
          <t>REIT - Residential</t>
        </is>
      </c>
      <c r="G429" s="4" t="inlineStr">
        <is>
          <t>NYQ</t>
        </is>
      </c>
      <c r="H429" s="4" t="inlineStr">
        <is>
          <t>USD</t>
        </is>
      </c>
      <c r="I429" s="5" t="n">
        <v>47417.184256</v>
      </c>
      <c r="J429" s="6">
        <f>INDEX(FX!$B:$B,MATCH(H429,FX!$A:$A,0))</f>
        <v/>
      </c>
      <c r="K429" s="5">
        <f>I429*J429</f>
        <v/>
      </c>
      <c r="L429" s="4">
        <f>IF(U429&lt;&gt;"",U429,IF(K429&gt;=Umbrales!$B$2,"Legendaria",IF(K429&gt;=Umbrales!$B$3,"Épica",IF(K429&gt;=Umbrales!$B$4,"Rara",IF(K429&gt;=Umbrales!$B$5,"Poco común","Común")))))</f>
        <v/>
      </c>
      <c r="M429" s="5" t="n">
        <v>3089.94688</v>
      </c>
      <c r="N429" s="5" t="n">
        <v>1027.489024</v>
      </c>
      <c r="O429" s="5">
        <f>IF(M429="","",M429*J429)</f>
        <v/>
      </c>
      <c r="P429" s="5">
        <f>IF(N429="","",N429*J429)</f>
        <v/>
      </c>
      <c r="Q429" s="7" t="n">
        <v>0.0459</v>
      </c>
      <c r="R429" s="8" t="n">
        <v>23.660233</v>
      </c>
      <c r="S429" s="4" t="inlineStr">
        <is>
          <t>SP500</t>
        </is>
      </c>
      <c r="T429" s="9" t="inlineStr">
        <is>
          <t>SI</t>
        </is>
      </c>
      <c r="U429" s="9" t="inlineStr"/>
      <c r="V429" s="10">
        <f>Umbrales!$B$9*(K429/1000)^Umbrales!$B$10</f>
        <v/>
      </c>
    </row>
    <row r="430">
      <c r="A430" s="4" t="inlineStr">
        <is>
          <t>INFY.NS</t>
        </is>
      </c>
      <c r="B430" s="4" t="inlineStr">
        <is>
          <t>Infosys Limited</t>
        </is>
      </c>
      <c r="C430" s="4" t="inlineStr">
        <is>
          <t>India</t>
        </is>
      </c>
      <c r="D430" s="4" t="inlineStr">
        <is>
          <t>IN</t>
        </is>
      </c>
      <c r="E430" s="4" t="inlineStr">
        <is>
          <t>Tecnología</t>
        </is>
      </c>
      <c r="F430" s="4" t="inlineStr">
        <is>
          <t>Information Technology Services</t>
        </is>
      </c>
      <c r="G430" s="4" t="inlineStr">
        <is>
          <t>NSI</t>
        </is>
      </c>
      <c r="H430" s="4" t="inlineStr">
        <is>
          <t>INR</t>
        </is>
      </c>
      <c r="I430" s="5" t="n">
        <v>4505804.47232</v>
      </c>
      <c r="J430" s="6">
        <f>INDEX(FX!$B:$B,MATCH(H430,FX!$A:$A,0))</f>
        <v/>
      </c>
      <c r="K430" s="5">
        <f>I430*J430</f>
        <v/>
      </c>
      <c r="L430" s="4">
        <f>IF(U430&lt;&gt;"",U430,IF(K430&gt;=Umbrales!$B$2,"Legendaria",IF(K430&gt;=Umbrales!$B$3,"Épica",IF(K430&gt;=Umbrales!$B$4,"Rara",IF(K430&gt;=Umbrales!$B$5,"Poco común","Común")))))</f>
        <v/>
      </c>
      <c r="M430" s="5" t="n">
        <v>20298.999808</v>
      </c>
      <c r="N430" s="5" t="n">
        <v>3323.000064</v>
      </c>
      <c r="O430" s="5">
        <f>IF(M430="","",M430*J430)</f>
        <v/>
      </c>
      <c r="P430" s="5">
        <f>IF(N430="","",N430*J430)</f>
        <v/>
      </c>
      <c r="Q430" s="7" t="n">
        <v>0.046</v>
      </c>
      <c r="R430" s="8" t="n">
        <v>15.155993</v>
      </c>
      <c r="S430" s="4" t="inlineStr">
        <is>
          <t>ASIA_TOP, NIFTY50</t>
        </is>
      </c>
      <c r="T430" s="9" t="inlineStr">
        <is>
          <t>SI</t>
        </is>
      </c>
      <c r="U430" s="9" t="inlineStr"/>
      <c r="V430" s="10">
        <f>Umbrales!$B$9*(K430/1000)^Umbrales!$B$10</f>
        <v/>
      </c>
    </row>
    <row r="431">
      <c r="A431" s="4" t="inlineStr">
        <is>
          <t>TRI.TO</t>
        </is>
      </c>
      <c r="B431" s="4" t="inlineStr">
        <is>
          <t>Thomson Reuters Corporation</t>
        </is>
      </c>
      <c r="C431" s="4" t="inlineStr">
        <is>
          <t>Canada</t>
        </is>
      </c>
      <c r="D431" s="4" t="inlineStr">
        <is>
          <t>CA</t>
        </is>
      </c>
      <c r="E431" s="4" t="inlineStr">
        <is>
          <t>Industria</t>
        </is>
      </c>
      <c r="F431" s="4" t="inlineStr">
        <is>
          <t>Specialty Business Services</t>
        </is>
      </c>
      <c r="G431" s="4" t="inlineStr">
        <is>
          <t>TOR</t>
        </is>
      </c>
      <c r="H431" s="4" t="inlineStr">
        <is>
          <t>CAD</t>
        </is>
      </c>
      <c r="I431" s="5" t="n">
        <v>66950.33651199999</v>
      </c>
      <c r="J431" s="6">
        <f>INDEX(FX!$B:$B,MATCH(H431,FX!$A:$A,0))</f>
        <v/>
      </c>
      <c r="K431" s="5">
        <f>I431*J431</f>
        <v/>
      </c>
      <c r="L431" s="4">
        <f>IF(U431&lt;&gt;"",U431,IF(K431&gt;=Umbrales!$B$2,"Legendaria",IF(K431&gt;=Umbrales!$B$3,"Épica",IF(K431&gt;=Umbrales!$B$4,"Rara",IF(K431&gt;=Umbrales!$B$5,"Poco común","Común")))))</f>
        <v/>
      </c>
      <c r="M431" s="5" t="n">
        <v>7832</v>
      </c>
      <c r="N431" s="5" t="n">
        <v>1678</v>
      </c>
      <c r="O431" s="5">
        <f>IF(M431="","",M431*J431)</f>
        <v/>
      </c>
      <c r="P431" s="5">
        <f>IF(N431="","",N431*J431)</f>
        <v/>
      </c>
      <c r="Q431" s="7" t="n">
        <v>0.0242</v>
      </c>
      <c r="R431" s="8" t="n">
        <v>29.267044</v>
      </c>
      <c r="S431" s="4" t="inlineStr">
        <is>
          <t>TSX60</t>
        </is>
      </c>
      <c r="T431" s="9" t="inlineStr">
        <is>
          <t>SI</t>
        </is>
      </c>
      <c r="U431" s="9" t="inlineStr"/>
      <c r="V431" s="10">
        <f>Umbrales!$B$9*(K431/1000)^Umbrales!$B$10</f>
        <v/>
      </c>
    </row>
    <row r="432">
      <c r="A432" s="4" t="inlineStr">
        <is>
          <t>CCEP</t>
        </is>
      </c>
      <c r="B432" s="4" t="inlineStr">
        <is>
          <t>Coca-Cola Europacific Partners PLC</t>
        </is>
      </c>
      <c r="C432" s="4" t="inlineStr">
        <is>
          <t>United Kingdom</t>
        </is>
      </c>
      <c r="D432" s="4" t="inlineStr">
        <is>
          <t>GB</t>
        </is>
      </c>
      <c r="E432" s="4" t="inlineStr">
        <is>
          <t>Consumo básico</t>
        </is>
      </c>
      <c r="F432" s="4" t="inlineStr">
        <is>
          <t>Beverages - Non-Alcoholic</t>
        </is>
      </c>
      <c r="G432" s="4" t="inlineStr">
        <is>
          <t>NMS</t>
        </is>
      </c>
      <c r="H432" s="4" t="inlineStr">
        <is>
          <t>USD</t>
        </is>
      </c>
      <c r="I432" s="5" t="n">
        <v>47118.077952</v>
      </c>
      <c r="J432" s="6">
        <f>INDEX(FX!$B:$B,MATCH(H432,FX!$A:$A,0))</f>
        <v/>
      </c>
      <c r="K432" s="5">
        <f>I432*J432</f>
        <v/>
      </c>
      <c r="L432" s="4">
        <f>IF(U432&lt;&gt;"",U432,IF(K432&gt;=Umbrales!$B$2,"Legendaria",IF(K432&gt;=Umbrales!$B$3,"Épica",IF(K432&gt;=Umbrales!$B$4,"Rara",IF(K432&gt;=Umbrales!$B$5,"Poco común","Común")))))</f>
        <v/>
      </c>
      <c r="M432" s="5" t="n">
        <v>21351.000064</v>
      </c>
      <c r="N432" s="5" t="n">
        <v>1996</v>
      </c>
      <c r="O432" s="5">
        <f>IF(M432="","",M432*J432)</f>
        <v/>
      </c>
      <c r="P432" s="5">
        <f>IF(N432="","",N432*J432)</f>
        <v/>
      </c>
      <c r="Q432" s="7" t="n">
        <v>0.0228</v>
      </c>
      <c r="R432" s="8" t="n">
        <v>20.698843</v>
      </c>
      <c r="S432" s="4" t="inlineStr">
        <is>
          <t>NASDAQ100</t>
        </is>
      </c>
      <c r="T432" s="9" t="inlineStr">
        <is>
          <t>SI</t>
        </is>
      </c>
      <c r="U432" s="9" t="inlineStr"/>
      <c r="V432" s="10">
        <f>Umbrales!$B$9*(K432/1000)^Umbrales!$B$10</f>
        <v/>
      </c>
    </row>
    <row r="433">
      <c r="A433" s="4" t="inlineStr">
        <is>
          <t>MTS.MC</t>
        </is>
      </c>
      <c r="B433" s="4" t="inlineStr">
        <is>
          <t>ArcelorMittal S.A.</t>
        </is>
      </c>
      <c r="C433" s="4" t="inlineStr">
        <is>
          <t>Luxembourg</t>
        </is>
      </c>
      <c r="D433" s="4" t="inlineStr">
        <is>
          <t>LU</t>
        </is>
      </c>
      <c r="E433" s="4" t="inlineStr">
        <is>
          <t>Materiales</t>
        </is>
      </c>
      <c r="F433" s="4" t="inlineStr">
        <is>
          <t>Steel</t>
        </is>
      </c>
      <c r="G433" s="4" t="inlineStr">
        <is>
          <t>MCE</t>
        </is>
      </c>
      <c r="H433" s="4" t="inlineStr">
        <is>
          <t>EUR</t>
        </is>
      </c>
      <c r="I433" s="5" t="n">
        <v>42003.08736</v>
      </c>
      <c r="J433" s="6">
        <f>INDEX(FX!$B:$B,MATCH(H433,FX!$A:$A,0))</f>
        <v/>
      </c>
      <c r="K433" s="5">
        <f>I433*J433</f>
        <v/>
      </c>
      <c r="L433" s="4">
        <f>IF(U433&lt;&gt;"",U433,IF(K433&gt;=Umbrales!$B$2,"Legendaria",IF(K433&gt;=Umbrales!$B$3,"Épica",IF(K433&gt;=Umbrales!$B$4,"Rara",IF(K433&gt;=Umbrales!$B$5,"Poco común","Común")))))</f>
        <v/>
      </c>
      <c r="M433" s="5" t="n">
        <v>62846.001152</v>
      </c>
      <c r="N433" s="5" t="n">
        <v>1812</v>
      </c>
      <c r="O433" s="5">
        <f>IF(M433="","",M433*J433)</f>
        <v/>
      </c>
      <c r="P433" s="5">
        <f>IF(N433="","",N433*J433)</f>
        <v/>
      </c>
      <c r="Q433" s="7" t="n">
        <v>0.009599999999999999</v>
      </c>
      <c r="R433" s="8" t="n">
        <v>27.382353</v>
      </c>
      <c r="S433" s="4" t="inlineStr">
        <is>
          <t>IBEX35</t>
        </is>
      </c>
      <c r="T433" s="9" t="inlineStr">
        <is>
          <t>SI</t>
        </is>
      </c>
      <c r="U433" s="9" t="inlineStr"/>
      <c r="V433" s="10">
        <f>Umbrales!$B$9*(K433/1000)^Umbrales!$B$10</f>
        <v/>
      </c>
    </row>
    <row r="434">
      <c r="A434" s="4" t="inlineStr">
        <is>
          <t>0267.HK</t>
        </is>
      </c>
      <c r="B434" s="4" t="inlineStr">
        <is>
          <t>CITIC Limited</t>
        </is>
      </c>
      <c r="C434" s="4" t="inlineStr">
        <is>
          <t>Hong Kong</t>
        </is>
      </c>
      <c r="D434" s="4" t="inlineStr">
        <is>
          <t>HK</t>
        </is>
      </c>
      <c r="E434" s="4" t="inlineStr">
        <is>
          <t>Industria</t>
        </is>
      </c>
      <c r="F434" s="4" t="inlineStr">
        <is>
          <t>Conglomerates</t>
        </is>
      </c>
      <c r="G434" s="4" t="inlineStr">
        <is>
          <t>HKG</t>
        </is>
      </c>
      <c r="H434" s="4" t="inlineStr">
        <is>
          <t>HKD</t>
        </is>
      </c>
      <c r="I434" s="5" t="n">
        <v>369446.322176</v>
      </c>
      <c r="J434" s="6">
        <f>INDEX(FX!$B:$B,MATCH(H434,FX!$A:$A,0))</f>
        <v/>
      </c>
      <c r="K434" s="5">
        <f>I434*J434</f>
        <v/>
      </c>
      <c r="L434" s="4">
        <f>IF(U434&lt;&gt;"",U434,IF(K434&gt;=Umbrales!$B$2,"Legendaria",IF(K434&gt;=Umbrales!$B$3,"Épica",IF(K434&gt;=Umbrales!$B$4,"Rara",IF(K434&gt;=Umbrales!$B$5,"Poco común","Común")))))</f>
        <v/>
      </c>
      <c r="M434" s="5" t="n">
        <v>975847.0307839999</v>
      </c>
      <c r="N434" s="5" t="n">
        <v>61257.998336</v>
      </c>
      <c r="O434" s="5">
        <f>IF(M434="","",M434*J434)</f>
        <v/>
      </c>
      <c r="P434" s="5">
        <f>IF(N434="","",N434*J434)</f>
        <v/>
      </c>
      <c r="Q434" s="7" t="n">
        <v>0.0533</v>
      </c>
      <c r="R434" s="8" t="n">
        <v>5.4273505</v>
      </c>
      <c r="S434" s="4" t="inlineStr">
        <is>
          <t>HANGSENG</t>
        </is>
      </c>
      <c r="T434" s="9" t="inlineStr">
        <is>
          <t>SI</t>
        </is>
      </c>
      <c r="U434" s="9" t="inlineStr"/>
      <c r="V434" s="10">
        <f>Umbrales!$B$9*(K434/1000)^Umbrales!$B$10</f>
        <v/>
      </c>
    </row>
    <row r="435">
      <c r="A435" s="4" t="inlineStr">
        <is>
          <t>XEL</t>
        </is>
      </c>
      <c r="B435" s="4" t="inlineStr">
        <is>
          <t>Xcel Energy Inc.</t>
        </is>
      </c>
      <c r="C435" s="4" t="inlineStr">
        <is>
          <t>United States</t>
        </is>
      </c>
      <c r="D435" s="4" t="inlineStr">
        <is>
          <t>US</t>
        </is>
      </c>
      <c r="E435" s="4" t="inlineStr">
        <is>
          <t>Servicios públicos</t>
        </is>
      </c>
      <c r="F435" s="4" t="inlineStr">
        <is>
          <t>Utilities - Regulated Electric</t>
        </is>
      </c>
      <c r="G435" s="4" t="inlineStr">
        <is>
          <t>NMS</t>
        </is>
      </c>
      <c r="H435" s="4" t="inlineStr">
        <is>
          <t>USD</t>
        </is>
      </c>
      <c r="I435" s="5" t="n">
        <v>47072.44032</v>
      </c>
      <c r="J435" s="6">
        <f>INDEX(FX!$B:$B,MATCH(H435,FX!$A:$A,0))</f>
        <v/>
      </c>
      <c r="K435" s="5">
        <f>I435*J435</f>
        <v/>
      </c>
      <c r="L435" s="4">
        <f>IF(U435&lt;&gt;"",U435,IF(K435&gt;=Umbrales!$B$2,"Legendaria",IF(K435&gt;=Umbrales!$B$3,"Épica",IF(K435&gt;=Umbrales!$B$4,"Rara",IF(K435&gt;=Umbrales!$B$5,"Poco común","Común")))))</f>
        <v/>
      </c>
      <c r="M435" s="5" t="n">
        <v>14616.000512</v>
      </c>
      <c r="N435" s="5" t="n">
        <v>2232.999936</v>
      </c>
      <c r="O435" s="5">
        <f>IF(M435="","",M435*J435)</f>
        <v/>
      </c>
      <c r="P435" s="5">
        <f>IF(N435="","",N435*J435)</f>
        <v/>
      </c>
      <c r="Q435" s="7" t="n">
        <v>0.0318</v>
      </c>
      <c r="R435" s="8" t="n">
        <v>20.422764</v>
      </c>
      <c r="S435" s="4" t="inlineStr">
        <is>
          <t>NASDAQ100, SP500</t>
        </is>
      </c>
      <c r="T435" s="9" t="inlineStr">
        <is>
          <t>SI</t>
        </is>
      </c>
      <c r="U435" s="9" t="inlineStr"/>
      <c r="V435" s="10">
        <f>Umbrales!$B$9*(K435/1000)^Umbrales!$B$10</f>
        <v/>
      </c>
    </row>
    <row r="436">
      <c r="A436" s="4" t="inlineStr">
        <is>
          <t>MT.AS</t>
        </is>
      </c>
      <c r="B436" s="4" t="inlineStr">
        <is>
          <t>ArcelorMittal S.A.</t>
        </is>
      </c>
      <c r="C436" s="4" t="inlineStr">
        <is>
          <t>Luxembourg</t>
        </is>
      </c>
      <c r="D436" s="4" t="inlineStr">
        <is>
          <t>LU</t>
        </is>
      </c>
      <c r="E436" s="4" t="inlineStr">
        <is>
          <t>Materiales</t>
        </is>
      </c>
      <c r="F436" s="4" t="inlineStr">
        <is>
          <t>Steel</t>
        </is>
      </c>
      <c r="G436" s="4" t="inlineStr">
        <is>
          <t>AMS</t>
        </is>
      </c>
      <c r="H436" s="4" t="inlineStr">
        <is>
          <t>EUR</t>
        </is>
      </c>
      <c r="I436" s="5" t="n">
        <v>41897.816064</v>
      </c>
      <c r="J436" s="6">
        <f>INDEX(FX!$B:$B,MATCH(H436,FX!$A:$A,0))</f>
        <v/>
      </c>
      <c r="K436" s="5">
        <f>I436*J436</f>
        <v/>
      </c>
      <c r="L436" s="4">
        <f>IF(U436&lt;&gt;"",U436,IF(K436&gt;=Umbrales!$B$2,"Legendaria",IF(K436&gt;=Umbrales!$B$3,"Épica",IF(K436&gt;=Umbrales!$B$4,"Rara",IF(K436&gt;=Umbrales!$B$5,"Poco común","Común")))))</f>
        <v/>
      </c>
      <c r="M436" s="5" t="n">
        <v>62846.001152</v>
      </c>
      <c r="N436" s="5" t="n">
        <v>1812</v>
      </c>
      <c r="O436" s="5">
        <f>IF(M436="","",M436*J436)</f>
        <v/>
      </c>
      <c r="P436" s="5">
        <f>IF(N436="","",N436*J436)</f>
        <v/>
      </c>
      <c r="Q436" s="7" t="n">
        <v>0.0095</v>
      </c>
      <c r="R436" s="8" t="n">
        <v>27.448277</v>
      </c>
      <c r="S436" s="4" t="inlineStr">
        <is>
          <t>AEX</t>
        </is>
      </c>
      <c r="T436" s="9" t="inlineStr">
        <is>
          <t>SI</t>
        </is>
      </c>
      <c r="U436" s="9" t="inlineStr"/>
      <c r="V436" s="10">
        <f>Umbrales!$B$9*(K436/1000)^Umbrales!$B$10</f>
        <v/>
      </c>
    </row>
    <row r="437">
      <c r="A437" s="4" t="inlineStr">
        <is>
          <t>HINDUNILVR.NS</t>
        </is>
      </c>
      <c r="B437" s="4" t="inlineStr">
        <is>
          <t>Hindustan Unilever Limited</t>
        </is>
      </c>
      <c r="C437" s="4" t="inlineStr">
        <is>
          <t>India</t>
        </is>
      </c>
      <c r="D437" s="4" t="inlineStr">
        <is>
          <t>IN</t>
        </is>
      </c>
      <c r="E437" s="4" t="inlineStr">
        <is>
          <t>Consumo básico</t>
        </is>
      </c>
      <c r="F437" s="4" t="inlineStr">
        <is>
          <t>Household &amp; Personal Products</t>
        </is>
      </c>
      <c r="G437" s="4" t="inlineStr">
        <is>
          <t>NSI</t>
        </is>
      </c>
      <c r="H437" s="4" t="inlineStr">
        <is>
          <t>INR</t>
        </is>
      </c>
      <c r="I437" s="5" t="n">
        <v>4457409.544192</v>
      </c>
      <c r="J437" s="6">
        <f>INDEX(FX!$B:$B,MATCH(H437,FX!$A:$A,0))</f>
        <v/>
      </c>
      <c r="K437" s="5">
        <f>I437*J437</f>
        <v/>
      </c>
      <c r="L437" s="4">
        <f>IF(U437&lt;&gt;"",U437,IF(K437&gt;=Umbrales!$B$2,"Legendaria",IF(K437&gt;=Umbrales!$B$3,"Épica",IF(K437&gt;=Umbrales!$B$4,"Rara",IF(K437&gt;=Umbrales!$B$5,"Poco común","Común")))))</f>
        <v/>
      </c>
      <c r="M437" s="5" t="n">
        <v>660519.97696</v>
      </c>
      <c r="N437" s="5" t="n">
        <v>105770.000384</v>
      </c>
      <c r="O437" s="5">
        <f>IF(M437="","",M437*J437)</f>
        <v/>
      </c>
      <c r="P437" s="5">
        <f>IF(N437="","",N437*J437)</f>
        <v/>
      </c>
      <c r="Q437" s="7" t="n">
        <v>0.0232</v>
      </c>
      <c r="R437" s="8" t="n">
        <v>42.535877</v>
      </c>
      <c r="S437" s="4" t="inlineStr">
        <is>
          <t>NIFTY50</t>
        </is>
      </c>
      <c r="T437" s="9" t="inlineStr">
        <is>
          <t>SI</t>
        </is>
      </c>
      <c r="U437" s="9" t="inlineStr"/>
      <c r="V437" s="10">
        <f>Umbrales!$B$9*(K437/1000)^Umbrales!$B$10</f>
        <v/>
      </c>
    </row>
    <row r="438">
      <c r="A438" s="4" t="inlineStr">
        <is>
          <t>KOTAKBANK.NS</t>
        </is>
      </c>
      <c r="B438" s="4" t="inlineStr">
        <is>
          <t>Kotak Mahindra Bank Limited</t>
        </is>
      </c>
      <c r="C438" s="4" t="inlineStr">
        <is>
          <t>India</t>
        </is>
      </c>
      <c r="D438" s="4" t="inlineStr">
        <is>
          <t>IN</t>
        </is>
      </c>
      <c r="E438" s="4" t="inlineStr">
        <is>
          <t>Finanzas</t>
        </is>
      </c>
      <c r="F438" s="4" t="inlineStr">
        <is>
          <t>Banks - Regional</t>
        </is>
      </c>
      <c r="G438" s="4" t="inlineStr">
        <is>
          <t>NSI</t>
        </is>
      </c>
      <c r="H438" s="4" t="inlineStr">
        <is>
          <t>INR</t>
        </is>
      </c>
      <c r="I438" s="5" t="n">
        <v>4456153.874432</v>
      </c>
      <c r="J438" s="6">
        <f>INDEX(FX!$B:$B,MATCH(H438,FX!$A:$A,0))</f>
        <v/>
      </c>
      <c r="K438" s="5">
        <f>I438*J438</f>
        <v/>
      </c>
      <c r="L438" s="4">
        <f>IF(U438&lt;&gt;"",U438,IF(K438&gt;=Umbrales!$B$2,"Legendaria",IF(K438&gt;=Umbrales!$B$3,"Épica",IF(K438&gt;=Umbrales!$B$4,"Rara",IF(K438&gt;=Umbrales!$B$5,"Poco común","Común")))))</f>
        <v/>
      </c>
      <c r="M438" s="5" t="n">
        <v>712962.932736</v>
      </c>
      <c r="N438" s="5" t="n">
        <v>202961.731584</v>
      </c>
      <c r="O438" s="5">
        <f>IF(M438="","",M438*J438)</f>
        <v/>
      </c>
      <c r="P438" s="5">
        <f>IF(N438="","",N438*J438)</f>
        <v/>
      </c>
      <c r="Q438" s="7" t="n">
        <v>0.0015</v>
      </c>
      <c r="R438" s="8" t="n">
        <v>21.958334</v>
      </c>
      <c r="S438" s="4" t="inlineStr">
        <is>
          <t>NIFTY50</t>
        </is>
      </c>
      <c r="T438" s="9" t="inlineStr">
        <is>
          <t>SI</t>
        </is>
      </c>
      <c r="U438" s="9" t="inlineStr"/>
      <c r="V438" s="10">
        <f>Umbrales!$B$9*(K438/1000)^Umbrales!$B$10</f>
        <v/>
      </c>
    </row>
    <row r="439">
      <c r="A439" s="4" t="inlineStr">
        <is>
          <t>XYZ</t>
        </is>
      </c>
      <c r="B439" s="4" t="inlineStr">
        <is>
          <t>Block, Inc.</t>
        </is>
      </c>
      <c r="C439" s="4" t="inlineStr">
        <is>
          <t>United States</t>
        </is>
      </c>
      <c r="D439" s="4" t="inlineStr">
        <is>
          <t>US</t>
        </is>
      </c>
      <c r="E439" s="4" t="inlineStr">
        <is>
          <t>Tecnología</t>
        </is>
      </c>
      <c r="F439" s="4" t="inlineStr">
        <is>
          <t>Software - Infrastructure</t>
        </is>
      </c>
      <c r="G439" s="4" t="inlineStr">
        <is>
          <t>NYQ</t>
        </is>
      </c>
      <c r="H439" s="4" t="inlineStr">
        <is>
          <t>USD</t>
        </is>
      </c>
      <c r="I439" s="5" t="n">
        <v>46771.892224</v>
      </c>
      <c r="J439" s="6">
        <f>INDEX(FX!$B:$B,MATCH(H439,FX!$A:$A,0))</f>
        <v/>
      </c>
      <c r="K439" s="5">
        <f>I439*J439</f>
        <v/>
      </c>
      <c r="L439" s="4">
        <f>IF(U439&lt;&gt;"",U439,IF(K439&gt;=Umbrales!$B$2,"Legendaria",IF(K439&gt;=Umbrales!$B$3,"Épica",IF(K439&gt;=Umbrales!$B$4,"Rara",IF(K439&gt;=Umbrales!$B$5,"Poco común","Común")))))</f>
        <v/>
      </c>
      <c r="M439" s="5" t="n">
        <v>25041.963008</v>
      </c>
      <c r="N439" s="5" t="n">
        <v>357.142016</v>
      </c>
      <c r="O439" s="5">
        <f>IF(M439="","",M439*J439)</f>
        <v/>
      </c>
      <c r="P439" s="5">
        <f>IF(N439="","",N439*J439)</f>
        <v/>
      </c>
      <c r="Q439" s="7" t="n">
        <v>0</v>
      </c>
      <c r="R439" s="8" t="n">
        <v>139.01785</v>
      </c>
      <c r="S439" s="4" t="inlineStr">
        <is>
          <t>SP500</t>
        </is>
      </c>
      <c r="T439" s="9" t="inlineStr">
        <is>
          <t>SI</t>
        </is>
      </c>
      <c r="U439" s="9" t="inlineStr"/>
      <c r="V439" s="10">
        <f>Umbrales!$B$9*(K439/1000)^Umbrales!$B$10</f>
        <v/>
      </c>
    </row>
    <row r="440">
      <c r="A440" s="4" t="inlineStr">
        <is>
          <t>HEIA.AS</t>
        </is>
      </c>
      <c r="B440" s="4" t="inlineStr">
        <is>
          <t>Heineken N.V.</t>
        </is>
      </c>
      <c r="C440" s="4" t="inlineStr">
        <is>
          <t>Netherlands</t>
        </is>
      </c>
      <c r="D440" s="4" t="inlineStr">
        <is>
          <t>NL</t>
        </is>
      </c>
      <c r="E440" s="4" t="inlineStr">
        <is>
          <t>Consumo básico</t>
        </is>
      </c>
      <c r="F440" s="4" t="inlineStr">
        <is>
          <t>Beverages - Brewers</t>
        </is>
      </c>
      <c r="G440" s="4" t="inlineStr">
        <is>
          <t>AMS</t>
        </is>
      </c>
      <c r="H440" s="4" t="inlineStr">
        <is>
          <t>EUR</t>
        </is>
      </c>
      <c r="I440" s="5" t="n">
        <v>41542.684672</v>
      </c>
      <c r="J440" s="6">
        <f>INDEX(FX!$B:$B,MATCH(H440,FX!$A:$A,0))</f>
        <v/>
      </c>
      <c r="K440" s="5">
        <f>I440*J440</f>
        <v/>
      </c>
      <c r="L440" s="4">
        <f>IF(U440&lt;&gt;"",U440,IF(K440&gt;=Umbrales!$B$2,"Legendaria",IF(K440&gt;=Umbrales!$B$3,"Épica",IF(K440&gt;=Umbrales!$B$4,"Rara",IF(K440&gt;=Umbrales!$B$5,"Poco común","Común")))))</f>
        <v/>
      </c>
      <c r="M440" s="5" t="n">
        <v>29414.00064</v>
      </c>
      <c r="N440" s="5" t="n">
        <v>2265.999872</v>
      </c>
      <c r="O440" s="5">
        <f>IF(M440="","",M440*J440)</f>
        <v/>
      </c>
      <c r="P440" s="5">
        <f>IF(N440="","",N440*J440)</f>
        <v/>
      </c>
      <c r="Q440" s="7" t="n">
        <v>0.0265</v>
      </c>
      <c r="R440" s="8" t="n">
        <v>18.58911</v>
      </c>
      <c r="S440" s="4" t="inlineStr">
        <is>
          <t>AEX</t>
        </is>
      </c>
      <c r="T440" s="9" t="inlineStr">
        <is>
          <t>SI</t>
        </is>
      </c>
      <c r="U440" s="9" t="inlineStr"/>
      <c r="V440" s="10">
        <f>Umbrales!$B$9*(K440/1000)^Umbrales!$B$10</f>
        <v/>
      </c>
    </row>
    <row r="441">
      <c r="A441" s="4" t="inlineStr">
        <is>
          <t>ROK</t>
        </is>
      </c>
      <c r="B441" s="4" t="inlineStr">
        <is>
          <t>Rockwell Automation, Inc.</t>
        </is>
      </c>
      <c r="C441" s="4" t="inlineStr">
        <is>
          <t>United States</t>
        </is>
      </c>
      <c r="D441" s="4" t="inlineStr">
        <is>
          <t>US</t>
        </is>
      </c>
      <c r="E441" s="4" t="inlineStr">
        <is>
          <t>Industria</t>
        </is>
      </c>
      <c r="F441" s="4" t="inlineStr">
        <is>
          <t>Specialty Industrial Machinery</t>
        </is>
      </c>
      <c r="G441" s="4" t="inlineStr">
        <is>
          <t>NYQ</t>
        </is>
      </c>
      <c r="H441" s="4" t="inlineStr">
        <is>
          <t>USD</t>
        </is>
      </c>
      <c r="I441" s="5" t="n">
        <v>46511.624192</v>
      </c>
      <c r="J441" s="6">
        <f>INDEX(FX!$B:$B,MATCH(H441,FX!$A:$A,0))</f>
        <v/>
      </c>
      <c r="K441" s="5">
        <f>I441*J441</f>
        <v/>
      </c>
      <c r="L441" s="4">
        <f>IF(U441&lt;&gt;"",U441,IF(K441&gt;=Umbrales!$B$2,"Legendaria",IF(K441&gt;=Umbrales!$B$3,"Épica",IF(K441&gt;=Umbrales!$B$4,"Rara",IF(K441&gt;=Umbrales!$B$5,"Poco común","Común")))))</f>
        <v/>
      </c>
      <c r="M441" s="5" t="n">
        <v>8972.999680000001</v>
      </c>
      <c r="N441" s="5" t="n">
        <v>1199.000064</v>
      </c>
      <c r="O441" s="5">
        <f>IF(M441="","",M441*J441)</f>
        <v/>
      </c>
      <c r="P441" s="5">
        <f>IF(N441="","",N441*J441)</f>
        <v/>
      </c>
      <c r="Q441" s="7" t="n">
        <v>0.0128</v>
      </c>
      <c r="R441" s="8" t="n">
        <v>40.042065</v>
      </c>
      <c r="S441" s="4" t="inlineStr">
        <is>
          <t>SP500</t>
        </is>
      </c>
      <c r="T441" s="9" t="inlineStr">
        <is>
          <t>SI</t>
        </is>
      </c>
      <c r="U441" s="9" t="inlineStr"/>
      <c r="V441" s="10">
        <f>Umbrales!$B$9*(K441/1000)^Umbrales!$B$10</f>
        <v/>
      </c>
    </row>
    <row r="442">
      <c r="A442" s="4" t="inlineStr">
        <is>
          <t>RKT.L</t>
        </is>
      </c>
      <c r="B442" s="4" t="inlineStr">
        <is>
          <t>Reckitt Benckiser Group plc</t>
        </is>
      </c>
      <c r="C442" s="4" t="inlineStr">
        <is>
          <t>United Kingdom</t>
        </is>
      </c>
      <c r="D442" s="4" t="inlineStr">
        <is>
          <t>GB</t>
        </is>
      </c>
      <c r="E442" s="4" t="inlineStr">
        <is>
          <t>Consumo básico</t>
        </is>
      </c>
      <c r="F442" s="4" t="inlineStr">
        <is>
          <t>Household &amp; Personal Products</t>
        </is>
      </c>
      <c r="G442" s="4" t="inlineStr">
        <is>
          <t>LSE</t>
        </is>
      </c>
      <c r="H442" s="4" t="inlineStr">
        <is>
          <t>GBP</t>
        </is>
      </c>
      <c r="I442" s="5" t="n">
        <v>34887.757824</v>
      </c>
      <c r="J442" s="6">
        <f>INDEX(FX!$B:$B,MATCH(H442,FX!$A:$A,0))</f>
        <v/>
      </c>
      <c r="K442" s="5">
        <f>I442*J442</f>
        <v/>
      </c>
      <c r="L442" s="4">
        <f>IF(U442&lt;&gt;"",U442,IF(K442&gt;=Umbrales!$B$2,"Legendaria",IF(K442&gt;=Umbrales!$B$3,"Épica",IF(K442&gt;=Umbrales!$B$4,"Rara",IF(K442&gt;=Umbrales!$B$5,"Poco común","Común")))))</f>
        <v/>
      </c>
      <c r="M442" s="5" t="n">
        <v>13635.00032</v>
      </c>
      <c r="N442" s="5" t="n">
        <v>2888.999936</v>
      </c>
      <c r="O442" s="5">
        <f>IF(M442="","",M442*J442)</f>
        <v/>
      </c>
      <c r="P442" s="5">
        <f>IF(N442="","",N442*J442)</f>
        <v/>
      </c>
      <c r="Q442" s="7" t="n">
        <v>0.0412</v>
      </c>
      <c r="R442" s="8" t="n">
        <v>12.154914</v>
      </c>
      <c r="S442" s="4" t="inlineStr">
        <is>
          <t>FTSE100</t>
        </is>
      </c>
      <c r="T442" s="9" t="inlineStr">
        <is>
          <t>SI</t>
        </is>
      </c>
      <c r="U442" s="9" t="inlineStr"/>
      <c r="V442" s="10">
        <f>Umbrales!$B$9*(K442/1000)^Umbrales!$B$10</f>
        <v/>
      </c>
    </row>
    <row r="443">
      <c r="A443" s="4" t="inlineStr">
        <is>
          <t>FNV.TO</t>
        </is>
      </c>
      <c r="B443" s="4" t="inlineStr">
        <is>
          <t>Franco-Nevada Corporation</t>
        </is>
      </c>
      <c r="C443" s="4" t="inlineStr">
        <is>
          <t>Canada</t>
        </is>
      </c>
      <c r="D443" s="4" t="inlineStr">
        <is>
          <t>CA</t>
        </is>
      </c>
      <c r="E443" s="4" t="inlineStr">
        <is>
          <t>Materiales</t>
        </is>
      </c>
      <c r="F443" s="4" t="inlineStr">
        <is>
          <t>Gold</t>
        </is>
      </c>
      <c r="G443" s="4" t="inlineStr">
        <is>
          <t>TOR</t>
        </is>
      </c>
      <c r="H443" s="4" t="inlineStr">
        <is>
          <t>CAD</t>
        </is>
      </c>
      <c r="I443" s="5" t="n">
        <v>65462.882304</v>
      </c>
      <c r="J443" s="6">
        <f>INDEX(FX!$B:$B,MATCH(H443,FX!$A:$A,0))</f>
        <v/>
      </c>
      <c r="K443" s="5">
        <f>I443*J443</f>
        <v/>
      </c>
      <c r="L443" s="4">
        <f>IF(U443&lt;&gt;"",U443,IF(K443&gt;=Umbrales!$B$2,"Legendaria",IF(K443&gt;=Umbrales!$B$3,"Épica",IF(K443&gt;=Umbrales!$B$4,"Rara",IF(K443&gt;=Umbrales!$B$5,"Poco común","Común")))))</f>
        <v/>
      </c>
      <c r="M443" s="5" t="n">
        <v>2300.8</v>
      </c>
      <c r="N443" s="5" t="n">
        <v>1477.799936</v>
      </c>
      <c r="O443" s="5">
        <f>IF(M443="","",M443*J443)</f>
        <v/>
      </c>
      <c r="P443" s="5">
        <f>IF(N443="","",N443*J443)</f>
        <v/>
      </c>
      <c r="Q443" s="7" t="n">
        <v>0.0072</v>
      </c>
      <c r="R443" s="8" t="n">
        <v>32.11353</v>
      </c>
      <c r="S443" s="4" t="inlineStr">
        <is>
          <t>TSX60</t>
        </is>
      </c>
      <c r="T443" s="9" t="inlineStr">
        <is>
          <t>SI</t>
        </is>
      </c>
      <c r="U443" s="9" t="inlineStr"/>
      <c r="V443" s="10">
        <f>Umbrales!$B$9*(K443/1000)^Umbrales!$B$10</f>
        <v/>
      </c>
    </row>
    <row r="444">
      <c r="A444" s="4" t="inlineStr">
        <is>
          <t>COIN</t>
        </is>
      </c>
      <c r="B444" s="4" t="inlineStr">
        <is>
          <t>Coinbase Global, Inc.</t>
        </is>
      </c>
      <c r="C444" s="4" t="inlineStr">
        <is>
          <t>United States</t>
        </is>
      </c>
      <c r="D444" s="4" t="inlineStr">
        <is>
          <t>US</t>
        </is>
      </c>
      <c r="E444" s="4" t="inlineStr">
        <is>
          <t>Finanzas</t>
        </is>
      </c>
      <c r="F444" s="4" t="inlineStr">
        <is>
          <t>Financial Data &amp; Stock Exchanges</t>
        </is>
      </c>
      <c r="G444" s="4" t="inlineStr">
        <is>
          <t>NMS</t>
        </is>
      </c>
      <c r="H444" s="4" t="inlineStr">
        <is>
          <t>USD</t>
        </is>
      </c>
      <c r="I444" s="5" t="n">
        <v>45953.6384</v>
      </c>
      <c r="J444" s="6">
        <f>INDEX(FX!$B:$B,MATCH(H444,FX!$A:$A,0))</f>
        <v/>
      </c>
      <c r="K444" s="5">
        <f>I444*J444</f>
        <v/>
      </c>
      <c r="L444" s="4">
        <f>IF(U444&lt;&gt;"",U444,IF(K444&gt;=Umbrales!$B$2,"Legendaria",IF(K444&gt;=Umbrales!$B$3,"Épica",IF(K444&gt;=Umbrales!$B$4,"Rara",IF(K444&gt;=Umbrales!$B$5,"Poco común","Común")))))</f>
        <v/>
      </c>
      <c r="M444" s="5" t="n">
        <v>6043.75296</v>
      </c>
      <c r="N444" s="5" t="n">
        <v>-987.766016</v>
      </c>
      <c r="O444" s="5">
        <f>IF(M444="","",M444*J444)</f>
        <v/>
      </c>
      <c r="P444" s="5">
        <f>IF(N444="","",N444*J444)</f>
        <v/>
      </c>
      <c r="Q444" s="7" t="n">
        <v>0</v>
      </c>
      <c r="R444" s="8" t="n"/>
      <c r="S444" s="4" t="inlineStr">
        <is>
          <t>SP500</t>
        </is>
      </c>
      <c r="T444" s="9" t="inlineStr">
        <is>
          <t>SI</t>
        </is>
      </c>
      <c r="U444" s="9" t="inlineStr"/>
      <c r="V444" s="10">
        <f>Umbrales!$B$9*(K444/1000)^Umbrales!$B$10</f>
        <v/>
      </c>
    </row>
    <row r="445">
      <c r="A445" s="4" t="inlineStr">
        <is>
          <t>CBK.DE</t>
        </is>
      </c>
      <c r="B445" s="4" t="inlineStr">
        <is>
          <t>Commerzbank AG</t>
        </is>
      </c>
      <c r="C445" s="4" t="inlineStr">
        <is>
          <t>Germany</t>
        </is>
      </c>
      <c r="D445" s="4" t="inlineStr">
        <is>
          <t>DE</t>
        </is>
      </c>
      <c r="E445" s="4" t="inlineStr">
        <is>
          <t>Finanzas</t>
        </is>
      </c>
      <c r="F445" s="4" t="inlineStr">
        <is>
          <t>Banks - Regional</t>
        </is>
      </c>
      <c r="G445" s="4" t="inlineStr">
        <is>
          <t>GER</t>
        </is>
      </c>
      <c r="H445" s="4" t="inlineStr">
        <is>
          <t>EUR</t>
        </is>
      </c>
      <c r="I445" s="5" t="n">
        <v>40974.913536</v>
      </c>
      <c r="J445" s="6">
        <f>INDEX(FX!$B:$B,MATCH(H445,FX!$A:$A,0))</f>
        <v/>
      </c>
      <c r="K445" s="5">
        <f>I445*J445</f>
        <v/>
      </c>
      <c r="L445" s="4">
        <f>IF(U445&lt;&gt;"",U445,IF(K445&gt;=Umbrales!$B$2,"Legendaria",IF(K445&gt;=Umbrales!$B$3,"Épica",IF(K445&gt;=Umbrales!$B$4,"Rara",IF(K445&gt;=Umbrales!$B$5,"Poco común","Común")))))</f>
        <v/>
      </c>
      <c r="M445" s="5" t="n">
        <v>11882.999808</v>
      </c>
      <c r="N445" s="5" t="n">
        <v>2868</v>
      </c>
      <c r="O445" s="5">
        <f>IF(M445="","",M445*J445)</f>
        <v/>
      </c>
      <c r="P445" s="5">
        <f>IF(N445="","",N445*J445)</f>
        <v/>
      </c>
      <c r="Q445" s="7" t="n">
        <v>0.0285</v>
      </c>
      <c r="R445" s="8" t="n">
        <v>14.524905</v>
      </c>
      <c r="S445" s="4" t="inlineStr">
        <is>
          <t>DAX40</t>
        </is>
      </c>
      <c r="T445" s="9" t="inlineStr">
        <is>
          <t>SI</t>
        </is>
      </c>
      <c r="U445" s="9" t="inlineStr"/>
      <c r="V445" s="10">
        <f>Umbrales!$B$9*(K445/1000)^Umbrales!$B$10</f>
        <v/>
      </c>
    </row>
    <row r="446">
      <c r="A446" s="4" t="inlineStr">
        <is>
          <t>TRI</t>
        </is>
      </c>
      <c r="B446" s="4" t="inlineStr">
        <is>
          <t>Thomson Reuters Corporation</t>
        </is>
      </c>
      <c r="C446" s="4" t="inlineStr">
        <is>
          <t>Canada</t>
        </is>
      </c>
      <c r="D446" s="4" t="inlineStr">
        <is>
          <t>CA</t>
        </is>
      </c>
      <c r="E446" s="4" t="inlineStr">
        <is>
          <t>Industria</t>
        </is>
      </c>
      <c r="F446" s="4" t="inlineStr">
        <is>
          <t>Specialty Business Services</t>
        </is>
      </c>
      <c r="G446" s="4" t="inlineStr">
        <is>
          <t>NMS</t>
        </is>
      </c>
      <c r="H446" s="4" t="inlineStr">
        <is>
          <t>USD</t>
        </is>
      </c>
      <c r="I446" s="5" t="n">
        <v>45664.698368</v>
      </c>
      <c r="J446" s="6">
        <f>INDEX(FX!$B:$B,MATCH(H446,FX!$A:$A,0))</f>
        <v/>
      </c>
      <c r="K446" s="5">
        <f>I446*J446</f>
        <v/>
      </c>
      <c r="L446" s="4">
        <f>IF(U446&lt;&gt;"",U446,IF(K446&gt;=Umbrales!$B$2,"Legendaria",IF(K446&gt;=Umbrales!$B$3,"Épica",IF(K446&gt;=Umbrales!$B$4,"Rara",IF(K446&gt;=Umbrales!$B$5,"Poco común","Común")))))</f>
        <v/>
      </c>
      <c r="M446" s="5" t="n">
        <v>7832</v>
      </c>
      <c r="N446" s="5" t="n">
        <v>1678</v>
      </c>
      <c r="O446" s="5">
        <f>IF(M446="","",M446*J446)</f>
        <v/>
      </c>
      <c r="P446" s="5">
        <f>IF(N446="","",N446*J446)</f>
        <v/>
      </c>
      <c r="Q446" s="7" t="n">
        <v>0.0249</v>
      </c>
      <c r="R446" s="8" t="n">
        <v>27.591623</v>
      </c>
      <c r="S446" s="4" t="inlineStr">
        <is>
          <t>NASDAQ100</t>
        </is>
      </c>
      <c r="T446" s="9" t="inlineStr">
        <is>
          <t>SI</t>
        </is>
      </c>
      <c r="U446" s="9" t="inlineStr"/>
      <c r="V446" s="10">
        <f>Umbrales!$B$9*(K446/1000)^Umbrales!$B$10</f>
        <v/>
      </c>
    </row>
    <row r="447">
      <c r="A447" s="4" t="inlineStr">
        <is>
          <t>FITB</t>
        </is>
      </c>
      <c r="B447" s="4" t="inlineStr">
        <is>
          <t>Fifth Third Bancorp</t>
        </is>
      </c>
      <c r="C447" s="4" t="inlineStr">
        <is>
          <t>United States</t>
        </is>
      </c>
      <c r="D447" s="4" t="inlineStr">
        <is>
          <t>US</t>
        </is>
      </c>
      <c r="E447" s="4" t="inlineStr">
        <is>
          <t>Finanzas</t>
        </is>
      </c>
      <c r="F447" s="4" t="inlineStr">
        <is>
          <t>Banks - Regional</t>
        </is>
      </c>
      <c r="G447" s="4" t="inlineStr">
        <is>
          <t>NYQ</t>
        </is>
      </c>
      <c r="H447" s="4" t="inlineStr">
        <is>
          <t>USD</t>
        </is>
      </c>
      <c r="I447" s="5" t="n">
        <v>45591.556096</v>
      </c>
      <c r="J447" s="6">
        <f>INDEX(FX!$B:$B,MATCH(H447,FX!$A:$A,0))</f>
        <v/>
      </c>
      <c r="K447" s="5">
        <f>I447*J447</f>
        <v/>
      </c>
      <c r="L447" s="4">
        <f>IF(U447&lt;&gt;"",U447,IF(K447&gt;=Umbrales!$B$2,"Legendaria",IF(K447&gt;=Umbrales!$B$3,"Épica",IF(K447&gt;=Umbrales!$B$4,"Rara",IF(K447&gt;=Umbrales!$B$5,"Poco común","Común")))))</f>
        <v/>
      </c>
      <c r="M447" s="5" t="n">
        <v>10094.999552</v>
      </c>
      <c r="N447" s="5" t="n">
        <v>2198.000128</v>
      </c>
      <c r="O447" s="5">
        <f>IF(M447="","",M447*J447)</f>
        <v/>
      </c>
      <c r="P447" s="5">
        <f>IF(N447="","",N447*J447)</f>
        <v/>
      </c>
      <c r="Q447" s="7" t="n">
        <v>0.0335</v>
      </c>
      <c r="R447" s="8" t="n">
        <v>17.105442</v>
      </c>
      <c r="S447" s="4" t="inlineStr">
        <is>
          <t>SP500</t>
        </is>
      </c>
      <c r="T447" s="9" t="inlineStr">
        <is>
          <t>SI</t>
        </is>
      </c>
      <c r="U447" s="9" t="inlineStr"/>
      <c r="V447" s="10">
        <f>Umbrales!$B$9*(K447/1000)^Umbrales!$B$10</f>
        <v/>
      </c>
    </row>
    <row r="448">
      <c r="A448" s="4" t="inlineStr">
        <is>
          <t>WDAY</t>
        </is>
      </c>
      <c r="B448" s="4" t="inlineStr">
        <is>
          <t>Workday, Inc.</t>
        </is>
      </c>
      <c r="C448" s="4" t="inlineStr">
        <is>
          <t>United States</t>
        </is>
      </c>
      <c r="D448" s="4" t="inlineStr">
        <is>
          <t>US</t>
        </is>
      </c>
      <c r="E448" s="4" t="inlineStr">
        <is>
          <t>Tecnología</t>
        </is>
      </c>
      <c r="F448" s="4" t="inlineStr">
        <is>
          <t>Software - Application</t>
        </is>
      </c>
      <c r="G448" s="4" t="inlineStr">
        <is>
          <t>NMS</t>
        </is>
      </c>
      <c r="H448" s="4" t="inlineStr">
        <is>
          <t>USD</t>
        </is>
      </c>
      <c r="I448" s="5" t="n">
        <v>45493.571584</v>
      </c>
      <c r="J448" s="6">
        <f>INDEX(FX!$B:$B,MATCH(H448,FX!$A:$A,0))</f>
        <v/>
      </c>
      <c r="K448" s="5">
        <f>I448*J448</f>
        <v/>
      </c>
      <c r="L448" s="4">
        <f>IF(U448&lt;&gt;"",U448,IF(K448&gt;=Umbrales!$B$2,"Legendaria",IF(K448&gt;=Umbrales!$B$3,"Épica",IF(K448&gt;=Umbrales!$B$4,"Rara",IF(K448&gt;=Umbrales!$B$5,"Poco común","Común")))))</f>
        <v/>
      </c>
      <c r="M448" s="5" t="n">
        <v>10154.999808</v>
      </c>
      <c r="N448" s="5" t="n">
        <v>1251.000064</v>
      </c>
      <c r="O448" s="5">
        <f>IF(M448="","",M448*J448)</f>
        <v/>
      </c>
      <c r="P448" s="5">
        <f>IF(N448="","",N448*J448)</f>
        <v/>
      </c>
      <c r="Q448" s="7" t="n">
        <v>0</v>
      </c>
      <c r="R448" s="8" t="n">
        <v>38.44603</v>
      </c>
      <c r="S448" s="4" t="inlineStr">
        <is>
          <t>NASDAQ100, SP500</t>
        </is>
      </c>
      <c r="T448" s="9" t="inlineStr">
        <is>
          <t>SI</t>
        </is>
      </c>
      <c r="U448" s="9" t="inlineStr"/>
      <c r="V448" s="10">
        <f>Umbrales!$B$9*(K448/1000)^Umbrales!$B$10</f>
        <v/>
      </c>
    </row>
    <row r="449">
      <c r="A449" s="4" t="inlineStr">
        <is>
          <t>STT</t>
        </is>
      </c>
      <c r="B449" s="4" t="inlineStr">
        <is>
          <t>State Street Corporation</t>
        </is>
      </c>
      <c r="C449" s="4" t="inlineStr">
        <is>
          <t>United States</t>
        </is>
      </c>
      <c r="D449" s="4" t="inlineStr">
        <is>
          <t>US</t>
        </is>
      </c>
      <c r="E449" s="4" t="inlineStr">
        <is>
          <t>Finanzas</t>
        </is>
      </c>
      <c r="F449" s="4" t="inlineStr">
        <is>
          <t>Asset Management</t>
        </is>
      </c>
      <c r="G449" s="4" t="inlineStr">
        <is>
          <t>NYQ</t>
        </is>
      </c>
      <c r="H449" s="4" t="inlineStr">
        <is>
          <t>USD</t>
        </is>
      </c>
      <c r="I449" s="5" t="n">
        <v>45342.273536</v>
      </c>
      <c r="J449" s="6">
        <f>INDEX(FX!$B:$B,MATCH(H449,FX!$A:$A,0))</f>
        <v/>
      </c>
      <c r="K449" s="5">
        <f>I449*J449</f>
        <v/>
      </c>
      <c r="L449" s="4">
        <f>IF(U449&lt;&gt;"",U449,IF(K449&gt;=Umbrales!$B$2,"Legendaria",IF(K449&gt;=Umbrales!$B$3,"Épica",IF(K449&gt;=Umbrales!$B$4,"Rara",IF(K449&gt;=Umbrales!$B$5,"Poco común","Común")))))</f>
        <v/>
      </c>
      <c r="M449" s="5" t="n">
        <v>15495.000064</v>
      </c>
      <c r="N449" s="5" t="n">
        <v>3448.999936</v>
      </c>
      <c r="O449" s="5">
        <f>IF(M449="","",M449*J449)</f>
        <v/>
      </c>
      <c r="P449" s="5">
        <f>IF(N449="","",N449*J449)</f>
        <v/>
      </c>
      <c r="Q449" s="7" t="n">
        <v>0.0211</v>
      </c>
      <c r="R449" s="8" t="n">
        <v>15.184913</v>
      </c>
      <c r="S449" s="4" t="inlineStr">
        <is>
          <t>SP500</t>
        </is>
      </c>
      <c r="T449" s="9" t="inlineStr">
        <is>
          <t>SI</t>
        </is>
      </c>
      <c r="U449" s="9" t="inlineStr"/>
      <c r="V449" s="10">
        <f>Umbrales!$B$9*(K449/1000)^Umbrales!$B$10</f>
        <v/>
      </c>
    </row>
    <row r="450">
      <c r="A450" s="4" t="inlineStr">
        <is>
          <t>WALMEX.MX</t>
        </is>
      </c>
      <c r="B450" s="4" t="inlineStr">
        <is>
          <t>Wal-Mart de México, S.A.B. de C.V.</t>
        </is>
      </c>
      <c r="C450" s="4" t="inlineStr">
        <is>
          <t>Mexico</t>
        </is>
      </c>
      <c r="D450" s="4" t="inlineStr">
        <is>
          <t>MX</t>
        </is>
      </c>
      <c r="E450" s="4" t="inlineStr">
        <is>
          <t>Consumo básico</t>
        </is>
      </c>
      <c r="F450" s="4" t="inlineStr">
        <is>
          <t>Discount Stores</t>
        </is>
      </c>
      <c r="G450" s="4" t="inlineStr">
        <is>
          <t>MEX</t>
        </is>
      </c>
      <c r="H450" s="4" t="inlineStr">
        <is>
          <t>MXN</t>
        </is>
      </c>
      <c r="I450" s="5" t="n">
        <v>835009.052672</v>
      </c>
      <c r="J450" s="6">
        <f>INDEX(FX!$B:$B,MATCH(H450,FX!$A:$A,0))</f>
        <v/>
      </c>
      <c r="K450" s="5">
        <f>I450*J450</f>
        <v/>
      </c>
      <c r="L450" s="4">
        <f>IF(U450&lt;&gt;"",U450,IF(K450&gt;=Umbrales!$B$2,"Legendaria",IF(K450&gt;=Umbrales!$B$3,"Épica",IF(K450&gt;=Umbrales!$B$4,"Rara",IF(K450&gt;=Umbrales!$B$5,"Poco común","Común")))))</f>
        <v/>
      </c>
      <c r="M450" s="5" t="n">
        <v>1019541.651456</v>
      </c>
      <c r="N450" s="5" t="n">
        <v>49999.036416</v>
      </c>
      <c r="O450" s="5">
        <f>IF(M450="","",M450*J450)</f>
        <v/>
      </c>
      <c r="P450" s="5">
        <f>IF(N450="","",N450*J450)</f>
        <v/>
      </c>
      <c r="Q450" s="7" t="n">
        <v>0.0358</v>
      </c>
      <c r="R450" s="8" t="n">
        <v>16.606165</v>
      </c>
      <c r="S450" s="4" t="inlineStr">
        <is>
          <t>IPC</t>
        </is>
      </c>
      <c r="T450" s="9" t="inlineStr">
        <is>
          <t>SI</t>
        </is>
      </c>
      <c r="U450" s="9" t="inlineStr"/>
      <c r="V450" s="10">
        <f>Umbrales!$B$9*(K450/1000)^Umbrales!$B$10</f>
        <v/>
      </c>
    </row>
    <row r="451">
      <c r="A451" s="4" t="inlineStr">
        <is>
          <t>XYZ.AX</t>
        </is>
      </c>
      <c r="B451" s="4" t="inlineStr">
        <is>
          <t>Block, Inc.</t>
        </is>
      </c>
      <c r="C451" s="4" t="inlineStr">
        <is>
          <t>United States</t>
        </is>
      </c>
      <c r="D451" s="4" t="inlineStr">
        <is>
          <t>US</t>
        </is>
      </c>
      <c r="E451" s="4" t="inlineStr">
        <is>
          <t>Tecnología</t>
        </is>
      </c>
      <c r="F451" s="4" t="inlineStr">
        <is>
          <t>Software - Infrastructure</t>
        </is>
      </c>
      <c r="G451" s="4" t="inlineStr">
        <is>
          <t>ASX</t>
        </is>
      </c>
      <c r="H451" s="4" t="inlineStr">
        <is>
          <t>AUD</t>
        </is>
      </c>
      <c r="I451" s="5" t="n">
        <v>65120.169984</v>
      </c>
      <c r="J451" s="6">
        <f>INDEX(FX!$B:$B,MATCH(H451,FX!$A:$A,0))</f>
        <v/>
      </c>
      <c r="K451" s="5">
        <f>I451*J451</f>
        <v/>
      </c>
      <c r="L451" s="4">
        <f>IF(U451&lt;&gt;"",U451,IF(K451&gt;=Umbrales!$B$2,"Legendaria",IF(K451&gt;=Umbrales!$B$3,"Épica",IF(K451&gt;=Umbrales!$B$4,"Rara",IF(K451&gt;=Umbrales!$B$5,"Poco común","Común")))))</f>
        <v/>
      </c>
      <c r="M451" s="5" t="n">
        <v>25041.963008</v>
      </c>
      <c r="N451" s="5" t="n">
        <v>357.142016</v>
      </c>
      <c r="O451" s="5">
        <f>IF(M451="","",M451*J451)</f>
        <v/>
      </c>
      <c r="P451" s="5">
        <f>IF(N451="","",N451*J451)</f>
        <v/>
      </c>
      <c r="Q451" s="7" t="n">
        <v>0</v>
      </c>
      <c r="R451" s="8" t="n">
        <v>130.59036</v>
      </c>
      <c r="S451" s="4" t="inlineStr">
        <is>
          <t>ASX50</t>
        </is>
      </c>
      <c r="T451" s="9" t="inlineStr">
        <is>
          <t>SI</t>
        </is>
      </c>
      <c r="U451" s="9" t="inlineStr"/>
      <c r="V451" s="10">
        <f>Umbrales!$B$9*(K451/1000)^Umbrales!$B$10</f>
        <v/>
      </c>
    </row>
    <row r="452">
      <c r="A452" s="4" t="inlineStr">
        <is>
          <t>SWED-A.ST</t>
        </is>
      </c>
      <c r="B452" s="4" t="inlineStr">
        <is>
          <t>Swedbank AB (publ)</t>
        </is>
      </c>
      <c r="C452" s="4" t="inlineStr">
        <is>
          <t>Sweden</t>
        </is>
      </c>
      <c r="D452" s="4" t="inlineStr">
        <is>
          <t>SE</t>
        </is>
      </c>
      <c r="E452" s="4" t="inlineStr">
        <is>
          <t>Finanzas</t>
        </is>
      </c>
      <c r="F452" s="4" t="inlineStr">
        <is>
          <t>Banks - Regional</t>
        </is>
      </c>
      <c r="G452" s="4" t="inlineStr">
        <is>
          <t>STO</t>
        </is>
      </c>
      <c r="H452" s="4" t="inlineStr">
        <is>
          <t>SEK</t>
        </is>
      </c>
      <c r="I452" s="5" t="n">
        <v>448586.907648</v>
      </c>
      <c r="J452" s="6">
        <f>INDEX(FX!$B:$B,MATCH(H452,FX!$A:$A,0))</f>
        <v/>
      </c>
      <c r="K452" s="5">
        <f>I452*J452</f>
        <v/>
      </c>
      <c r="L452" s="4">
        <f>IF(U452&lt;&gt;"",U452,IF(K452&gt;=Umbrales!$B$2,"Legendaria",IF(K452&gt;=Umbrales!$B$3,"Épica",IF(K452&gt;=Umbrales!$B$4,"Rara",IF(K452&gt;=Umbrales!$B$5,"Poco común","Común")))))</f>
        <v/>
      </c>
      <c r="M452" s="5" t="n">
        <v>69187.002368</v>
      </c>
      <c r="N452" s="5" t="n">
        <v>31211.999232</v>
      </c>
      <c r="O452" s="5">
        <f>IF(M452="","",M452*J452)</f>
        <v/>
      </c>
      <c r="P452" s="5">
        <f>IF(N452="","",N452*J452)</f>
        <v/>
      </c>
      <c r="Q452" s="7" t="n">
        <v>0.0501</v>
      </c>
      <c r="R452" s="8" t="n">
        <v>14.564028</v>
      </c>
      <c r="S452" s="4" t="inlineStr">
        <is>
          <t>OMXS30</t>
        </is>
      </c>
      <c r="T452" s="9" t="inlineStr">
        <is>
          <t>SI</t>
        </is>
      </c>
      <c r="U452" s="9" t="inlineStr"/>
      <c r="V452" s="10">
        <f>Umbrales!$B$9*(K452/1000)^Umbrales!$B$10</f>
        <v/>
      </c>
    </row>
    <row r="453">
      <c r="A453" s="4" t="inlineStr">
        <is>
          <t>KDP</t>
        </is>
      </c>
      <c r="B453" s="4" t="inlineStr">
        <is>
          <t>Keurig Dr Pepper Inc.</t>
        </is>
      </c>
      <c r="C453" s="4" t="inlineStr">
        <is>
          <t>United States</t>
        </is>
      </c>
      <c r="D453" s="4" t="inlineStr">
        <is>
          <t>US</t>
        </is>
      </c>
      <c r="E453" s="4" t="inlineStr">
        <is>
          <t>Consumo básico</t>
        </is>
      </c>
      <c r="F453" s="4" t="inlineStr">
        <is>
          <t>Beverages - Non-Alcoholic</t>
        </is>
      </c>
      <c r="G453" s="4" t="inlineStr">
        <is>
          <t>NMS</t>
        </is>
      </c>
      <c r="H453" s="4" t="inlineStr">
        <is>
          <t>USD</t>
        </is>
      </c>
      <c r="I453" s="5" t="n">
        <v>45070.557184</v>
      </c>
      <c r="J453" s="6">
        <f>INDEX(FX!$B:$B,MATCH(H453,FX!$A:$A,0))</f>
        <v/>
      </c>
      <c r="K453" s="5">
        <f>I453*J453</f>
        <v/>
      </c>
      <c r="L453" s="4">
        <f>IF(U453&lt;&gt;"",U453,IF(K453&gt;=Umbrales!$B$2,"Legendaria",IF(K453&gt;=Umbrales!$B$3,"Épica",IF(K453&gt;=Umbrales!$B$4,"Rara",IF(K453&gt;=Umbrales!$B$5,"Poco común","Común")))))</f>
        <v/>
      </c>
      <c r="M453" s="5" t="n">
        <v>20089.99936</v>
      </c>
      <c r="N453" s="5" t="n">
        <v>1344.999936</v>
      </c>
      <c r="O453" s="5">
        <f>IF(M453="","",M453*J453)</f>
        <v/>
      </c>
      <c r="P453" s="5">
        <f>IF(N453="","",N453*J453)</f>
        <v/>
      </c>
      <c r="Q453" s="7" t="n">
        <v>0.0282</v>
      </c>
      <c r="R453" s="8" t="n">
        <v>33.12</v>
      </c>
      <c r="S453" s="4" t="inlineStr">
        <is>
          <t>NASDAQ100, SP500</t>
        </is>
      </c>
      <c r="T453" s="9" t="inlineStr">
        <is>
          <t>SI</t>
        </is>
      </c>
      <c r="U453" s="9" t="inlineStr"/>
      <c r="V453" s="10">
        <f>Umbrales!$B$9*(K453/1000)^Umbrales!$B$10</f>
        <v/>
      </c>
    </row>
    <row r="454">
      <c r="A454" s="4" t="inlineStr">
        <is>
          <t>CARR</t>
        </is>
      </c>
      <c r="B454" s="4" t="inlineStr">
        <is>
          <t>Carrier Global Corporation</t>
        </is>
      </c>
      <c r="C454" s="4" t="inlineStr">
        <is>
          <t>United States</t>
        </is>
      </c>
      <c r="D454" s="4" t="inlineStr">
        <is>
          <t>US</t>
        </is>
      </c>
      <c r="E454" s="4" t="inlineStr">
        <is>
          <t>Industria</t>
        </is>
      </c>
      <c r="F454" s="4" t="inlineStr">
        <is>
          <t>Building Products &amp; Equipment</t>
        </is>
      </c>
      <c r="G454" s="4" t="inlineStr">
        <is>
          <t>NYQ</t>
        </is>
      </c>
      <c r="H454" s="4" t="inlineStr">
        <is>
          <t>USD</t>
        </is>
      </c>
      <c r="I454" s="5" t="n">
        <v>45050.683392</v>
      </c>
      <c r="J454" s="6">
        <f>INDEX(FX!$B:$B,MATCH(H454,FX!$A:$A,0))</f>
        <v/>
      </c>
      <c r="K454" s="5">
        <f>I454*J454</f>
        <v/>
      </c>
      <c r="L454" s="4">
        <f>IF(U454&lt;&gt;"",U454,IF(K454&gt;=Umbrales!$B$2,"Legendaria",IF(K454&gt;=Umbrales!$B$3,"Épica",IF(K454&gt;=Umbrales!$B$4,"Rara",IF(K454&gt;=Umbrales!$B$5,"Poco común","Común")))))</f>
        <v/>
      </c>
      <c r="M454" s="5" t="n">
        <v>22108.000256</v>
      </c>
      <c r="N454" s="5" t="n">
        <v>1174</v>
      </c>
      <c r="O454" s="5">
        <f>IF(M454="","",M454*J454)</f>
        <v/>
      </c>
      <c r="P454" s="5">
        <f>IF(N454="","",N454*J454)</f>
        <v/>
      </c>
      <c r="Q454" s="7" t="n">
        <v>0.0174</v>
      </c>
      <c r="R454" s="8" t="n">
        <v>39.882355</v>
      </c>
      <c r="S454" s="4" t="inlineStr">
        <is>
          <t>SP500</t>
        </is>
      </c>
      <c r="T454" s="9" t="inlineStr">
        <is>
          <t>SI</t>
        </is>
      </c>
      <c r="U454" s="9" t="inlineStr"/>
      <c r="V454" s="10">
        <f>Umbrales!$B$9*(K454/1000)^Umbrales!$B$10</f>
        <v/>
      </c>
    </row>
    <row r="455">
      <c r="A455" s="4" t="inlineStr">
        <is>
          <t>LHX</t>
        </is>
      </c>
      <c r="B455" s="4" t="inlineStr">
        <is>
          <t>L3Harris Technologies, Inc.</t>
        </is>
      </c>
      <c r="C455" s="4" t="inlineStr">
        <is>
          <t>United States</t>
        </is>
      </c>
      <c r="D455" s="4" t="inlineStr">
        <is>
          <t>US</t>
        </is>
      </c>
      <c r="E455" s="4" t="inlineStr">
        <is>
          <t>Industria</t>
        </is>
      </c>
      <c r="F455" s="4" t="inlineStr">
        <is>
          <t>Aerospace &amp; Defense</t>
        </is>
      </c>
      <c r="G455" s="4" t="inlineStr">
        <is>
          <t>NYQ</t>
        </is>
      </c>
      <c r="H455" s="4" t="inlineStr">
        <is>
          <t>USD</t>
        </is>
      </c>
      <c r="I455" s="5" t="n">
        <v>44757.614592</v>
      </c>
      <c r="J455" s="6">
        <f>INDEX(FX!$B:$B,MATCH(H455,FX!$A:$A,0))</f>
        <v/>
      </c>
      <c r="K455" s="5">
        <f>I455*J455</f>
        <v/>
      </c>
      <c r="L455" s="4">
        <f>IF(U455&lt;&gt;"",U455,IF(K455&gt;=Umbrales!$B$2,"Legendaria",IF(K455&gt;=Umbrales!$B$3,"Épica",IF(K455&gt;=Umbrales!$B$4,"Rara",IF(K455&gt;=Umbrales!$B$5,"Poco común","Común")))))</f>
        <v/>
      </c>
      <c r="M455" s="5" t="n">
        <v>22932.000768</v>
      </c>
      <c r="N455" s="5" t="n">
        <v>1860</v>
      </c>
      <c r="O455" s="5">
        <f>IF(M455="","",M455*J455)</f>
        <v/>
      </c>
      <c r="P455" s="5">
        <f>IF(N455="","",N455*J455)</f>
        <v/>
      </c>
      <c r="Q455" s="7" t="n">
        <v>0.0213</v>
      </c>
      <c r="R455" s="8" t="n">
        <v>23.939741</v>
      </c>
      <c r="S455" s="4" t="inlineStr">
        <is>
          <t>SP500</t>
        </is>
      </c>
      <c r="T455" s="9" t="inlineStr">
        <is>
          <t>SI</t>
        </is>
      </c>
      <c r="U455" s="9" t="inlineStr"/>
      <c r="V455" s="10">
        <f>Umbrales!$B$9*(K455/1000)^Umbrales!$B$10</f>
        <v/>
      </c>
    </row>
    <row r="456">
      <c r="A456" s="4" t="inlineStr">
        <is>
          <t>SUNPHARMA.NS</t>
        </is>
      </c>
      <c r="B456" s="4" t="inlineStr">
        <is>
          <t>Sun Pharmaceutical Industries Limited</t>
        </is>
      </c>
      <c r="C456" s="4" t="inlineStr">
        <is>
          <t>India</t>
        </is>
      </c>
      <c r="D456" s="4" t="inlineStr">
        <is>
          <t>IN</t>
        </is>
      </c>
      <c r="E456" s="4" t="inlineStr">
        <is>
          <t>Salud</t>
        </is>
      </c>
      <c r="F456" s="4" t="inlineStr">
        <is>
          <t>Drug Manufacturers - Specialty &amp; Generic</t>
        </is>
      </c>
      <c r="G456" s="4" t="inlineStr">
        <is>
          <t>NSI</t>
        </is>
      </c>
      <c r="H456" s="4" t="inlineStr">
        <is>
          <t>INR</t>
        </is>
      </c>
      <c r="I456" s="5" t="n">
        <v>4232426.815488</v>
      </c>
      <c r="J456" s="6">
        <f>INDEX(FX!$B:$B,MATCH(H456,FX!$A:$A,0))</f>
        <v/>
      </c>
      <c r="K456" s="5">
        <f>I456*J456</f>
        <v/>
      </c>
      <c r="L456" s="4">
        <f>IF(U456&lt;&gt;"",U456,IF(K456&gt;=Umbrales!$B$2,"Legendaria",IF(K456&gt;=Umbrales!$B$3,"Épica",IF(K456&gt;=Umbrales!$B$4,"Rara",IF(K456&gt;=Umbrales!$B$5,"Poco común","Común")))))</f>
        <v/>
      </c>
      <c r="M456" s="5" t="n">
        <v>599105.20832</v>
      </c>
      <c r="N456" s="5" t="n">
        <v>120955.797504</v>
      </c>
      <c r="O456" s="5">
        <f>IF(M456="","",M456*J456)</f>
        <v/>
      </c>
      <c r="P456" s="5">
        <f>IF(N456="","",N456*J456)</f>
        <v/>
      </c>
      <c r="Q456" s="7" t="n">
        <v>0.0092</v>
      </c>
      <c r="R456" s="8" t="n">
        <v>35</v>
      </c>
      <c r="S456" s="4" t="inlineStr">
        <is>
          <t>NIFTY50</t>
        </is>
      </c>
      <c r="T456" s="9" t="inlineStr">
        <is>
          <t>SI</t>
        </is>
      </c>
      <c r="U456" s="9" t="inlineStr"/>
      <c r="V456" s="10">
        <f>Umbrales!$B$9*(K456/1000)^Umbrales!$B$10</f>
        <v/>
      </c>
    </row>
    <row r="457">
      <c r="A457" s="4" t="inlineStr">
        <is>
          <t>BN.PA</t>
        </is>
      </c>
      <c r="B457" s="4" t="inlineStr">
        <is>
          <t>Danone S.A.</t>
        </is>
      </c>
      <c r="C457" s="4" t="inlineStr">
        <is>
          <t>France</t>
        </is>
      </c>
      <c r="D457" s="4" t="inlineStr">
        <is>
          <t>FR</t>
        </is>
      </c>
      <c r="E457" s="4" t="inlineStr">
        <is>
          <t>Consumo básico</t>
        </is>
      </c>
      <c r="F457" s="4" t="inlineStr">
        <is>
          <t>Packaged Foods</t>
        </is>
      </c>
      <c r="G457" s="4" t="inlineStr">
        <is>
          <t>PAR</t>
        </is>
      </c>
      <c r="H457" s="4" t="inlineStr">
        <is>
          <t>EUR</t>
        </is>
      </c>
      <c r="I457" s="5" t="n">
        <v>39573.225472</v>
      </c>
      <c r="J457" s="6">
        <f>INDEX(FX!$B:$B,MATCH(H457,FX!$A:$A,0))</f>
        <v/>
      </c>
      <c r="K457" s="5">
        <f>I457*J457</f>
        <v/>
      </c>
      <c r="L457" s="4">
        <f>IF(U457&lt;&gt;"",U457,IF(K457&gt;=Umbrales!$B$2,"Legendaria",IF(K457&gt;=Umbrales!$B$3,"Épica",IF(K457&gt;=Umbrales!$B$4,"Rara",IF(K457&gt;=Umbrales!$B$5,"Poco común","Común")))))</f>
        <v/>
      </c>
      <c r="M457" s="5" t="n">
        <v>27481.99936</v>
      </c>
      <c r="N457" s="5" t="n">
        <v>1944.999936</v>
      </c>
      <c r="O457" s="5">
        <f>IF(M457="","",M457*J457)</f>
        <v/>
      </c>
      <c r="P457" s="5">
        <f>IF(N457="","",N457*J457)</f>
        <v/>
      </c>
      <c r="Q457" s="7" t="n">
        <v>0.0383</v>
      </c>
      <c r="R457" s="8" t="n">
        <v>20.34437</v>
      </c>
      <c r="S457" s="4" t="inlineStr">
        <is>
          <t>CAC40, EUROSTOXX50</t>
        </is>
      </c>
      <c r="T457" s="9" t="inlineStr">
        <is>
          <t>SI</t>
        </is>
      </c>
      <c r="U457" s="9" t="inlineStr"/>
      <c r="V457" s="10">
        <f>Umbrales!$B$9*(K457/1000)^Umbrales!$B$10</f>
        <v/>
      </c>
    </row>
    <row r="458">
      <c r="A458" s="4" t="inlineStr">
        <is>
          <t>SAND.ST</t>
        </is>
      </c>
      <c r="B458" s="4" t="inlineStr">
        <is>
          <t>Sandvik AB (publ)</t>
        </is>
      </c>
      <c r="C458" s="4" t="inlineStr">
        <is>
          <t>Sweden</t>
        </is>
      </c>
      <c r="D458" s="4" t="inlineStr">
        <is>
          <t>SE</t>
        </is>
      </c>
      <c r="E458" s="4" t="inlineStr">
        <is>
          <t>Industria</t>
        </is>
      </c>
      <c r="F458" s="4" t="inlineStr">
        <is>
          <t>Specialty Industrial Machinery</t>
        </is>
      </c>
      <c r="G458" s="4" t="inlineStr">
        <is>
          <t>STO</t>
        </is>
      </c>
      <c r="H458" s="4" t="inlineStr">
        <is>
          <t>SEK</t>
        </is>
      </c>
      <c r="I458" s="5" t="n">
        <v>441418.38336</v>
      </c>
      <c r="J458" s="6">
        <f>INDEX(FX!$B:$B,MATCH(H458,FX!$A:$A,0))</f>
        <v/>
      </c>
      <c r="K458" s="5">
        <f>I458*J458</f>
        <v/>
      </c>
      <c r="L458" s="4">
        <f>IF(U458&lt;&gt;"",U458,IF(K458&gt;=Umbrales!$B$2,"Legendaria",IF(K458&gt;=Umbrales!$B$3,"Épica",IF(K458&gt;=Umbrales!$B$4,"Rara",IF(K458&gt;=Umbrales!$B$5,"Poco común","Común")))))</f>
        <v/>
      </c>
      <c r="M458" s="5" t="n">
        <v>129115.99616</v>
      </c>
      <c r="N458" s="5" t="n">
        <v>16849.999872</v>
      </c>
      <c r="O458" s="5">
        <f>IF(M458="","",M458*J458)</f>
        <v/>
      </c>
      <c r="P458" s="5">
        <f>IF(N458="","",N458*J458)</f>
        <v/>
      </c>
      <c r="Q458" s="7" t="n">
        <v>0.0165</v>
      </c>
      <c r="R458" s="8" t="n">
        <v>26.183037</v>
      </c>
      <c r="S458" s="4" t="inlineStr">
        <is>
          <t>OMXS30</t>
        </is>
      </c>
      <c r="T458" s="9" t="inlineStr">
        <is>
          <t>SI</t>
        </is>
      </c>
      <c r="U458" s="9" t="inlineStr"/>
      <c r="V458" s="10">
        <f>Umbrales!$B$9*(K458/1000)^Umbrales!$B$10</f>
        <v/>
      </c>
    </row>
    <row r="459">
      <c r="A459" s="4" t="inlineStr">
        <is>
          <t>ANTO.L</t>
        </is>
      </c>
      <c r="B459" s="4" t="inlineStr">
        <is>
          <t>Antofagasta plc</t>
        </is>
      </c>
      <c r="C459" s="4" t="inlineStr">
        <is>
          <t>United Kingdom</t>
        </is>
      </c>
      <c r="D459" s="4" t="inlineStr">
        <is>
          <t>GB</t>
        </is>
      </c>
      <c r="E459" s="4" t="inlineStr">
        <is>
          <t>Materiales</t>
        </is>
      </c>
      <c r="F459" s="4" t="inlineStr">
        <is>
          <t>Copper</t>
        </is>
      </c>
      <c r="G459" s="4" t="inlineStr">
        <is>
          <t>LSE</t>
        </is>
      </c>
      <c r="H459" s="4" t="inlineStr">
        <is>
          <t>GBP</t>
        </is>
      </c>
      <c r="I459" s="5" t="n">
        <v>33459.976192</v>
      </c>
      <c r="J459" s="6">
        <f>INDEX(FX!$B:$B,MATCH(H459,FX!$A:$A,0))</f>
        <v/>
      </c>
      <c r="K459" s="5">
        <f>I459*J459</f>
        <v/>
      </c>
      <c r="L459" s="4">
        <f>IF(U459&lt;&gt;"",U459,IF(K459&gt;=Umbrales!$B$2,"Legendaria",IF(K459&gt;=Umbrales!$B$3,"Épica",IF(K459&gt;=Umbrales!$B$4,"Rara",IF(K459&gt;=Umbrales!$B$5,"Poco común","Común")))))</f>
        <v/>
      </c>
      <c r="M459" s="5" t="n">
        <v>9299.900416</v>
      </c>
      <c r="N459" s="5" t="n">
        <v>1654.599936</v>
      </c>
      <c r="O459" s="5">
        <f>IF(M459="","",M459*J459)</f>
        <v/>
      </c>
      <c r="P459" s="5">
        <f>IF(N459="","",N459*J459)</f>
        <v/>
      </c>
      <c r="Q459" s="7" t="n">
        <v>0.0163</v>
      </c>
      <c r="R459" s="8" t="n">
        <v>27.370966</v>
      </c>
      <c r="S459" s="4" t="inlineStr">
        <is>
          <t>FTSE100</t>
        </is>
      </c>
      <c r="T459" s="9" t="inlineStr">
        <is>
          <t>SI</t>
        </is>
      </c>
      <c r="U459" s="9" t="inlineStr"/>
      <c r="V459" s="10">
        <f>Umbrales!$B$9*(K459/1000)^Umbrales!$B$10</f>
        <v/>
      </c>
    </row>
    <row r="460">
      <c r="A460" s="4" t="inlineStr">
        <is>
          <t>IQV</t>
        </is>
      </c>
      <c r="B460" s="4" t="inlineStr">
        <is>
          <t>IQVIA Holdings Inc.</t>
        </is>
      </c>
      <c r="C460" s="4" t="inlineStr">
        <is>
          <t>United States</t>
        </is>
      </c>
      <c r="D460" s="4" t="inlineStr">
        <is>
          <t>US</t>
        </is>
      </c>
      <c r="E460" s="4" t="inlineStr">
        <is>
          <t>Salud</t>
        </is>
      </c>
      <c r="F460" s="4" t="inlineStr">
        <is>
          <t>Diagnostics &amp; Research</t>
        </is>
      </c>
      <c r="G460" s="4" t="inlineStr">
        <is>
          <t>NYQ</t>
        </is>
      </c>
      <c r="H460" s="4" t="inlineStr">
        <is>
          <t>USD</t>
        </is>
      </c>
      <c r="I460" s="5" t="n">
        <v>44103.749632</v>
      </c>
      <c r="J460" s="6">
        <f>INDEX(FX!$B:$B,MATCH(H460,FX!$A:$A,0))</f>
        <v/>
      </c>
      <c r="K460" s="5">
        <f>I460*J460</f>
        <v/>
      </c>
      <c r="L460" s="4">
        <f>IF(U460&lt;&gt;"",U460,IF(K460&gt;=Umbrales!$B$2,"Legendaria",IF(K460&gt;=Umbrales!$B$3,"Épica",IF(K460&gt;=Umbrales!$B$4,"Rara",IF(K460&gt;=Umbrales!$B$5,"Poco común","Común")))))</f>
        <v/>
      </c>
      <c r="M460" s="5" t="n">
        <v>16983.000064</v>
      </c>
      <c r="N460" s="5" t="n">
        <v>1375.000064</v>
      </c>
      <c r="O460" s="5">
        <f>IF(M460="","",M460*J460)</f>
        <v/>
      </c>
      <c r="P460" s="5">
        <f>IF(N460="","",N460*J460)</f>
        <v/>
      </c>
      <c r="Q460" s="7" t="n">
        <v>0</v>
      </c>
      <c r="R460" s="8" t="n">
        <v>33.120518</v>
      </c>
      <c r="S460" s="4" t="inlineStr">
        <is>
          <t>SP500</t>
        </is>
      </c>
      <c r="T460" s="9" t="inlineStr">
        <is>
          <t>SI</t>
        </is>
      </c>
      <c r="U460" s="9" t="inlineStr"/>
      <c r="V460" s="10">
        <f>Umbrales!$B$9*(K460/1000)^Umbrales!$B$10</f>
        <v/>
      </c>
    </row>
    <row r="461">
      <c r="A461" s="4" t="inlineStr">
        <is>
          <t>P</t>
        </is>
      </c>
      <c r="B461" s="4" t="inlineStr">
        <is>
          <t>Everpure, Inc.</t>
        </is>
      </c>
      <c r="C461" s="4" t="inlineStr">
        <is>
          <t>United States</t>
        </is>
      </c>
      <c r="D461" s="4" t="inlineStr">
        <is>
          <t>US</t>
        </is>
      </c>
      <c r="E461" s="4" t="inlineStr">
        <is>
          <t>Tecnología</t>
        </is>
      </c>
      <c r="F461" s="4" t="inlineStr">
        <is>
          <t>Computer Hardware</t>
        </is>
      </c>
      <c r="G461" s="4" t="inlineStr">
        <is>
          <t>NYQ</t>
        </is>
      </c>
      <c r="H461" s="4" t="inlineStr">
        <is>
          <t>USD</t>
        </is>
      </c>
      <c r="I461" s="5" t="n">
        <v>43995.99616</v>
      </c>
      <c r="J461" s="6">
        <f>INDEX(FX!$B:$B,MATCH(H461,FX!$A:$A,0))</f>
        <v/>
      </c>
      <c r="K461" s="5">
        <f>I461*J461</f>
        <v/>
      </c>
      <c r="L461" s="4">
        <f>IF(U461&lt;&gt;"",U461,IF(K461&gt;=Umbrales!$B$2,"Legendaria",IF(K461&gt;=Umbrales!$B$3,"Épica",IF(K461&gt;=Umbrales!$B$4,"Rara",IF(K461&gt;=Umbrales!$B$5,"Poco común","Común")))))</f>
        <v/>
      </c>
      <c r="M461" s="5" t="n">
        <v>4262.149888</v>
      </c>
      <c r="N461" s="5" t="n">
        <v>253.284992</v>
      </c>
      <c r="O461" s="5">
        <f>IF(M461="","",M461*J461)</f>
        <v/>
      </c>
      <c r="P461" s="5">
        <f>IF(N461="","",N461*J461)</f>
        <v/>
      </c>
      <c r="Q461" s="7" t="n">
        <v>0</v>
      </c>
      <c r="R461" s="8" t="n">
        <v>200.04544</v>
      </c>
      <c r="S461" s="4" t="inlineStr">
        <is>
          <t>SP500</t>
        </is>
      </c>
      <c r="T461" s="9" t="inlineStr">
        <is>
          <t>SI</t>
        </is>
      </c>
      <c r="U461" s="9" t="inlineStr"/>
      <c r="V461" s="10">
        <f>Umbrales!$B$9*(K461/1000)^Umbrales!$B$10</f>
        <v/>
      </c>
    </row>
    <row r="462">
      <c r="A462" s="4" t="inlineStr">
        <is>
          <t>VTR</t>
        </is>
      </c>
      <c r="B462" s="4" t="inlineStr">
        <is>
          <t>Ventas, Inc.</t>
        </is>
      </c>
      <c r="C462" s="4" t="inlineStr">
        <is>
          <t>United States</t>
        </is>
      </c>
      <c r="D462" s="4" t="inlineStr">
        <is>
          <t>US</t>
        </is>
      </c>
      <c r="E462" s="4" t="inlineStr">
        <is>
          <t>Inmobiliario</t>
        </is>
      </c>
      <c r="F462" s="4" t="inlineStr">
        <is>
          <t>REIT - Healthcare Facilities</t>
        </is>
      </c>
      <c r="G462" s="4" t="inlineStr">
        <is>
          <t>NYQ</t>
        </is>
      </c>
      <c r="H462" s="4" t="inlineStr">
        <is>
          <t>USD</t>
        </is>
      </c>
      <c r="I462" s="5" t="n">
        <v>43914.620928</v>
      </c>
      <c r="J462" s="6">
        <f>INDEX(FX!$B:$B,MATCH(H462,FX!$A:$A,0))</f>
        <v/>
      </c>
      <c r="K462" s="5">
        <f>I462*J462</f>
        <v/>
      </c>
      <c r="L462" s="4">
        <f>IF(U462&lt;&gt;"",U462,IF(K462&gt;=Umbrales!$B$2,"Legendaria",IF(K462&gt;=Umbrales!$B$3,"Épica",IF(K462&gt;=Umbrales!$B$4,"Rara",IF(K462&gt;=Umbrales!$B$5,"Poco común","Común")))))</f>
        <v/>
      </c>
      <c r="M462" s="5" t="n">
        <v>6418.988032</v>
      </c>
      <c r="N462" s="5" t="n">
        <v>262.731008</v>
      </c>
      <c r="O462" s="5">
        <f>IF(M462="","",M462*J462)</f>
        <v/>
      </c>
      <c r="P462" s="5">
        <f>IF(N462="","",N462*J462)</f>
        <v/>
      </c>
      <c r="Q462" s="7" t="n">
        <v>0.0248</v>
      </c>
      <c r="R462" s="8" t="n">
        <v>158.54167</v>
      </c>
      <c r="S462" s="4" t="inlineStr">
        <is>
          <t>SP500</t>
        </is>
      </c>
      <c r="T462" s="9" t="inlineStr">
        <is>
          <t>SI</t>
        </is>
      </c>
      <c r="U462" s="9" t="inlineStr"/>
      <c r="V462" s="10">
        <f>Umbrales!$B$9*(K462/1000)^Umbrales!$B$10</f>
        <v/>
      </c>
    </row>
    <row r="463">
      <c r="A463" s="4" t="inlineStr">
        <is>
          <t>WDS.AX</t>
        </is>
      </c>
      <c r="B463" s="4" t="inlineStr">
        <is>
          <t>Woodside Energy Group Ltd</t>
        </is>
      </c>
      <c r="C463" s="4" t="inlineStr">
        <is>
          <t>Australia</t>
        </is>
      </c>
      <c r="D463" s="4" t="inlineStr">
        <is>
          <t>AU</t>
        </is>
      </c>
      <c r="E463" s="4" t="inlineStr">
        <is>
          <t>Energía</t>
        </is>
      </c>
      <c r="F463" s="4" t="inlineStr">
        <is>
          <t>Oil &amp; Gas E&amp;P</t>
        </is>
      </c>
      <c r="G463" s="4" t="inlineStr">
        <is>
          <t>ASX</t>
        </is>
      </c>
      <c r="H463" s="4" t="inlineStr">
        <is>
          <t>AUD</t>
        </is>
      </c>
      <c r="I463" s="5" t="n">
        <v>63420.70272</v>
      </c>
      <c r="J463" s="6">
        <f>INDEX(FX!$B:$B,MATCH(H463,FX!$A:$A,0))</f>
        <v/>
      </c>
      <c r="K463" s="5">
        <f>I463*J463</f>
        <v/>
      </c>
      <c r="L463" s="4">
        <f>IF(U463&lt;&gt;"",U463,IF(K463&gt;=Umbrales!$B$2,"Legendaria",IF(K463&gt;=Umbrales!$B$3,"Épica",IF(K463&gt;=Umbrales!$B$4,"Rara",IF(K463&gt;=Umbrales!$B$5,"Poco común","Común")))))</f>
        <v/>
      </c>
      <c r="M463" s="5" t="n">
        <v>13840</v>
      </c>
      <c r="N463" s="5" t="n">
        <v>3073.999872</v>
      </c>
      <c r="O463" s="5">
        <f>IF(M463="","",M463*J463)</f>
        <v/>
      </c>
      <c r="P463" s="5">
        <f>IF(N463="","",N463*J463)</f>
        <v/>
      </c>
      <c r="Q463" s="7" t="n">
        <v>0.0491</v>
      </c>
      <c r="R463" s="8" t="n">
        <v>14.016807</v>
      </c>
      <c r="S463" s="4" t="inlineStr">
        <is>
          <t>ASX50</t>
        </is>
      </c>
      <c r="T463" s="9" t="inlineStr">
        <is>
          <t>SI</t>
        </is>
      </c>
      <c r="U463" s="9" t="inlineStr"/>
      <c r="V463" s="10">
        <f>Umbrales!$B$9*(K463/1000)^Umbrales!$B$10</f>
        <v/>
      </c>
    </row>
    <row r="464">
      <c r="A464" s="4" t="inlineStr">
        <is>
          <t>EXC</t>
        </is>
      </c>
      <c r="B464" s="4" t="inlineStr">
        <is>
          <t>Exelon Corporation</t>
        </is>
      </c>
      <c r="C464" s="4" t="inlineStr">
        <is>
          <t>United States</t>
        </is>
      </c>
      <c r="D464" s="4" t="inlineStr">
        <is>
          <t>US</t>
        </is>
      </c>
      <c r="E464" s="4" t="inlineStr">
        <is>
          <t>Servicios públicos</t>
        </is>
      </c>
      <c r="F464" s="4" t="inlineStr">
        <is>
          <t>Utilities - Regulated Electric</t>
        </is>
      </c>
      <c r="G464" s="4" t="inlineStr">
        <is>
          <t>NMS</t>
        </is>
      </c>
      <c r="H464" s="4" t="inlineStr">
        <is>
          <t>USD</t>
        </is>
      </c>
      <c r="I464" s="5" t="n">
        <v>43888.816128</v>
      </c>
      <c r="J464" s="6">
        <f>INDEX(FX!$B:$B,MATCH(H464,FX!$A:$A,0))</f>
        <v/>
      </c>
      <c r="K464" s="5">
        <f>I464*J464</f>
        <v/>
      </c>
      <c r="L464" s="4">
        <f>IF(U464&lt;&gt;"",U464,IF(K464&gt;=Umbrales!$B$2,"Legendaria",IF(K464&gt;=Umbrales!$B$3,"Épica",IF(K464&gt;=Umbrales!$B$4,"Rara",IF(K464&gt;=Umbrales!$B$5,"Poco común","Común")))))</f>
        <v/>
      </c>
      <c r="M464" s="5" t="n">
        <v>25326.000128</v>
      </c>
      <c r="N464" s="5" t="n">
        <v>2783.000064</v>
      </c>
      <c r="O464" s="5">
        <f>IF(M464="","",M464*J464)</f>
        <v/>
      </c>
      <c r="P464" s="5">
        <f>IF(N464="","",N464*J464)</f>
        <v/>
      </c>
      <c r="Q464" s="7" t="n">
        <v>0.0397</v>
      </c>
      <c r="R464" s="8" t="n">
        <v>15.547444</v>
      </c>
      <c r="S464" s="4" t="inlineStr">
        <is>
          <t>NASDAQ100, SP500</t>
        </is>
      </c>
      <c r="T464" s="9" t="inlineStr">
        <is>
          <t>SI</t>
        </is>
      </c>
      <c r="U464" s="9" t="inlineStr"/>
      <c r="V464" s="10">
        <f>Umbrales!$B$9*(K464/1000)^Umbrales!$B$10</f>
        <v/>
      </c>
    </row>
    <row r="465">
      <c r="A465" s="4" t="inlineStr">
        <is>
          <t>HLN.L</t>
        </is>
      </c>
      <c r="B465" s="4" t="inlineStr">
        <is>
          <t>Haleon plc</t>
        </is>
      </c>
      <c r="C465" s="4" t="inlineStr">
        <is>
          <t>United Kingdom</t>
        </is>
      </c>
      <c r="D465" s="4" t="inlineStr">
        <is>
          <t>GB</t>
        </is>
      </c>
      <c r="E465" s="4" t="inlineStr">
        <is>
          <t>Salud</t>
        </is>
      </c>
      <c r="F465" s="4" t="inlineStr">
        <is>
          <t>Drug Manufacturers - Specialty &amp; Generic</t>
        </is>
      </c>
      <c r="G465" s="4" t="inlineStr">
        <is>
          <t>LSE</t>
        </is>
      </c>
      <c r="H465" s="4" t="inlineStr">
        <is>
          <t>GBP</t>
        </is>
      </c>
      <c r="I465" s="5" t="n">
        <v>33035.067392</v>
      </c>
      <c r="J465" s="6">
        <f>INDEX(FX!$B:$B,MATCH(H465,FX!$A:$A,0))</f>
        <v/>
      </c>
      <c r="K465" s="5">
        <f>I465*J465</f>
        <v/>
      </c>
      <c r="L465" s="4">
        <f>IF(U465&lt;&gt;"",U465,IF(K465&gt;=Umbrales!$B$2,"Legendaria",IF(K465&gt;=Umbrales!$B$3,"Épica",IF(K465&gt;=Umbrales!$B$4,"Rara",IF(K465&gt;=Umbrales!$B$5,"Poco común","Común")))))</f>
        <v/>
      </c>
      <c r="M465" s="5" t="n">
        <v>11152</v>
      </c>
      <c r="N465" s="5" t="n">
        <v>1623.000064</v>
      </c>
      <c r="O465" s="5">
        <f>IF(M465="","",M465*J465)</f>
        <v/>
      </c>
      <c r="P465" s="5">
        <f>IF(N465="","",N465*J465)</f>
        <v/>
      </c>
      <c r="Q465" s="7" t="n">
        <v>0.0206</v>
      </c>
      <c r="R465" s="8" t="n">
        <v>20.866667</v>
      </c>
      <c r="S465" s="4" t="inlineStr">
        <is>
          <t>FTSE100</t>
        </is>
      </c>
      <c r="T465" s="9" t="inlineStr">
        <is>
          <t>SI</t>
        </is>
      </c>
      <c r="U465" s="9" t="inlineStr"/>
      <c r="V465" s="10">
        <f>Umbrales!$B$9*(K465/1000)^Umbrales!$B$10</f>
        <v/>
      </c>
    </row>
    <row r="466">
      <c r="A466" s="4" t="inlineStr">
        <is>
          <t>GIVN.SW</t>
        </is>
      </c>
      <c r="B466" s="4" t="inlineStr">
        <is>
          <t>Givaudan SA</t>
        </is>
      </c>
      <c r="C466" s="4" t="inlineStr">
        <is>
          <t>Switzerland</t>
        </is>
      </c>
      <c r="D466" s="4" t="inlineStr">
        <is>
          <t>CH</t>
        </is>
      </c>
      <c r="E466" s="4" t="inlineStr">
        <is>
          <t>Materiales</t>
        </is>
      </c>
      <c r="F466" s="4" t="inlineStr">
        <is>
          <t>Specialty Chemicals</t>
        </is>
      </c>
      <c r="G466" s="4" t="inlineStr">
        <is>
          <t>EBS</t>
        </is>
      </c>
      <c r="H466" s="4" t="inlineStr">
        <is>
          <t>CHF</t>
        </is>
      </c>
      <c r="I466" s="5" t="n">
        <v>36297.539584</v>
      </c>
      <c r="J466" s="6">
        <f>INDEX(FX!$B:$B,MATCH(H466,FX!$A:$A,0))</f>
        <v/>
      </c>
      <c r="K466" s="5">
        <f>I466*J466</f>
        <v/>
      </c>
      <c r="L466" s="4">
        <f>IF(U466&lt;&gt;"",U466,IF(K466&gt;=Umbrales!$B$2,"Legendaria",IF(K466&gt;=Umbrales!$B$3,"Épica",IF(K466&gt;=Umbrales!$B$4,"Rara",IF(K466&gt;=Umbrales!$B$5,"Poco común","Común")))))</f>
        <v/>
      </c>
      <c r="M466" s="5" t="n">
        <v>7407.000064</v>
      </c>
      <c r="N466" s="5" t="n">
        <v>954</v>
      </c>
      <c r="O466" s="5">
        <f>IF(M466="","",M466*J466)</f>
        <v/>
      </c>
      <c r="P466" s="5">
        <f>IF(N466="","",N466*J466)</f>
        <v/>
      </c>
      <c r="Q466" s="7" t="n">
        <v>0.0188</v>
      </c>
      <c r="R466" s="8" t="n">
        <v>38.28627</v>
      </c>
      <c r="S466" s="4" t="inlineStr">
        <is>
          <t>SMI</t>
        </is>
      </c>
      <c r="T466" s="9" t="inlineStr">
        <is>
          <t>SI</t>
        </is>
      </c>
      <c r="U466" s="9" t="inlineStr"/>
      <c r="V466" s="10">
        <f>Umbrales!$B$9*(K466/1000)^Umbrales!$B$10</f>
        <v/>
      </c>
    </row>
    <row r="467">
      <c r="A467" s="4" t="inlineStr">
        <is>
          <t>TSCO.L</t>
        </is>
      </c>
      <c r="B467" s="4" t="inlineStr">
        <is>
          <t>Tesco PLC</t>
        </is>
      </c>
      <c r="C467" s="4" t="inlineStr">
        <is>
          <t>United Kingdom</t>
        </is>
      </c>
      <c r="D467" s="4" t="inlineStr">
        <is>
          <t>GB</t>
        </is>
      </c>
      <c r="E467" s="4" t="inlineStr">
        <is>
          <t>Consumo básico</t>
        </is>
      </c>
      <c r="F467" s="4" t="inlineStr">
        <is>
          <t>Grocery Stores</t>
        </is>
      </c>
      <c r="G467" s="4" t="inlineStr">
        <is>
          <t>LSE</t>
        </is>
      </c>
      <c r="H467" s="4" t="inlineStr">
        <is>
          <t>GBP</t>
        </is>
      </c>
      <c r="I467" s="5" t="n">
        <v>32897.630208</v>
      </c>
      <c r="J467" s="6">
        <f>INDEX(FX!$B:$B,MATCH(H467,FX!$A:$A,0))</f>
        <v/>
      </c>
      <c r="K467" s="5">
        <f>I467*J467</f>
        <v/>
      </c>
      <c r="L467" s="4">
        <f>IF(U467&lt;&gt;"",U467,IF(K467&gt;=Umbrales!$B$2,"Legendaria",IF(K467&gt;=Umbrales!$B$3,"Épica",IF(K467&gt;=Umbrales!$B$4,"Rara",IF(K467&gt;=Umbrales!$B$5,"Poco común","Común")))))</f>
        <v/>
      </c>
      <c r="M467" s="5" t="n">
        <v>75028.996096</v>
      </c>
      <c r="N467" s="5" t="n">
        <v>1896.999936</v>
      </c>
      <c r="O467" s="5">
        <f>IF(M467="","",M467*J467)</f>
        <v/>
      </c>
      <c r="P467" s="5">
        <f>IF(N467="","",N467*J467)</f>
        <v/>
      </c>
      <c r="Q467" s="7" t="n">
        <v>0.028</v>
      </c>
      <c r="R467" s="8" t="n">
        <v>17.605331</v>
      </c>
      <c r="S467" s="4" t="inlineStr">
        <is>
          <t>FTSE100, UK_TOP</t>
        </is>
      </c>
      <c r="T467" s="9" t="inlineStr">
        <is>
          <t>SI</t>
        </is>
      </c>
      <c r="U467" s="9" t="inlineStr"/>
      <c r="V467" s="10">
        <f>Umbrales!$B$9*(K467/1000)^Umbrales!$B$10</f>
        <v/>
      </c>
    </row>
    <row r="468">
      <c r="A468" s="4" t="inlineStr">
        <is>
          <t>SLF.TO</t>
        </is>
      </c>
      <c r="B468" s="4" t="inlineStr">
        <is>
          <t>Sun Life Financial Inc.</t>
        </is>
      </c>
      <c r="C468" s="4" t="inlineStr">
        <is>
          <t>Canada</t>
        </is>
      </c>
      <c r="D468" s="4" t="inlineStr">
        <is>
          <t>CA</t>
        </is>
      </c>
      <c r="E468" s="4" t="inlineStr">
        <is>
          <t>Finanzas</t>
        </is>
      </c>
      <c r="F468" s="4" t="inlineStr">
        <is>
          <t>Insurance - Diversified</t>
        </is>
      </c>
      <c r="G468" s="4" t="inlineStr">
        <is>
          <t>TOR</t>
        </is>
      </c>
      <c r="H468" s="4" t="inlineStr">
        <is>
          <t>CAD</t>
        </is>
      </c>
      <c r="I468" s="5" t="n">
        <v>61863.407616</v>
      </c>
      <c r="J468" s="6">
        <f>INDEX(FX!$B:$B,MATCH(H468,FX!$A:$A,0))</f>
        <v/>
      </c>
      <c r="K468" s="5">
        <f>I468*J468</f>
        <v/>
      </c>
      <c r="L468" s="4">
        <f>IF(U468&lt;&gt;"",U468,IF(K468&gt;=Umbrales!$B$2,"Legendaria",IF(K468&gt;=Umbrales!$B$3,"Épica",IF(K468&gt;=Umbrales!$B$4,"Rara",IF(K468&gt;=Umbrales!$B$5,"Poco común","Común")))))</f>
        <v/>
      </c>
      <c r="M468" s="5" t="n">
        <v>35527.999488</v>
      </c>
      <c r="N468" s="5" t="n">
        <v>3300.999936</v>
      </c>
      <c r="O468" s="5">
        <f>IF(M468="","",M468*J468)</f>
        <v/>
      </c>
      <c r="P468" s="5">
        <f>IF(N468="","",N468*J468)</f>
        <v/>
      </c>
      <c r="Q468" s="7" t="n">
        <v>0.0339</v>
      </c>
      <c r="R468" s="8" t="n">
        <v>18.762226</v>
      </c>
      <c r="S468" s="4" t="inlineStr">
        <is>
          <t>TSX60</t>
        </is>
      </c>
      <c r="T468" s="9" t="inlineStr">
        <is>
          <t>SI</t>
        </is>
      </c>
      <c r="U468" s="9" t="inlineStr"/>
      <c r="V468" s="10">
        <f>Umbrales!$B$9*(K468/1000)^Umbrales!$B$10</f>
        <v/>
      </c>
    </row>
    <row r="469">
      <c r="A469" s="4" t="inlineStr">
        <is>
          <t>FERG</t>
        </is>
      </c>
      <c r="B469" s="4" t="inlineStr">
        <is>
          <t>Ferguson Enterprises Inc.</t>
        </is>
      </c>
      <c r="C469" s="4" t="inlineStr">
        <is>
          <t>United States</t>
        </is>
      </c>
      <c r="D469" s="4" t="inlineStr">
        <is>
          <t>US</t>
        </is>
      </c>
      <c r="E469" s="4" t="inlineStr">
        <is>
          <t>Industria</t>
        </is>
      </c>
      <c r="F469" s="4" t="inlineStr">
        <is>
          <t>Industrial Distribution</t>
        </is>
      </c>
      <c r="G469" s="4" t="inlineStr">
        <is>
          <t>NYQ</t>
        </is>
      </c>
      <c r="H469" s="4" t="inlineStr">
        <is>
          <t>USD</t>
        </is>
      </c>
      <c r="I469" s="5" t="n">
        <v>43584.897024</v>
      </c>
      <c r="J469" s="6">
        <f>INDEX(FX!$B:$B,MATCH(H469,FX!$A:$A,0))</f>
        <v/>
      </c>
      <c r="K469" s="5">
        <f>I469*J469</f>
        <v/>
      </c>
      <c r="L469" s="4">
        <f>IF(U469&lt;&gt;"",U469,IF(K469&gt;=Umbrales!$B$2,"Legendaria",IF(K469&gt;=Umbrales!$B$3,"Épica",IF(K469&gt;=Umbrales!$B$4,"Rara",IF(K469&gt;=Umbrales!$B$5,"Poco común","Común")))))</f>
        <v/>
      </c>
      <c r="M469" s="5" t="n">
        <v>31446.20032</v>
      </c>
      <c r="N469" s="5" t="n">
        <v>1987.399936</v>
      </c>
      <c r="O469" s="5">
        <f>IF(M469="","",M469*J469)</f>
        <v/>
      </c>
      <c r="P469" s="5">
        <f>IF(N469="","",N469*J469)</f>
        <v/>
      </c>
      <c r="Q469" s="7" t="n">
        <v>0.016</v>
      </c>
      <c r="R469" s="8" t="n">
        <v>22.175198</v>
      </c>
      <c r="S469" s="4" t="inlineStr">
        <is>
          <t>SP500</t>
        </is>
      </c>
      <c r="T469" s="9" t="inlineStr">
        <is>
          <t>SI</t>
        </is>
      </c>
      <c r="U469" s="9" t="inlineStr"/>
      <c r="V469" s="10">
        <f>Umbrales!$B$9*(K469/1000)^Umbrales!$B$10</f>
        <v/>
      </c>
    </row>
    <row r="470">
      <c r="A470" s="4" t="inlineStr">
        <is>
          <t>AMP</t>
        </is>
      </c>
      <c r="B470" s="4" t="inlineStr">
        <is>
          <t>Ameriprise Financial, Inc.</t>
        </is>
      </c>
      <c r="C470" s="4" t="inlineStr">
        <is>
          <t>United States</t>
        </is>
      </c>
      <c r="D470" s="4" t="inlineStr">
        <is>
          <t>US</t>
        </is>
      </c>
      <c r="E470" s="4" t="inlineStr">
        <is>
          <t>Finanzas</t>
        </is>
      </c>
      <c r="F470" s="4" t="inlineStr">
        <is>
          <t>Asset Management</t>
        </is>
      </c>
      <c r="G470" s="4" t="inlineStr">
        <is>
          <t>NYQ</t>
        </is>
      </c>
      <c r="H470" s="4" t="inlineStr">
        <is>
          <t>USD</t>
        </is>
      </c>
      <c r="I470" s="5" t="n">
        <v>43550.703616</v>
      </c>
      <c r="J470" s="6">
        <f>INDEX(FX!$B:$B,MATCH(H470,FX!$A:$A,0))</f>
        <v/>
      </c>
      <c r="K470" s="5">
        <f>I470*J470</f>
        <v/>
      </c>
      <c r="L470" s="4">
        <f>IF(U470&lt;&gt;"",U470,IF(K470&gt;=Umbrales!$B$2,"Legendaria",IF(K470&gt;=Umbrales!$B$3,"Épica",IF(K470&gt;=Umbrales!$B$4,"Rara",IF(K470&gt;=Umbrales!$B$5,"Poco común","Común")))))</f>
        <v/>
      </c>
      <c r="M470" s="5" t="n">
        <v>19839.000576</v>
      </c>
      <c r="N470" s="5" t="n">
        <v>3948</v>
      </c>
      <c r="O470" s="5">
        <f>IF(M470="","",M470*J470)</f>
        <v/>
      </c>
      <c r="P470" s="5">
        <f>IF(N470="","",N470*J470)</f>
        <v/>
      </c>
      <c r="Q470" s="7" t="n">
        <v>0.0138</v>
      </c>
      <c r="R470" s="8" t="n">
        <v>11.894134</v>
      </c>
      <c r="S470" s="4" t="inlineStr">
        <is>
          <t>SP500</t>
        </is>
      </c>
      <c r="T470" s="9" t="inlineStr">
        <is>
          <t>SI</t>
        </is>
      </c>
      <c r="U470" s="9" t="inlineStr"/>
      <c r="V470" s="10">
        <f>Umbrales!$B$9*(K470/1000)^Umbrales!$B$10</f>
        <v/>
      </c>
    </row>
    <row r="471">
      <c r="A471" s="4" t="inlineStr">
        <is>
          <t>PST.MI</t>
        </is>
      </c>
      <c r="B471" s="4" t="inlineStr">
        <is>
          <t>Poste Italiane S.p.A.</t>
        </is>
      </c>
      <c r="C471" s="4" t="inlineStr">
        <is>
          <t>Italy</t>
        </is>
      </c>
      <c r="D471" s="4" t="inlineStr">
        <is>
          <t>IT</t>
        </is>
      </c>
      <c r="E471" s="4" t="inlineStr">
        <is>
          <t>Industria</t>
        </is>
      </c>
      <c r="F471" s="4" t="inlineStr">
        <is>
          <t>Integrated Freight &amp; Logistics</t>
        </is>
      </c>
      <c r="G471" s="4" t="inlineStr">
        <is>
          <t>MIL</t>
        </is>
      </c>
      <c r="H471" s="4" t="inlineStr">
        <is>
          <t>EUR</t>
        </is>
      </c>
      <c r="I471" s="5" t="n">
        <v>38767.833088</v>
      </c>
      <c r="J471" s="6">
        <f>INDEX(FX!$B:$B,MATCH(H471,FX!$A:$A,0))</f>
        <v/>
      </c>
      <c r="K471" s="5">
        <f>I471*J471</f>
        <v/>
      </c>
      <c r="L471" s="4">
        <f>IF(U471&lt;&gt;"",U471,IF(K471&gt;=Umbrales!$B$2,"Legendaria",IF(K471&gt;=Umbrales!$B$3,"Épica",IF(K471&gt;=Umbrales!$B$4,"Rara",IF(K471&gt;=Umbrales!$B$5,"Poco común","Común")))))</f>
        <v/>
      </c>
      <c r="M471" s="5" t="n">
        <v>14435.999744</v>
      </c>
      <c r="N471" s="5" t="n">
        <v>2400</v>
      </c>
      <c r="O471" s="5">
        <f>IF(M471="","",M471*J471)</f>
        <v/>
      </c>
      <c r="P471" s="5">
        <f>IF(N471="","",N471*J471)</f>
        <v/>
      </c>
      <c r="Q471" s="7" t="n">
        <v>0.05110000000000001</v>
      </c>
      <c r="R471" s="8" t="n">
        <v>13.190217</v>
      </c>
      <c r="S471" s="4" t="inlineStr">
        <is>
          <t>FTSEMIB</t>
        </is>
      </c>
      <c r="T471" s="9" t="inlineStr">
        <is>
          <t>SI</t>
        </is>
      </c>
      <c r="U471" s="9" t="inlineStr"/>
      <c r="V471" s="10">
        <f>Umbrales!$B$9*(K471/1000)^Umbrales!$B$10</f>
        <v/>
      </c>
    </row>
    <row r="472">
      <c r="A472" s="4" t="inlineStr">
        <is>
          <t>WAT</t>
        </is>
      </c>
      <c r="B472" s="4" t="inlineStr">
        <is>
          <t>Waters Corporation</t>
        </is>
      </c>
      <c r="C472" s="4" t="inlineStr">
        <is>
          <t>United States</t>
        </is>
      </c>
      <c r="D472" s="4" t="inlineStr">
        <is>
          <t>US</t>
        </is>
      </c>
      <c r="E472" s="4" t="inlineStr">
        <is>
          <t>Salud</t>
        </is>
      </c>
      <c r="F472" s="4" t="inlineStr">
        <is>
          <t>Diagnostics &amp; Research</t>
        </is>
      </c>
      <c r="G472" s="4" t="inlineStr">
        <is>
          <t>NYQ</t>
        </is>
      </c>
      <c r="H472" s="4" t="inlineStr">
        <is>
          <t>USD</t>
        </is>
      </c>
      <c r="I472" s="5" t="n">
        <v>43377.528832</v>
      </c>
      <c r="J472" s="6">
        <f>INDEX(FX!$B:$B,MATCH(H472,FX!$A:$A,0))</f>
        <v/>
      </c>
      <c r="K472" s="5">
        <f>I472*J472</f>
        <v/>
      </c>
      <c r="L472" s="4">
        <f>IF(U472&lt;&gt;"",U472,IF(K472&gt;=Umbrales!$B$2,"Legendaria",IF(K472&gt;=Umbrales!$B$3,"Épica",IF(K472&gt;=Umbrales!$B$4,"Rara",IF(K472&gt;=Umbrales!$B$5,"Poco común","Común")))))</f>
        <v/>
      </c>
      <c r="M472" s="5" t="n">
        <v>4644.285952</v>
      </c>
      <c r="N472" s="5" t="n">
        <v>166.628992</v>
      </c>
      <c r="O472" s="5">
        <f>IF(M472="","",M472*J472)</f>
        <v/>
      </c>
      <c r="P472" s="5">
        <f>IF(N472="","",N472*J472)</f>
        <v/>
      </c>
      <c r="Q472" s="7" t="n">
        <v>0</v>
      </c>
      <c r="R472" s="8" t="n">
        <v>109.89801</v>
      </c>
      <c r="S472" s="4" t="inlineStr">
        <is>
          <t>SP500</t>
        </is>
      </c>
      <c r="T472" s="9" t="inlineStr">
        <is>
          <t>SI</t>
        </is>
      </c>
      <c r="U472" s="9" t="inlineStr"/>
      <c r="V472" s="10">
        <f>Umbrales!$B$9*(K472/1000)^Umbrales!$B$10</f>
        <v/>
      </c>
    </row>
    <row r="473">
      <c r="A473" s="4" t="inlineStr">
        <is>
          <t>ORA.PA</t>
        </is>
      </c>
      <c r="B473" s="4" t="inlineStr">
        <is>
          <t>Orange S.A.</t>
        </is>
      </c>
      <c r="C473" s="4" t="inlineStr">
        <is>
          <t>France</t>
        </is>
      </c>
      <c r="D473" s="4" t="inlineStr">
        <is>
          <t>FR</t>
        </is>
      </c>
      <c r="E473" s="4" t="inlineStr">
        <is>
          <t>Comunicación</t>
        </is>
      </c>
      <c r="F473" s="4" t="inlineStr">
        <is>
          <t>Telecom Services</t>
        </is>
      </c>
      <c r="G473" s="4" t="inlineStr">
        <is>
          <t>PAR</t>
        </is>
      </c>
      <c r="H473" s="4" t="inlineStr">
        <is>
          <t>EUR</t>
        </is>
      </c>
      <c r="I473" s="5" t="n">
        <v>38391.549952</v>
      </c>
      <c r="J473" s="6">
        <f>INDEX(FX!$B:$B,MATCH(H473,FX!$A:$A,0))</f>
        <v/>
      </c>
      <c r="K473" s="5">
        <f>I473*J473</f>
        <v/>
      </c>
      <c r="L473" s="4">
        <f>IF(U473&lt;&gt;"",U473,IF(K473&gt;=Umbrales!$B$2,"Legendaria",IF(K473&gt;=Umbrales!$B$3,"Épica",IF(K473&gt;=Umbrales!$B$4,"Rara",IF(K473&gt;=Umbrales!$B$5,"Poco común","Común")))))</f>
        <v/>
      </c>
      <c r="M473" s="5" t="n">
        <v>41491.001344</v>
      </c>
      <c r="N473" s="5" t="n">
        <v>3974.000128</v>
      </c>
      <c r="O473" s="5">
        <f>IF(M473="","",M473*J473)</f>
        <v/>
      </c>
      <c r="P473" s="5">
        <f>IF(N473="","",N473*J473)</f>
        <v/>
      </c>
      <c r="Q473" s="7" t="n">
        <v>0.05400000000000001</v>
      </c>
      <c r="R473" s="8" t="n">
        <v>13.374999</v>
      </c>
      <c r="S473" s="4" t="inlineStr">
        <is>
          <t>CAC40</t>
        </is>
      </c>
      <c r="T473" s="9" t="inlineStr">
        <is>
          <t>SI</t>
        </is>
      </c>
      <c r="U473" s="9" t="inlineStr"/>
      <c r="V473" s="10">
        <f>Umbrales!$B$9*(K473/1000)^Umbrales!$B$10</f>
        <v/>
      </c>
    </row>
    <row r="474">
      <c r="A474" s="4" t="inlineStr">
        <is>
          <t>AENA.MC</t>
        </is>
      </c>
      <c r="B474" s="4" t="inlineStr">
        <is>
          <t>Aena S.M.E., S.A.</t>
        </is>
      </c>
      <c r="C474" s="4" t="inlineStr">
        <is>
          <t>Spain</t>
        </is>
      </c>
      <c r="D474" s="4" t="inlineStr">
        <is>
          <t>ES</t>
        </is>
      </c>
      <c r="E474" s="4" t="inlineStr">
        <is>
          <t>Industria</t>
        </is>
      </c>
      <c r="F474" s="4" t="inlineStr">
        <is>
          <t>Airports &amp; Air Services</t>
        </is>
      </c>
      <c r="G474" s="4" t="inlineStr">
        <is>
          <t>MCE</t>
        </is>
      </c>
      <c r="H474" s="4" t="inlineStr">
        <is>
          <t>EUR</t>
        </is>
      </c>
      <c r="I474" s="5" t="n">
        <v>38310.002688</v>
      </c>
      <c r="J474" s="6">
        <f>INDEX(FX!$B:$B,MATCH(H474,FX!$A:$A,0))</f>
        <v/>
      </c>
      <c r="K474" s="5">
        <f>I474*J474</f>
        <v/>
      </c>
      <c r="L474" s="4">
        <f>IF(U474&lt;&gt;"",U474,IF(K474&gt;=Umbrales!$B$2,"Legendaria",IF(K474&gt;=Umbrales!$B$3,"Épica",IF(K474&gt;=Umbrales!$B$4,"Rara",IF(K474&gt;=Umbrales!$B$5,"Poco común","Común")))))</f>
        <v/>
      </c>
      <c r="M474" s="5" t="n">
        <v>6612.68224</v>
      </c>
      <c r="N474" s="5" t="n">
        <v>2244.87808</v>
      </c>
      <c r="O474" s="5">
        <f>IF(M474="","",M474*J474)</f>
        <v/>
      </c>
      <c r="P474" s="5">
        <f>IF(N474="","",N474*J474)</f>
        <v/>
      </c>
      <c r="Q474" s="7" t="n">
        <v>0.0432</v>
      </c>
      <c r="R474" s="8" t="n">
        <v>4.2006583</v>
      </c>
      <c r="S474" s="4" t="inlineStr">
        <is>
          <t>IBEX35</t>
        </is>
      </c>
      <c r="T474" s="9" t="inlineStr">
        <is>
          <t>SI</t>
        </is>
      </c>
      <c r="U474" s="9" t="inlineStr"/>
      <c r="V474" s="10">
        <f>Umbrales!$B$9*(K474/1000)^Umbrales!$B$10</f>
        <v/>
      </c>
    </row>
    <row r="475">
      <c r="A475" s="4" t="inlineStr">
        <is>
          <t>HOLN.SW</t>
        </is>
      </c>
      <c r="B475" s="4" t="inlineStr">
        <is>
          <t>Holcim AG</t>
        </is>
      </c>
      <c r="C475" s="4" t="inlineStr">
        <is>
          <t>Switzerland</t>
        </is>
      </c>
      <c r="D475" s="4" t="inlineStr">
        <is>
          <t>CH</t>
        </is>
      </c>
      <c r="E475" s="4" t="inlineStr">
        <is>
          <t>Materiales</t>
        </is>
      </c>
      <c r="F475" s="4" t="inlineStr">
        <is>
          <t>Building Materials</t>
        </is>
      </c>
      <c r="G475" s="4" t="inlineStr">
        <is>
          <t>EBS</t>
        </is>
      </c>
      <c r="H475" s="4" t="inlineStr">
        <is>
          <t>CHF</t>
        </is>
      </c>
      <c r="I475" s="5" t="n">
        <v>35422.134272</v>
      </c>
      <c r="J475" s="6">
        <f>INDEX(FX!$B:$B,MATCH(H475,FX!$A:$A,0))</f>
        <v/>
      </c>
      <c r="K475" s="5">
        <f>I475*J475</f>
        <v/>
      </c>
      <c r="L475" s="4">
        <f>IF(U475&lt;&gt;"",U475,IF(K475&gt;=Umbrales!$B$2,"Legendaria",IF(K475&gt;=Umbrales!$B$3,"Épica",IF(K475&gt;=Umbrales!$B$4,"Rara",IF(K475&gt;=Umbrales!$B$5,"Poco común","Común")))))</f>
        <v/>
      </c>
      <c r="M475" s="5" t="n">
        <v>15777.999872</v>
      </c>
      <c r="N475" s="5" t="n">
        <v>393</v>
      </c>
      <c r="O475" s="5">
        <f>IF(M475="","",M475*J475)</f>
        <v/>
      </c>
      <c r="P475" s="5">
        <f>IF(N475="","",N475*J475)</f>
        <v/>
      </c>
      <c r="Q475" s="7" t="n">
        <v>0.0264</v>
      </c>
      <c r="R475" s="8" t="n">
        <v>91.48572</v>
      </c>
      <c r="S475" s="4" t="inlineStr">
        <is>
          <t>SMI</t>
        </is>
      </c>
      <c r="T475" s="9" t="inlineStr">
        <is>
          <t>SI</t>
        </is>
      </c>
      <c r="U475" s="9" t="inlineStr"/>
      <c r="V475" s="10">
        <f>Umbrales!$B$9*(K475/1000)^Umbrales!$B$10</f>
        <v/>
      </c>
    </row>
    <row r="476">
      <c r="A476" s="4" t="inlineStr">
        <is>
          <t>MBG.DE</t>
        </is>
      </c>
      <c r="B476" s="4" t="inlineStr">
        <is>
          <t>Mercedes-Benz Group AG</t>
        </is>
      </c>
      <c r="C476" s="4" t="inlineStr">
        <is>
          <t>Germany</t>
        </is>
      </c>
      <c r="D476" s="4" t="inlineStr">
        <is>
          <t>DE</t>
        </is>
      </c>
      <c r="E476" s="4" t="inlineStr">
        <is>
          <t>Consumo cíclico</t>
        </is>
      </c>
      <c r="F476" s="4" t="inlineStr">
        <is>
          <t>Auto Manufacturers</t>
        </is>
      </c>
      <c r="G476" s="4" t="inlineStr">
        <is>
          <t>GER</t>
        </is>
      </c>
      <c r="H476" s="4" t="inlineStr">
        <is>
          <t>EUR</t>
        </is>
      </c>
      <c r="I476" s="5" t="n">
        <v>38040.485888</v>
      </c>
      <c r="J476" s="6">
        <f>INDEX(FX!$B:$B,MATCH(H476,FX!$A:$A,0))</f>
        <v/>
      </c>
      <c r="K476" s="5">
        <f>I476*J476</f>
        <v/>
      </c>
      <c r="L476" s="4">
        <f>IF(U476&lt;&gt;"",U476,IF(K476&gt;=Umbrales!$B$2,"Legendaria",IF(K476&gt;=Umbrales!$B$3,"Épica",IF(K476&gt;=Umbrales!$B$4,"Rara",IF(K476&gt;=Umbrales!$B$5,"Poco común","Común")))))</f>
        <v/>
      </c>
      <c r="M476" s="5" t="n">
        <v>129499.99616</v>
      </c>
      <c r="N476" s="5" t="n">
        <v>5031.000064</v>
      </c>
      <c r="O476" s="5">
        <f>IF(M476="","",M476*J476)</f>
        <v/>
      </c>
      <c r="P476" s="5">
        <f>IF(N476="","",N476*J476)</f>
        <v/>
      </c>
      <c r="Q476" s="7" t="n">
        <v>0.08789999999999999</v>
      </c>
      <c r="R476" s="8" t="n">
        <v>7.589962</v>
      </c>
      <c r="S476" s="4" t="inlineStr">
        <is>
          <t>DAX40, EUROSTOXX50</t>
        </is>
      </c>
      <c r="T476" s="9" t="inlineStr">
        <is>
          <t>SI</t>
        </is>
      </c>
      <c r="U476" s="9" t="inlineStr"/>
      <c r="V476" s="10">
        <f>Umbrales!$B$9*(K476/1000)^Umbrales!$B$10</f>
        <v/>
      </c>
    </row>
    <row r="477">
      <c r="A477" s="4" t="inlineStr">
        <is>
          <t>SEB-A.ST</t>
        </is>
      </c>
      <c r="B477" s="4" t="inlineStr">
        <is>
          <t>Skandinaviska Enskilda Banken AB (publ)</t>
        </is>
      </c>
      <c r="C477" s="4" t="inlineStr">
        <is>
          <t>Sweden</t>
        </is>
      </c>
      <c r="D477" s="4" t="inlineStr">
        <is>
          <t>SE</t>
        </is>
      </c>
      <c r="E477" s="4" t="inlineStr">
        <is>
          <t>Finanzas</t>
        </is>
      </c>
      <c r="F477" s="4" t="inlineStr">
        <is>
          <t>Banks - Regional</t>
        </is>
      </c>
      <c r="G477" s="4" t="inlineStr">
        <is>
          <t>STO</t>
        </is>
      </c>
      <c r="H477" s="4" t="inlineStr">
        <is>
          <t>SEK</t>
        </is>
      </c>
      <c r="I477" s="5" t="n">
        <v>423450.509312</v>
      </c>
      <c r="J477" s="6">
        <f>INDEX(FX!$B:$B,MATCH(H477,FX!$A:$A,0))</f>
        <v/>
      </c>
      <c r="K477" s="5">
        <f>I477*J477</f>
        <v/>
      </c>
      <c r="L477" s="4">
        <f>IF(U477&lt;&gt;"",U477,IF(K477&gt;=Umbrales!$B$2,"Legendaria",IF(K477&gt;=Umbrales!$B$3,"Épica",IF(K477&gt;=Umbrales!$B$4,"Rara",IF(K477&gt;=Umbrales!$B$5,"Poco común","Común")))))</f>
        <v/>
      </c>
      <c r="M477" s="5" t="n">
        <v>74537.00096</v>
      </c>
      <c r="N477" s="5" t="n">
        <v>31146.999808</v>
      </c>
      <c r="O477" s="5">
        <f>IF(M477="","",M477*J477)</f>
        <v/>
      </c>
      <c r="P477" s="5">
        <f>IF(N477="","",N477*J477)</f>
        <v/>
      </c>
      <c r="Q477" s="7" t="n">
        <v>0.0368</v>
      </c>
      <c r="R477" s="8" t="n">
        <v>14.578314</v>
      </c>
      <c r="S477" s="4" t="inlineStr">
        <is>
          <t>OMXS30</t>
        </is>
      </c>
      <c r="T477" s="9" t="inlineStr">
        <is>
          <t>SI</t>
        </is>
      </c>
      <c r="U477" s="9" t="inlineStr"/>
      <c r="V477" s="10">
        <f>Umbrales!$B$9*(K477/1000)^Umbrales!$B$10</f>
        <v/>
      </c>
    </row>
    <row r="478">
      <c r="A478" s="4" t="inlineStr">
        <is>
          <t>NTAP</t>
        </is>
      </c>
      <c r="B478" s="4" t="inlineStr">
        <is>
          <t>NetApp, Inc.</t>
        </is>
      </c>
      <c r="C478" s="4" t="inlineStr">
        <is>
          <t>United States</t>
        </is>
      </c>
      <c r="D478" s="4" t="inlineStr">
        <is>
          <t>US</t>
        </is>
      </c>
      <c r="E478" s="4" t="inlineStr">
        <is>
          <t>Tecnología</t>
        </is>
      </c>
      <c r="F478" s="4" t="inlineStr">
        <is>
          <t>Software - Infrastructure</t>
        </is>
      </c>
      <c r="G478" s="4" t="inlineStr">
        <is>
          <t>NMS</t>
        </is>
      </c>
      <c r="H478" s="4" t="inlineStr">
        <is>
          <t>USD</t>
        </is>
      </c>
      <c r="I478" s="5" t="n">
        <v>42266.423296</v>
      </c>
      <c r="J478" s="6">
        <f>INDEX(FX!$B:$B,MATCH(H478,FX!$A:$A,0))</f>
        <v/>
      </c>
      <c r="K478" s="5">
        <f>I478*J478</f>
        <v/>
      </c>
      <c r="L478" s="4">
        <f>IF(U478&lt;&gt;"",U478,IF(K478&gt;=Umbrales!$B$2,"Legendaria",IF(K478&gt;=Umbrales!$B$3,"Épica",IF(K478&gt;=Umbrales!$B$4,"Rara",IF(K478&gt;=Umbrales!$B$5,"Poco común","Común")))))</f>
        <v/>
      </c>
      <c r="M478" s="5" t="n">
        <v>7391.000064</v>
      </c>
      <c r="N478" s="5" t="n">
        <v>1418</v>
      </c>
      <c r="O478" s="5">
        <f>IF(M478="","",M478*J478)</f>
        <v/>
      </c>
      <c r="P478" s="5">
        <f>IF(N478="","",N478*J478)</f>
        <v/>
      </c>
      <c r="Q478" s="7" t="n">
        <v>0.008699999999999999</v>
      </c>
      <c r="R478" s="8" t="n">
        <v>32.653263</v>
      </c>
      <c r="S478" s="4" t="inlineStr">
        <is>
          <t>SP500</t>
        </is>
      </c>
      <c r="T478" s="9" t="inlineStr">
        <is>
          <t>SI</t>
        </is>
      </c>
      <c r="U478" s="9" t="inlineStr"/>
      <c r="V478" s="10">
        <f>Umbrales!$B$9*(K478/1000)^Umbrales!$B$10</f>
        <v/>
      </c>
    </row>
    <row r="479">
      <c r="A479" s="4" t="inlineStr">
        <is>
          <t>ADANIPORTS.NS</t>
        </is>
      </c>
      <c r="B479" s="4" t="inlineStr">
        <is>
          <t>Adani Ports and Special Economic Zone Limited</t>
        </is>
      </c>
      <c r="C479" s="4" t="inlineStr">
        <is>
          <t>India</t>
        </is>
      </c>
      <c r="D479" s="4" t="inlineStr">
        <is>
          <t>IN</t>
        </is>
      </c>
      <c r="E479" s="4" t="inlineStr">
        <is>
          <t>Industria</t>
        </is>
      </c>
      <c r="F479" s="4" t="inlineStr">
        <is>
          <t>Marine Shipping</t>
        </is>
      </c>
      <c r="G479" s="4" t="inlineStr">
        <is>
          <t>NSI</t>
        </is>
      </c>
      <c r="H479" s="4" t="inlineStr">
        <is>
          <t>INR</t>
        </is>
      </c>
      <c r="I479" s="5" t="n">
        <v>4016261.300224</v>
      </c>
      <c r="J479" s="6">
        <f>INDEX(FX!$B:$B,MATCH(H479,FX!$A:$A,0))</f>
        <v/>
      </c>
      <c r="K479" s="5">
        <f>I479*J479</f>
        <v/>
      </c>
      <c r="L479" s="4">
        <f>IF(U479&lt;&gt;"",U479,IF(K479&gt;=Umbrales!$B$2,"Legendaria",IF(K479&gt;=Umbrales!$B$3,"Épica",IF(K479&gt;=Umbrales!$B$4,"Rara",IF(K479&gt;=Umbrales!$B$5,"Poco común","Común")))))</f>
        <v/>
      </c>
      <c r="M479" s="5" t="n">
        <v>404304.297984</v>
      </c>
      <c r="N479" s="5" t="n">
        <v>131120.201728</v>
      </c>
      <c r="O479" s="5">
        <f>IF(M479="","",M479*J479)</f>
        <v/>
      </c>
      <c r="P479" s="5">
        <f>IF(N479="","",N479*J479)</f>
        <v/>
      </c>
      <c r="Q479" s="7" t="n">
        <v>0.0043</v>
      </c>
      <c r="R479" s="8" t="n">
        <v>29.752516</v>
      </c>
      <c r="S479" s="4" t="inlineStr">
        <is>
          <t>NIFTY50</t>
        </is>
      </c>
      <c r="T479" s="9" t="inlineStr">
        <is>
          <t>SI</t>
        </is>
      </c>
      <c r="U479" s="9" t="inlineStr"/>
      <c r="V479" s="10">
        <f>Umbrales!$B$9*(K479/1000)^Umbrales!$B$10</f>
        <v/>
      </c>
    </row>
    <row r="480">
      <c r="A480" s="4" t="inlineStr">
        <is>
          <t>AXISBANK.NS</t>
        </is>
      </c>
      <c r="B480" s="4" t="inlineStr">
        <is>
          <t>Axis Bank Limited</t>
        </is>
      </c>
      <c r="C480" s="4" t="inlineStr">
        <is>
          <t>India</t>
        </is>
      </c>
      <c r="D480" s="4" t="inlineStr">
        <is>
          <t>IN</t>
        </is>
      </c>
      <c r="E480" s="4" t="inlineStr">
        <is>
          <t>Finanzas</t>
        </is>
      </c>
      <c r="F480" s="4" t="inlineStr">
        <is>
          <t>Banks - Regional</t>
        </is>
      </c>
      <c r="G480" s="4" t="inlineStr">
        <is>
          <t>NSI</t>
        </is>
      </c>
      <c r="H480" s="4" t="inlineStr">
        <is>
          <t>INR</t>
        </is>
      </c>
      <c r="I480" s="5" t="n">
        <v>4010539.74528</v>
      </c>
      <c r="J480" s="6">
        <f>INDEX(FX!$B:$B,MATCH(H480,FX!$A:$A,0))</f>
        <v/>
      </c>
      <c r="K480" s="5">
        <f>I480*J480</f>
        <v/>
      </c>
      <c r="L480" s="4">
        <f>IF(U480&lt;&gt;"",U480,IF(K480&gt;=Umbrales!$B$2,"Legendaria",IF(K480&gt;=Umbrales!$B$3,"Épica",IF(K480&gt;=Umbrales!$B$4,"Rara",IF(K480&gt;=Umbrales!$B$5,"Poco común","Común")))))</f>
        <v/>
      </c>
      <c r="M480" s="5" t="n">
        <v>770813.591552</v>
      </c>
      <c r="N480" s="5" t="n">
        <v>277734.391808</v>
      </c>
      <c r="O480" s="5">
        <f>IF(M480="","",M480*J480)</f>
        <v/>
      </c>
      <c r="P480" s="5">
        <f>IF(N480="","",N480*J480)</f>
        <v/>
      </c>
      <c r="Q480" s="7" t="n">
        <v>0.0008</v>
      </c>
      <c r="R480" s="8" t="n">
        <v>14.483301</v>
      </c>
      <c r="S480" s="4" t="inlineStr">
        <is>
          <t>NIFTY50</t>
        </is>
      </c>
      <c r="T480" s="9" t="inlineStr">
        <is>
          <t>SI</t>
        </is>
      </c>
      <c r="U480" s="9" t="inlineStr"/>
      <c r="V480" s="10">
        <f>Umbrales!$B$9*(K480/1000)^Umbrales!$B$10</f>
        <v/>
      </c>
    </row>
    <row r="481">
      <c r="A481" s="4" t="inlineStr">
        <is>
          <t>P911.DE</t>
        </is>
      </c>
      <c r="B481" s="4" t="inlineStr">
        <is>
          <t>Dr. Ing. h.c. F. Porsche AG</t>
        </is>
      </c>
      <c r="C481" s="4" t="inlineStr">
        <is>
          <t>Germany</t>
        </is>
      </c>
      <c r="D481" s="4" t="inlineStr">
        <is>
          <t>DE</t>
        </is>
      </c>
      <c r="E481" s="4" t="inlineStr">
        <is>
          <t>Consumo cíclico</t>
        </is>
      </c>
      <c r="F481" s="4" t="inlineStr">
        <is>
          <t>Auto Manufacturers</t>
        </is>
      </c>
      <c r="G481" s="4" t="inlineStr">
        <is>
          <t>GER</t>
        </is>
      </c>
      <c r="H481" s="4" t="inlineStr">
        <is>
          <t>EUR</t>
        </is>
      </c>
      <c r="I481" s="5" t="n">
        <v>37496.758272</v>
      </c>
      <c r="J481" s="6">
        <f>INDEX(FX!$B:$B,MATCH(H481,FX!$A:$A,0))</f>
        <v/>
      </c>
      <c r="K481" s="5">
        <f>I481*J481</f>
        <v/>
      </c>
      <c r="L481" s="4">
        <f>IF(U481&lt;&gt;"",U481,IF(K481&gt;=Umbrales!$B$2,"Legendaria",IF(K481&gt;=Umbrales!$B$3,"Épica",IF(K481&gt;=Umbrales!$B$4,"Rara",IF(K481&gt;=Umbrales!$B$5,"Poco común","Común")))))</f>
        <v/>
      </c>
      <c r="M481" s="5" t="n">
        <v>35343.998976</v>
      </c>
      <c r="N481" s="5" t="n">
        <v>843</v>
      </c>
      <c r="O481" s="5">
        <f>IF(M481="","",M481*J481)</f>
        <v/>
      </c>
      <c r="P481" s="5">
        <f>IF(N481="","",N481*J481)</f>
        <v/>
      </c>
      <c r="Q481" s="7" t="n">
        <v>0.0237</v>
      </c>
      <c r="R481" s="8" t="n">
        <v>46.247192</v>
      </c>
      <c r="S481" s="4" t="inlineStr">
        <is>
          <t>DAX40</t>
        </is>
      </c>
      <c r="T481" s="9" t="inlineStr">
        <is>
          <t>SI</t>
        </is>
      </c>
      <c r="U481" s="9" t="inlineStr"/>
      <c r="V481" s="10">
        <f>Umbrales!$B$9*(K481/1000)^Umbrales!$B$10</f>
        <v/>
      </c>
    </row>
    <row r="482">
      <c r="A482" s="4" t="inlineStr">
        <is>
          <t>IDXX</t>
        </is>
      </c>
      <c r="B482" s="4" t="inlineStr">
        <is>
          <t>IDEXX Laboratories, Inc.</t>
        </is>
      </c>
      <c r="C482" s="4" t="inlineStr">
        <is>
          <t>United States</t>
        </is>
      </c>
      <c r="D482" s="4" t="inlineStr">
        <is>
          <t>US</t>
        </is>
      </c>
      <c r="E482" s="4" t="inlineStr">
        <is>
          <t>Salud</t>
        </is>
      </c>
      <c r="F482" s="4" t="inlineStr">
        <is>
          <t>Diagnostics &amp; Research</t>
        </is>
      </c>
      <c r="G482" s="4" t="inlineStr">
        <is>
          <t>NMS</t>
        </is>
      </c>
      <c r="H482" s="4" t="inlineStr">
        <is>
          <t>USD</t>
        </is>
      </c>
      <c r="I482" s="5" t="n">
        <v>41729.896448</v>
      </c>
      <c r="J482" s="6">
        <f>INDEX(FX!$B:$B,MATCH(H482,FX!$A:$A,0))</f>
        <v/>
      </c>
      <c r="K482" s="5">
        <f>I482*J482</f>
        <v/>
      </c>
      <c r="L482" s="4">
        <f>IF(U482&lt;&gt;"",U482,IF(K482&gt;=Umbrales!$B$2,"Legendaria",IF(K482&gt;=Umbrales!$B$3,"Épica",IF(K482&gt;=Umbrales!$B$4,"Rara",IF(K482&gt;=Umbrales!$B$5,"Poco común","Común")))))</f>
        <v/>
      </c>
      <c r="M482" s="5" t="n">
        <v>4553.223168</v>
      </c>
      <c r="N482" s="5" t="n">
        <v>1139.655936</v>
      </c>
      <c r="O482" s="5">
        <f>IF(M482="","",M482*J482)</f>
        <v/>
      </c>
      <c r="P482" s="5">
        <f>IF(N482="","",N482*J482)</f>
        <v/>
      </c>
      <c r="Q482" s="7" t="n">
        <v>0</v>
      </c>
      <c r="R482" s="8" t="n">
        <v>37.59844</v>
      </c>
      <c r="S482" s="4" t="inlineStr">
        <is>
          <t>NASDAQ100, SP500</t>
        </is>
      </c>
      <c r="T482" s="9" t="inlineStr">
        <is>
          <t>SI</t>
        </is>
      </c>
      <c r="U482" s="9" t="inlineStr"/>
      <c r="V482" s="10">
        <f>Umbrales!$B$9*(K482/1000)^Umbrales!$B$10</f>
        <v/>
      </c>
    </row>
    <row r="483">
      <c r="A483" s="4" t="inlineStr">
        <is>
          <t>TITAN.NS</t>
        </is>
      </c>
      <c r="B483" s="4" t="inlineStr">
        <is>
          <t>Titan Company Limited</t>
        </is>
      </c>
      <c r="C483" s="4" t="inlineStr">
        <is>
          <t>India</t>
        </is>
      </c>
      <c r="D483" s="4" t="inlineStr">
        <is>
          <t>IN</t>
        </is>
      </c>
      <c r="E483" s="4" t="inlineStr">
        <is>
          <t>Consumo cíclico</t>
        </is>
      </c>
      <c r="F483" s="4" t="inlineStr">
        <is>
          <t>Luxury Goods</t>
        </is>
      </c>
      <c r="G483" s="4" t="inlineStr">
        <is>
          <t>NSI</t>
        </is>
      </c>
      <c r="H483" s="4" t="inlineStr">
        <is>
          <t>INR</t>
        </is>
      </c>
      <c r="I483" s="5" t="n">
        <v>3953685.95456</v>
      </c>
      <c r="J483" s="6">
        <f>INDEX(FX!$B:$B,MATCH(H483,FX!$A:$A,0))</f>
        <v/>
      </c>
      <c r="K483" s="5">
        <f>I483*J483</f>
        <v/>
      </c>
      <c r="L483" s="4">
        <f>IF(U483&lt;&gt;"",U483,IF(K483&gt;=Umbrales!$B$2,"Legendaria",IF(K483&gt;=Umbrales!$B$3,"Épica",IF(K483&gt;=Umbrales!$B$4,"Rara",IF(K483&gt;=Umbrales!$B$5,"Poco común","Común")))))</f>
        <v/>
      </c>
      <c r="M483" s="5" t="n">
        <v>924169.99424</v>
      </c>
      <c r="N483" s="5" t="n">
        <v>57590.001664</v>
      </c>
      <c r="O483" s="5">
        <f>IF(M483="","",M483*J483)</f>
        <v/>
      </c>
      <c r="P483" s="5">
        <f>IF(N483="","",N483*J483)</f>
        <v/>
      </c>
      <c r="Q483" s="7" t="n">
        <v>0.0034</v>
      </c>
      <c r="R483" s="8" t="n">
        <v>68.67756</v>
      </c>
      <c r="S483" s="4" t="inlineStr">
        <is>
          <t>NIFTY50</t>
        </is>
      </c>
      <c r="T483" s="9" t="inlineStr">
        <is>
          <t>SI</t>
        </is>
      </c>
      <c r="U483" s="9" t="inlineStr"/>
      <c r="V483" s="10">
        <f>Umbrales!$B$9*(K483/1000)^Umbrales!$B$10</f>
        <v/>
      </c>
    </row>
    <row r="484">
      <c r="A484" s="4" t="inlineStr">
        <is>
          <t>AIG</t>
        </is>
      </c>
      <c r="B484" s="4" t="inlineStr">
        <is>
          <t>American International Group, Inc.</t>
        </is>
      </c>
      <c r="C484" s="4" t="inlineStr">
        <is>
          <t>United States</t>
        </is>
      </c>
      <c r="D484" s="4" t="inlineStr">
        <is>
          <t>US</t>
        </is>
      </c>
      <c r="E484" s="4" t="inlineStr">
        <is>
          <t>Finanzas</t>
        </is>
      </c>
      <c r="F484" s="4" t="inlineStr">
        <is>
          <t>Insurance - Diversified</t>
        </is>
      </c>
      <c r="G484" s="4" t="inlineStr">
        <is>
          <t>NYQ</t>
        </is>
      </c>
      <c r="H484" s="4" t="inlineStr">
        <is>
          <t>USD</t>
        </is>
      </c>
      <c r="I484" s="5" t="n">
        <v>41460.199424</v>
      </c>
      <c r="J484" s="6">
        <f>INDEX(FX!$B:$B,MATCH(H484,FX!$A:$A,0))</f>
        <v/>
      </c>
      <c r="K484" s="5">
        <f>I484*J484</f>
        <v/>
      </c>
      <c r="L484" s="4">
        <f>IF(U484&lt;&gt;"",U484,IF(K484&gt;=Umbrales!$B$2,"Legendaria",IF(K484&gt;=Umbrales!$B$3,"Épica",IF(K484&gt;=Umbrales!$B$4,"Rara",IF(K484&gt;=Umbrales!$B$5,"Poco común","Común")))))</f>
        <v/>
      </c>
      <c r="M484" s="5" t="n">
        <v>26738.999296</v>
      </c>
      <c r="N484" s="5" t="n">
        <v>2964.999936</v>
      </c>
      <c r="O484" s="5">
        <f>IF(M484="","",M484*J484)</f>
        <v/>
      </c>
      <c r="P484" s="5">
        <f>IF(N484="","",N484*J484)</f>
        <v/>
      </c>
      <c r="Q484" s="7" t="n">
        <v>0.0258</v>
      </c>
      <c r="R484" s="8" t="n">
        <v>14.575368</v>
      </c>
      <c r="S484" s="4" t="inlineStr">
        <is>
          <t>SP500</t>
        </is>
      </c>
      <c r="T484" s="9" t="inlineStr">
        <is>
          <t>SI</t>
        </is>
      </c>
      <c r="U484" s="9" t="inlineStr"/>
      <c r="V484" s="10">
        <f>Umbrales!$B$9*(K484/1000)^Umbrales!$B$10</f>
        <v/>
      </c>
    </row>
    <row r="485">
      <c r="A485" s="4" t="inlineStr">
        <is>
          <t>MSCI</t>
        </is>
      </c>
      <c r="B485" s="4" t="inlineStr">
        <is>
          <t>MSCI Inc.</t>
        </is>
      </c>
      <c r="C485" s="4" t="inlineStr">
        <is>
          <t>United States</t>
        </is>
      </c>
      <c r="D485" s="4" t="inlineStr">
        <is>
          <t>US</t>
        </is>
      </c>
      <c r="E485" s="4" t="inlineStr">
        <is>
          <t>Finanzas</t>
        </is>
      </c>
      <c r="F485" s="4" t="inlineStr">
        <is>
          <t>Financial Data &amp; Stock Exchanges</t>
        </is>
      </c>
      <c r="G485" s="4" t="inlineStr">
        <is>
          <t>NYQ</t>
        </is>
      </c>
      <c r="H485" s="4" t="inlineStr">
        <is>
          <t>USD</t>
        </is>
      </c>
      <c r="I485" s="5" t="n">
        <v>41364.115456</v>
      </c>
      <c r="J485" s="6">
        <f>INDEX(FX!$B:$B,MATCH(H485,FX!$A:$A,0))</f>
        <v/>
      </c>
      <c r="K485" s="5">
        <f>I485*J485</f>
        <v/>
      </c>
      <c r="L485" s="4">
        <f>IF(U485&lt;&gt;"",U485,IF(K485&gt;=Umbrales!$B$2,"Legendaria",IF(K485&gt;=Umbrales!$B$3,"Épica",IF(K485&gt;=Umbrales!$B$4,"Rara",IF(K485&gt;=Umbrales!$B$5,"Poco común","Común")))))</f>
        <v/>
      </c>
      <c r="M485" s="5" t="n">
        <v>3333.758976</v>
      </c>
      <c r="N485" s="5" t="n">
        <v>1358.004992</v>
      </c>
      <c r="O485" s="5">
        <f>IF(M485="","",M485*J485)</f>
        <v/>
      </c>
      <c r="P485" s="5">
        <f>IF(N485="","",N485*J485)</f>
        <v/>
      </c>
      <c r="Q485" s="7" t="n">
        <v>0.0146</v>
      </c>
      <c r="R485" s="8" t="n">
        <v>31.091257</v>
      </c>
      <c r="S485" s="4" t="inlineStr">
        <is>
          <t>SP500</t>
        </is>
      </c>
      <c r="T485" s="9" t="inlineStr">
        <is>
          <t>SI</t>
        </is>
      </c>
      <c r="U485" s="9" t="inlineStr"/>
      <c r="V485" s="10">
        <f>Umbrales!$B$9*(K485/1000)^Umbrales!$B$10</f>
        <v/>
      </c>
    </row>
    <row r="486">
      <c r="A486" s="4" t="inlineStr">
        <is>
          <t>DSV.CO</t>
        </is>
      </c>
      <c r="B486" s="4" t="inlineStr">
        <is>
          <t>DSV A/S</t>
        </is>
      </c>
      <c r="C486" s="4" t="inlineStr">
        <is>
          <t>Denmark</t>
        </is>
      </c>
      <c r="D486" s="4" t="inlineStr">
        <is>
          <t>DK</t>
        </is>
      </c>
      <c r="E486" s="4" t="inlineStr">
        <is>
          <t>Industria</t>
        </is>
      </c>
      <c r="F486" s="4" t="inlineStr">
        <is>
          <t>Integrated Freight &amp; Logistics</t>
        </is>
      </c>
      <c r="G486" s="4" t="inlineStr">
        <is>
          <t>CPH</t>
        </is>
      </c>
      <c r="H486" s="4" t="inlineStr">
        <is>
          <t>DKK</t>
        </is>
      </c>
      <c r="I486" s="5" t="n">
        <v>275066.421248</v>
      </c>
      <c r="J486" s="6">
        <f>INDEX(FX!$B:$B,MATCH(H486,FX!$A:$A,0))</f>
        <v/>
      </c>
      <c r="K486" s="5">
        <f>I486*J486</f>
        <v/>
      </c>
      <c r="L486" s="4">
        <f>IF(U486&lt;&gt;"",U486,IF(K486&gt;=Umbrales!$B$2,"Legendaria",IF(K486&gt;=Umbrales!$B$3,"Épica",IF(K486&gt;=Umbrales!$B$4,"Rara",IF(K486&gt;=Umbrales!$B$5,"Poco común","Común")))))</f>
        <v/>
      </c>
      <c r="M486" s="5" t="n">
        <v>290771.992576</v>
      </c>
      <c r="N486" s="5" t="n">
        <v>7160</v>
      </c>
      <c r="O486" s="5">
        <f>IF(M486="","",M486*J486)</f>
        <v/>
      </c>
      <c r="P486" s="5">
        <f>IF(N486="","",N486*J486)</f>
        <v/>
      </c>
      <c r="Q486" s="7" t="n">
        <v>0.0061</v>
      </c>
      <c r="R486" s="8" t="n">
        <v>38.234318</v>
      </c>
      <c r="S486" s="4" t="inlineStr"/>
      <c r="T486" s="9" t="inlineStr">
        <is>
          <t>SI</t>
        </is>
      </c>
      <c r="U486" s="9" t="inlineStr"/>
      <c r="V486" s="10">
        <f>Umbrales!$B$9*(K486/1000)^Umbrales!$B$10</f>
        <v/>
      </c>
    </row>
    <row r="487">
      <c r="A487" s="4" t="inlineStr">
        <is>
          <t>SSE.L</t>
        </is>
      </c>
      <c r="B487" s="4" t="inlineStr">
        <is>
          <t>SSE plc</t>
        </is>
      </c>
      <c r="C487" s="4" t="inlineStr">
        <is>
          <t>United Kingdom</t>
        </is>
      </c>
      <c r="D487" s="4" t="inlineStr">
        <is>
          <t>GB</t>
        </is>
      </c>
      <c r="E487" s="4" t="inlineStr">
        <is>
          <t>Servicios públicos</t>
        </is>
      </c>
      <c r="F487" s="4" t="inlineStr">
        <is>
          <t>Utilities - Diversified</t>
        </is>
      </c>
      <c r="G487" s="4" t="inlineStr">
        <is>
          <t>LSE</t>
        </is>
      </c>
      <c r="H487" s="4" t="inlineStr">
        <is>
          <t>GBP</t>
        </is>
      </c>
      <c r="I487" s="5" t="n">
        <v>31037.249536</v>
      </c>
      <c r="J487" s="6">
        <f>INDEX(FX!$B:$B,MATCH(H487,FX!$A:$A,0))</f>
        <v/>
      </c>
      <c r="K487" s="5">
        <f>I487*J487</f>
        <v/>
      </c>
      <c r="L487" s="4">
        <f>IF(U487&lt;&gt;"",U487,IF(K487&gt;=Umbrales!$B$2,"Legendaria",IF(K487&gt;=Umbrales!$B$3,"Épica",IF(K487&gt;=Umbrales!$B$4,"Rara",IF(K487&gt;=Umbrales!$B$5,"Poco común","Común")))))</f>
        <v/>
      </c>
      <c r="M487" s="5" t="n">
        <v>10186.500096</v>
      </c>
      <c r="N487" s="5" t="n">
        <v>1208.700032</v>
      </c>
      <c r="O487" s="5">
        <f>IF(M487="","",M487*J487)</f>
        <v/>
      </c>
      <c r="P487" s="5">
        <f>IF(N487="","",N487*J487)</f>
        <v/>
      </c>
      <c r="Q487" s="7" t="n">
        <v>0.0273</v>
      </c>
      <c r="R487" s="8" t="n">
        <v>24.103775</v>
      </c>
      <c r="S487" s="4" t="inlineStr">
        <is>
          <t>FTSE100</t>
        </is>
      </c>
      <c r="T487" s="9" t="inlineStr">
        <is>
          <t>SI</t>
        </is>
      </c>
      <c r="U487" s="9" t="inlineStr"/>
      <c r="V487" s="10">
        <f>Umbrales!$B$9*(K487/1000)^Umbrales!$B$10</f>
        <v/>
      </c>
    </row>
    <row r="488">
      <c r="A488" s="4" t="inlineStr">
        <is>
          <t>0992.HK</t>
        </is>
      </c>
      <c r="B488" s="4" t="inlineStr">
        <is>
          <t>Lenovo Group Limited</t>
        </is>
      </c>
      <c r="C488" s="4" t="inlineStr">
        <is>
          <t>Hong Kong</t>
        </is>
      </c>
      <c r="D488" s="4" t="inlineStr">
        <is>
          <t>HK</t>
        </is>
      </c>
      <c r="E488" s="4" t="inlineStr">
        <is>
          <t>Tecnología</t>
        </is>
      </c>
      <c r="F488" s="4" t="inlineStr">
        <is>
          <t>Computer Hardware</t>
        </is>
      </c>
      <c r="G488" s="4" t="inlineStr">
        <is>
          <t>HKG</t>
        </is>
      </c>
      <c r="H488" s="4" t="inlineStr">
        <is>
          <t>HKD</t>
        </is>
      </c>
      <c r="I488" s="5" t="n">
        <v>322273.050624</v>
      </c>
      <c r="J488" s="6">
        <f>INDEX(FX!$B:$B,MATCH(H488,FX!$A:$A,0))</f>
        <v/>
      </c>
      <c r="K488" s="5">
        <f>I488*J488</f>
        <v/>
      </c>
      <c r="L488" s="4">
        <f>IF(U488&lt;&gt;"",U488,IF(K488&gt;=Umbrales!$B$2,"Legendaria",IF(K488&gt;=Umbrales!$B$3,"Épica",IF(K488&gt;=Umbrales!$B$4,"Rara",IF(K488&gt;=Umbrales!$B$5,"Poco común","Común")))))</f>
        <v/>
      </c>
      <c r="M488" s="5" t="n">
        <v>91187.453952</v>
      </c>
      <c r="N488" s="5" t="n">
        <v>798.017984</v>
      </c>
      <c r="O488" s="5">
        <f>IF(M488="","",M488*J488)</f>
        <v/>
      </c>
      <c r="P488" s="5">
        <f>IF(N488="","",N488*J488)</f>
        <v/>
      </c>
      <c r="Q488" s="7" t="n">
        <v>0.0139</v>
      </c>
      <c r="R488" s="8" t="n">
        <v>24.509436</v>
      </c>
      <c r="S488" s="4" t="inlineStr">
        <is>
          <t>HANGSENG</t>
        </is>
      </c>
      <c r="T488" s="9" t="inlineStr">
        <is>
          <t>SI</t>
        </is>
      </c>
      <c r="U488" s="9" t="inlineStr"/>
      <c r="V488" s="10">
        <f>Umbrales!$B$9*(K488/1000)^Umbrales!$B$10</f>
        <v/>
      </c>
    </row>
    <row r="489">
      <c r="A489" s="4" t="inlineStr">
        <is>
          <t>YUM</t>
        </is>
      </c>
      <c r="B489" s="4" t="inlineStr">
        <is>
          <t>Yum! Brands, Inc.</t>
        </is>
      </c>
      <c r="C489" s="4" t="inlineStr">
        <is>
          <t>United States</t>
        </is>
      </c>
      <c r="D489" s="4" t="inlineStr">
        <is>
          <t>US</t>
        </is>
      </c>
      <c r="E489" s="4" t="inlineStr">
        <is>
          <t>Consumo cíclico</t>
        </is>
      </c>
      <c r="F489" s="4" t="inlineStr">
        <is>
          <t>Restaurants</t>
        </is>
      </c>
      <c r="G489" s="4" t="inlineStr">
        <is>
          <t>NYQ</t>
        </is>
      </c>
      <c r="H489" s="4" t="inlineStr">
        <is>
          <t>USD</t>
        </is>
      </c>
      <c r="I489" s="5" t="n">
        <v>41019.76064</v>
      </c>
      <c r="J489" s="6">
        <f>INDEX(FX!$B:$B,MATCH(H489,FX!$A:$A,0))</f>
        <v/>
      </c>
      <c r="K489" s="5">
        <f>I489*J489</f>
        <v/>
      </c>
      <c r="L489" s="4">
        <f>IF(U489&lt;&gt;"",U489,IF(K489&gt;=Umbrales!$B$2,"Legendaria",IF(K489&gt;=Umbrales!$B$3,"Épica",IF(K489&gt;=Umbrales!$B$4,"Rara",IF(K489&gt;=Umbrales!$B$5,"Poco común","Común")))))</f>
        <v/>
      </c>
      <c r="M489" s="5" t="n">
        <v>8721.999872</v>
      </c>
      <c r="N489" s="5" t="n">
        <v>2216</v>
      </c>
      <c r="O489" s="5">
        <f>IF(M489="","",M489*J489)</f>
        <v/>
      </c>
      <c r="P489" s="5">
        <f>IF(N489="","",N489*J489)</f>
        <v/>
      </c>
      <c r="Q489" s="7" t="n">
        <v>0.0204</v>
      </c>
      <c r="R489" s="8" t="n">
        <v>18.93073</v>
      </c>
      <c r="S489" s="4" t="inlineStr">
        <is>
          <t>SP500</t>
        </is>
      </c>
      <c r="T489" s="9" t="inlineStr">
        <is>
          <t>SI</t>
        </is>
      </c>
      <c r="U489" s="9" t="inlineStr"/>
      <c r="V489" s="10">
        <f>Umbrales!$B$9*(K489/1000)^Umbrales!$B$10</f>
        <v/>
      </c>
    </row>
    <row r="490">
      <c r="A490" s="4" t="inlineStr">
        <is>
          <t>ASM.AS</t>
        </is>
      </c>
      <c r="B490" s="4" t="inlineStr">
        <is>
          <t>ASM International NV</t>
        </is>
      </c>
      <c r="C490" s="4" t="inlineStr">
        <is>
          <t>Netherlands</t>
        </is>
      </c>
      <c r="D490" s="4" t="inlineStr">
        <is>
          <t>NL</t>
        </is>
      </c>
      <c r="E490" s="4" t="inlineStr">
        <is>
          <t>Tecnología</t>
        </is>
      </c>
      <c r="F490" s="4" t="inlineStr">
        <is>
          <t>Semiconductor Equipment &amp; Materials</t>
        </is>
      </c>
      <c r="G490" s="4" t="inlineStr">
        <is>
          <t>AMS</t>
        </is>
      </c>
      <c r="H490" s="4" t="inlineStr">
        <is>
          <t>EUR</t>
        </is>
      </c>
      <c r="I490" s="5" t="n">
        <v>36476.08832</v>
      </c>
      <c r="J490" s="6">
        <f>INDEX(FX!$B:$B,MATCH(H490,FX!$A:$A,0))</f>
        <v/>
      </c>
      <c r="K490" s="5">
        <f>I490*J490</f>
        <v/>
      </c>
      <c r="L490" s="4">
        <f>IF(U490&lt;&gt;"",U490,IF(K490&gt;=Umbrales!$B$2,"Legendaria",IF(K490&gt;=Umbrales!$B$3,"Épica",IF(K490&gt;=Umbrales!$B$4,"Rara",IF(K490&gt;=Umbrales!$B$5,"Poco común","Común")))))</f>
        <v/>
      </c>
      <c r="M490" s="5" t="n">
        <v>3364</v>
      </c>
      <c r="N490" s="5" t="n">
        <v>1074.099968</v>
      </c>
      <c r="O490" s="5">
        <f>IF(M490="","",M490*J490)</f>
        <v/>
      </c>
      <c r="P490" s="5">
        <f>IF(N490="","",N490*J490)</f>
        <v/>
      </c>
      <c r="Q490" s="7" t="n">
        <v>0.004</v>
      </c>
      <c r="R490" s="8" t="n">
        <v>34.0255</v>
      </c>
      <c r="S490" s="4" t="inlineStr">
        <is>
          <t>AEX</t>
        </is>
      </c>
      <c r="T490" s="9" t="inlineStr">
        <is>
          <t>SI</t>
        </is>
      </c>
      <c r="U490" s="9" t="inlineStr"/>
      <c r="V490" s="10">
        <f>Umbrales!$B$9*(K490/1000)^Umbrales!$B$10</f>
        <v/>
      </c>
    </row>
    <row r="491">
      <c r="A491" s="4" t="inlineStr">
        <is>
          <t>WCN.TO</t>
        </is>
      </c>
      <c r="B491" s="4" t="inlineStr">
        <is>
          <t>Waste Connections, Inc.</t>
        </is>
      </c>
      <c r="C491" s="4" t="inlineStr">
        <is>
          <t>Canada</t>
        </is>
      </c>
      <c r="D491" s="4" t="inlineStr">
        <is>
          <t>CA</t>
        </is>
      </c>
      <c r="E491" s="4" t="inlineStr">
        <is>
          <t>Industria</t>
        </is>
      </c>
      <c r="F491" s="4" t="inlineStr">
        <is>
          <t>Waste Management</t>
        </is>
      </c>
      <c r="G491" s="4" t="inlineStr">
        <is>
          <t>TOR</t>
        </is>
      </c>
      <c r="H491" s="4" t="inlineStr">
        <is>
          <t>CAD</t>
        </is>
      </c>
      <c r="I491" s="5" t="n">
        <v>57969.098752</v>
      </c>
      <c r="J491" s="6">
        <f>INDEX(FX!$B:$B,MATCH(H491,FX!$A:$A,0))</f>
        <v/>
      </c>
      <c r="K491" s="5">
        <f>I491*J491</f>
        <v/>
      </c>
      <c r="L491" s="4">
        <f>IF(U491&lt;&gt;"",U491,IF(K491&gt;=Umbrales!$B$2,"Legendaria",IF(K491&gt;=Umbrales!$B$3,"Épica",IF(K491&gt;=Umbrales!$B$4,"Rara",IF(K491&gt;=Umbrales!$B$5,"Poco común","Común")))))</f>
        <v/>
      </c>
      <c r="M491" s="5" t="n">
        <v>9763.922944</v>
      </c>
      <c r="N491" s="5" t="n">
        <v>1060.512</v>
      </c>
      <c r="O491" s="5">
        <f>IF(M491="","",M491*J491)</f>
        <v/>
      </c>
      <c r="P491" s="5">
        <f>IF(N491="","",N491*J491)</f>
        <v/>
      </c>
      <c r="Q491" s="7" t="n">
        <v>0.0089</v>
      </c>
      <c r="R491" s="8" t="n">
        <v>39.389744</v>
      </c>
      <c r="S491" s="4" t="inlineStr">
        <is>
          <t>TSX60</t>
        </is>
      </c>
      <c r="T491" s="9" t="inlineStr">
        <is>
          <t>SI</t>
        </is>
      </c>
      <c r="U491" s="9" t="inlineStr"/>
      <c r="V491" s="10">
        <f>Umbrales!$B$9*(K491/1000)^Umbrales!$B$10</f>
        <v/>
      </c>
    </row>
    <row r="492">
      <c r="A492" s="4" t="inlineStr">
        <is>
          <t>TWLO</t>
        </is>
      </c>
      <c r="B492" s="4" t="inlineStr">
        <is>
          <t>Twilio Inc.</t>
        </is>
      </c>
      <c r="C492" s="4" t="inlineStr">
        <is>
          <t>United States</t>
        </is>
      </c>
      <c r="D492" s="4" t="inlineStr">
        <is>
          <t>US</t>
        </is>
      </c>
      <c r="E492" s="4" t="inlineStr">
        <is>
          <t>Tecnología</t>
        </is>
      </c>
      <c r="F492" s="4" t="inlineStr">
        <is>
          <t>Software - Infrastructure</t>
        </is>
      </c>
      <c r="G492" s="4" t="inlineStr">
        <is>
          <t>NYQ</t>
        </is>
      </c>
      <c r="H492" s="4" t="inlineStr">
        <is>
          <t>USD</t>
        </is>
      </c>
      <c r="I492" s="5" t="n">
        <v>40842.563584</v>
      </c>
      <c r="J492" s="6">
        <f>INDEX(FX!$B:$B,MATCH(H492,FX!$A:$A,0))</f>
        <v/>
      </c>
      <c r="K492" s="5">
        <f>I492*J492</f>
        <v/>
      </c>
      <c r="L492" s="4">
        <f>IF(U492&lt;&gt;"",U492,IF(K492&gt;=Umbrales!$B$2,"Legendaria",IF(K492&gt;=Umbrales!$B$3,"Épica",IF(K492&gt;=Umbrales!$B$4,"Rara",IF(K492&gt;=Umbrales!$B$5,"Poco común","Común")))))</f>
        <v/>
      </c>
      <c r="M492" s="5" t="n">
        <v>5572.327936</v>
      </c>
      <c r="N492" s="5" t="n">
        <v>1148.742016</v>
      </c>
      <c r="O492" s="5">
        <f>IF(M492="","",M492*J492)</f>
        <v/>
      </c>
      <c r="P492" s="5">
        <f>IF(N492="","",N492*J492)</f>
        <v/>
      </c>
      <c r="Q492" s="7" t="n">
        <v>0</v>
      </c>
      <c r="R492" s="8" t="n">
        <v>36.783543</v>
      </c>
      <c r="S492" s="4" t="inlineStr">
        <is>
          <t>SP500</t>
        </is>
      </c>
      <c r="T492" s="9" t="inlineStr">
        <is>
          <t>SI</t>
        </is>
      </c>
      <c r="U492" s="9" t="inlineStr"/>
      <c r="V492" s="10">
        <f>Umbrales!$B$9*(K492/1000)^Umbrales!$B$10</f>
        <v/>
      </c>
    </row>
    <row r="493">
      <c r="A493" s="4" t="inlineStr">
        <is>
          <t>ED</t>
        </is>
      </c>
      <c r="B493" s="4" t="inlineStr">
        <is>
          <t>Consolidated Edison, Inc.</t>
        </is>
      </c>
      <c r="C493" s="4" t="inlineStr">
        <is>
          <t>United States</t>
        </is>
      </c>
      <c r="D493" s="4" t="inlineStr">
        <is>
          <t>US</t>
        </is>
      </c>
      <c r="E493" s="4" t="inlineStr">
        <is>
          <t>Servicios públicos</t>
        </is>
      </c>
      <c r="F493" s="4" t="inlineStr">
        <is>
          <t>Utilities - Regulated Electric</t>
        </is>
      </c>
      <c r="G493" s="4" t="inlineStr">
        <is>
          <t>NYQ</t>
        </is>
      </c>
      <c r="H493" s="4" t="inlineStr">
        <is>
          <t>USD</t>
        </is>
      </c>
      <c r="I493" s="5" t="n">
        <v>40810.590208</v>
      </c>
      <c r="J493" s="6">
        <f>INDEX(FX!$B:$B,MATCH(H493,FX!$A:$A,0))</f>
        <v/>
      </c>
      <c r="K493" s="5">
        <f>I493*J493</f>
        <v/>
      </c>
      <c r="L493" s="4">
        <f>IF(U493&lt;&gt;"",U493,IF(K493&gt;=Umbrales!$B$2,"Legendaria",IF(K493&gt;=Umbrales!$B$3,"Épica",IF(K493&gt;=Umbrales!$B$4,"Rara",IF(K493&gt;=Umbrales!$B$5,"Poco común","Común")))))</f>
        <v/>
      </c>
      <c r="M493" s="5" t="n">
        <v>17688.999936</v>
      </c>
      <c r="N493" s="5" t="n">
        <v>2216.999936</v>
      </c>
      <c r="O493" s="5">
        <f>IF(M493="","",M493*J493)</f>
        <v/>
      </c>
      <c r="P493" s="5">
        <f>IF(N493="","",N493*J493)</f>
        <v/>
      </c>
      <c r="Q493" s="7" t="n">
        <v>0.0326</v>
      </c>
      <c r="R493" s="8" t="n">
        <v>18.179571</v>
      </c>
      <c r="S493" s="4" t="inlineStr">
        <is>
          <t>SP500</t>
        </is>
      </c>
      <c r="T493" s="9" t="inlineStr">
        <is>
          <t>SI</t>
        </is>
      </c>
      <c r="U493" s="9" t="inlineStr"/>
      <c r="V493" s="10">
        <f>Umbrales!$B$9*(K493/1000)^Umbrales!$B$10</f>
        <v/>
      </c>
    </row>
    <row r="494">
      <c r="A494" s="4" t="inlineStr">
        <is>
          <t>STMMI.MI</t>
        </is>
      </c>
      <c r="B494" s="4" t="inlineStr">
        <is>
          <t>STMicroelectronics N.V.</t>
        </is>
      </c>
      <c r="C494" s="4" t="inlineStr">
        <is>
          <t>Netherlands</t>
        </is>
      </c>
      <c r="D494" s="4" t="inlineStr">
        <is>
          <t>NL</t>
        </is>
      </c>
      <c r="E494" s="4" t="inlineStr">
        <is>
          <t>Tecnología</t>
        </is>
      </c>
      <c r="F494" s="4" t="inlineStr">
        <is>
          <t>Semiconductors</t>
        </is>
      </c>
      <c r="G494" s="4" t="inlineStr">
        <is>
          <t>MIL</t>
        </is>
      </c>
      <c r="H494" s="4" t="inlineStr">
        <is>
          <t>EUR</t>
        </is>
      </c>
      <c r="I494" s="5" t="n">
        <v>36337.852416</v>
      </c>
      <c r="J494" s="6">
        <f>INDEX(FX!$B:$B,MATCH(H494,FX!$A:$A,0))</f>
        <v/>
      </c>
      <c r="K494" s="5">
        <f>I494*J494</f>
        <v/>
      </c>
      <c r="L494" s="4">
        <f>IF(U494&lt;&gt;"",U494,IF(K494&gt;=Umbrales!$B$2,"Legendaria",IF(K494&gt;=Umbrales!$B$3,"Épica",IF(K494&gt;=Umbrales!$B$4,"Rara",IF(K494&gt;=Umbrales!$B$5,"Poco común","Común")))))</f>
        <v/>
      </c>
      <c r="M494" s="5" t="n">
        <v>13098.999808</v>
      </c>
      <c r="N494" s="5" t="n">
        <v>466</v>
      </c>
      <c r="O494" s="5">
        <f>IF(M494="","",M494*J494)</f>
        <v/>
      </c>
      <c r="P494" s="5">
        <f>IF(N494="","",N494*J494)</f>
        <v/>
      </c>
      <c r="Q494" s="7" t="n">
        <v>0.0074</v>
      </c>
      <c r="R494" s="8" t="n">
        <v>1352.8334</v>
      </c>
      <c r="S494" s="4" t="inlineStr">
        <is>
          <t>FTSEMIB</t>
        </is>
      </c>
      <c r="T494" s="9" t="inlineStr">
        <is>
          <t>SI</t>
        </is>
      </c>
      <c r="U494" s="9" t="inlineStr"/>
      <c r="V494" s="10">
        <f>Umbrales!$B$9*(K494/1000)^Umbrales!$B$10</f>
        <v/>
      </c>
    </row>
    <row r="495">
      <c r="A495" s="4" t="inlineStr">
        <is>
          <t>STMPA.PA</t>
        </is>
      </c>
      <c r="B495" s="4" t="inlineStr">
        <is>
          <t>STMicroelectronics N.V.</t>
        </is>
      </c>
      <c r="C495" s="4" t="inlineStr">
        <is>
          <t>Netherlands</t>
        </is>
      </c>
      <c r="D495" s="4" t="inlineStr">
        <is>
          <t>NL</t>
        </is>
      </c>
      <c r="E495" s="4" t="inlineStr">
        <is>
          <t>Tecnología</t>
        </is>
      </c>
      <c r="F495" s="4" t="inlineStr">
        <is>
          <t>Semiconductors</t>
        </is>
      </c>
      <c r="G495" s="4" t="inlineStr">
        <is>
          <t>PAR</t>
        </is>
      </c>
      <c r="H495" s="4" t="inlineStr">
        <is>
          <t>EUR</t>
        </is>
      </c>
      <c r="I495" s="5" t="n">
        <v>36319.944704</v>
      </c>
      <c r="J495" s="6">
        <f>INDEX(FX!$B:$B,MATCH(H495,FX!$A:$A,0))</f>
        <v/>
      </c>
      <c r="K495" s="5">
        <f>I495*J495</f>
        <v/>
      </c>
      <c r="L495" s="4">
        <f>IF(U495&lt;&gt;"",U495,IF(K495&gt;=Umbrales!$B$2,"Legendaria",IF(K495&gt;=Umbrales!$B$3,"Épica",IF(K495&gt;=Umbrales!$B$4,"Rara",IF(K495&gt;=Umbrales!$B$5,"Poco común","Común")))))</f>
        <v/>
      </c>
      <c r="M495" s="5" t="n">
        <v>13098.999808</v>
      </c>
      <c r="N495" s="5" t="n">
        <v>466</v>
      </c>
      <c r="O495" s="5">
        <f>IF(M495="","",M495*J495)</f>
        <v/>
      </c>
      <c r="P495" s="5">
        <f>IF(N495="","",N495*J495)</f>
        <v/>
      </c>
      <c r="Q495" s="7" t="n">
        <v>0.0074</v>
      </c>
      <c r="R495" s="8" t="n">
        <v>1352.1666</v>
      </c>
      <c r="S495" s="4" t="inlineStr">
        <is>
          <t>CAC40</t>
        </is>
      </c>
      <c r="T495" s="9" t="inlineStr">
        <is>
          <t>SI</t>
        </is>
      </c>
      <c r="U495" s="9" t="inlineStr"/>
      <c r="V495" s="10">
        <f>Umbrales!$B$9*(K495/1000)^Umbrales!$B$10</f>
        <v/>
      </c>
    </row>
    <row r="496">
      <c r="A496" s="4" t="inlineStr">
        <is>
          <t>SYY</t>
        </is>
      </c>
      <c r="B496" s="4" t="inlineStr">
        <is>
          <t>Sysco Corporation</t>
        </is>
      </c>
      <c r="C496" s="4" t="inlineStr">
        <is>
          <t>United States</t>
        </is>
      </c>
      <c r="D496" s="4" t="inlineStr">
        <is>
          <t>US</t>
        </is>
      </c>
      <c r="E496" s="4" t="inlineStr">
        <is>
          <t>Consumo básico</t>
        </is>
      </c>
      <c r="F496" s="4" t="inlineStr">
        <is>
          <t>Food Distribution</t>
        </is>
      </c>
      <c r="G496" s="4" t="inlineStr">
        <is>
          <t>NYQ</t>
        </is>
      </c>
      <c r="H496" s="4" t="inlineStr">
        <is>
          <t>USD</t>
        </is>
      </c>
      <c r="I496" s="5" t="n">
        <v>40691.122176</v>
      </c>
      <c r="J496" s="6">
        <f>INDEX(FX!$B:$B,MATCH(H496,FX!$A:$A,0))</f>
        <v/>
      </c>
      <c r="K496" s="5">
        <f>I496*J496</f>
        <v/>
      </c>
      <c r="L496" s="4">
        <f>IF(U496&lt;&gt;"",U496,IF(K496&gt;=Umbrales!$B$2,"Legendaria",IF(K496&gt;=Umbrales!$B$3,"Épica",IF(K496&gt;=Umbrales!$B$4,"Rara",IF(K496&gt;=Umbrales!$B$5,"Poco común","Común")))))</f>
        <v/>
      </c>
      <c r="M496" s="5" t="n">
        <v>84552.998912</v>
      </c>
      <c r="N496" s="5" t="n">
        <v>1756.999936</v>
      </c>
      <c r="O496" s="5">
        <f>IF(M496="","",M496*J496)</f>
        <v/>
      </c>
      <c r="P496" s="5">
        <f>IF(N496="","",N496*J496)</f>
        <v/>
      </c>
      <c r="Q496" s="7" t="n">
        <v>0.0278</v>
      </c>
      <c r="R496" s="8" t="n">
        <v>22.601093</v>
      </c>
      <c r="S496" s="4" t="inlineStr">
        <is>
          <t>SP500</t>
        </is>
      </c>
      <c r="T496" s="9" t="inlineStr">
        <is>
          <t>SI</t>
        </is>
      </c>
      <c r="U496" s="9" t="inlineStr"/>
      <c r="V496" s="10">
        <f>Umbrales!$B$9*(K496/1000)^Umbrales!$B$10</f>
        <v/>
      </c>
    </row>
    <row r="497">
      <c r="A497" s="4" t="inlineStr">
        <is>
          <t>POW.TO</t>
        </is>
      </c>
      <c r="B497" s="4" t="inlineStr">
        <is>
          <t>Power Corporation of Canada</t>
        </is>
      </c>
      <c r="C497" s="4" t="inlineStr">
        <is>
          <t>Canada</t>
        </is>
      </c>
      <c r="D497" s="4" t="inlineStr">
        <is>
          <t>CA</t>
        </is>
      </c>
      <c r="E497" s="4" t="inlineStr">
        <is>
          <t>Finanzas</t>
        </is>
      </c>
      <c r="F497" s="4" t="inlineStr">
        <is>
          <t>Insurance - Life</t>
        </is>
      </c>
      <c r="G497" s="4" t="inlineStr">
        <is>
          <t>TOR</t>
        </is>
      </c>
      <c r="H497" s="4" t="inlineStr">
        <is>
          <t>CAD</t>
        </is>
      </c>
      <c r="I497" s="5" t="n">
        <v>57236.205568</v>
      </c>
      <c r="J497" s="6">
        <f>INDEX(FX!$B:$B,MATCH(H497,FX!$A:$A,0))</f>
        <v/>
      </c>
      <c r="K497" s="5">
        <f>I497*J497</f>
        <v/>
      </c>
      <c r="L497" s="4">
        <f>IF(U497&lt;&gt;"",U497,IF(K497&gt;=Umbrales!$B$2,"Legendaria",IF(K497&gt;=Umbrales!$B$3,"Épica",IF(K497&gt;=Umbrales!$B$4,"Rara",IF(K497&gt;=Umbrales!$B$5,"Poco común","Común")))))</f>
        <v/>
      </c>
      <c r="M497" s="5" t="n">
        <v>40303.0016</v>
      </c>
      <c r="N497" s="5" t="n">
        <v>2620.999936</v>
      </c>
      <c r="O497" s="5">
        <f>IF(M497="","",M497*J497)</f>
        <v/>
      </c>
      <c r="P497" s="5">
        <f>IF(N497="","",N497*J497)</f>
        <v/>
      </c>
      <c r="Q497" s="7" t="n">
        <v>0.0295</v>
      </c>
      <c r="R497" s="8" t="n">
        <v>22.402948</v>
      </c>
      <c r="S497" s="4" t="inlineStr">
        <is>
          <t>TSX60</t>
        </is>
      </c>
      <c r="T497" s="9" t="inlineStr">
        <is>
          <t>SI</t>
        </is>
      </c>
      <c r="U497" s="9" t="inlineStr"/>
      <c r="V497" s="10">
        <f>Umbrales!$B$9*(K497/1000)^Umbrales!$B$10</f>
        <v/>
      </c>
    </row>
    <row r="498">
      <c r="A498" s="4" t="inlineStr">
        <is>
          <t>ILMN</t>
        </is>
      </c>
      <c r="B498" s="4" t="inlineStr">
        <is>
          <t>Illumina, Inc.</t>
        </is>
      </c>
      <c r="C498" s="4" t="inlineStr">
        <is>
          <t>United States</t>
        </is>
      </c>
      <c r="D498" s="4" t="inlineStr">
        <is>
          <t>US</t>
        </is>
      </c>
      <c r="E498" s="4" t="inlineStr">
        <is>
          <t>Salud</t>
        </is>
      </c>
      <c r="F498" s="4" t="inlineStr">
        <is>
          <t>Diagnostics &amp; Research</t>
        </is>
      </c>
      <c r="G498" s="4" t="inlineStr">
        <is>
          <t>NMS</t>
        </is>
      </c>
      <c r="H498" s="4" t="inlineStr">
        <is>
          <t>USD</t>
        </is>
      </c>
      <c r="I498" s="5" t="n">
        <v>40144.859136</v>
      </c>
      <c r="J498" s="6">
        <f>INDEX(FX!$B:$B,MATCH(H498,FX!$A:$A,0))</f>
        <v/>
      </c>
      <c r="K498" s="5">
        <f>I498*J498</f>
        <v/>
      </c>
      <c r="L498" s="4">
        <f>IF(U498&lt;&gt;"",U498,IF(K498&gt;=Umbrales!$B$2,"Legendaria",IF(K498&gt;=Umbrales!$B$3,"Épica",IF(K498&gt;=Umbrales!$B$4,"Rara",IF(K498&gt;=Umbrales!$B$5,"Poco común","Común")))))</f>
        <v/>
      </c>
      <c r="M498" s="5" t="n">
        <v>4494.000128</v>
      </c>
      <c r="N498" s="5" t="n">
        <v>824</v>
      </c>
      <c r="O498" s="5">
        <f>IF(M498="","",M498*J498)</f>
        <v/>
      </c>
      <c r="P498" s="5">
        <f>IF(N498="","",N498*J498)</f>
        <v/>
      </c>
      <c r="Q498" s="7" t="n">
        <v>0</v>
      </c>
      <c r="R498" s="8" t="n">
        <v>49.324673</v>
      </c>
      <c r="S498" s="4" t="inlineStr">
        <is>
          <t>SP500</t>
        </is>
      </c>
      <c r="T498" s="9" t="inlineStr">
        <is>
          <t>SI</t>
        </is>
      </c>
      <c r="U498" s="9" t="inlineStr"/>
      <c r="V498" s="10">
        <f>Umbrales!$B$9*(K498/1000)^Umbrales!$B$10</f>
        <v/>
      </c>
    </row>
    <row r="499">
      <c r="A499" s="4" t="inlineStr">
        <is>
          <t>ADM</t>
        </is>
      </c>
      <c r="B499" s="4" t="inlineStr">
        <is>
          <t>Archer-Daniels-Midland Company</t>
        </is>
      </c>
      <c r="C499" s="4" t="inlineStr">
        <is>
          <t>United States</t>
        </is>
      </c>
      <c r="D499" s="4" t="inlineStr">
        <is>
          <t>US</t>
        </is>
      </c>
      <c r="E499" s="4" t="inlineStr">
        <is>
          <t>Consumo básico</t>
        </is>
      </c>
      <c r="F499" s="4" t="inlineStr">
        <is>
          <t>Farm Products</t>
        </is>
      </c>
      <c r="G499" s="4" t="inlineStr">
        <is>
          <t>NYQ</t>
        </is>
      </c>
      <c r="H499" s="4" t="inlineStr">
        <is>
          <t>USD</t>
        </is>
      </c>
      <c r="I499" s="5" t="n">
        <v>40060.227584</v>
      </c>
      <c r="J499" s="6">
        <f>INDEX(FX!$B:$B,MATCH(H499,FX!$A:$A,0))</f>
        <v/>
      </c>
      <c r="K499" s="5">
        <f>I499*J499</f>
        <v/>
      </c>
      <c r="L499" s="4">
        <f>IF(U499&lt;&gt;"",U499,IF(K499&gt;=Umbrales!$B$2,"Legendaria",IF(K499&gt;=Umbrales!$B$3,"Épica",IF(K499&gt;=Umbrales!$B$4,"Rara",IF(K499&gt;=Umbrales!$B$5,"Poco común","Común")))))</f>
        <v/>
      </c>
      <c r="M499" s="5" t="n">
        <v>82099.003392</v>
      </c>
      <c r="N499" s="5" t="n">
        <v>1770</v>
      </c>
      <c r="O499" s="5">
        <f>IF(M499="","",M499*J499)</f>
        <v/>
      </c>
      <c r="P499" s="5">
        <f>IF(N499="","",N499*J499)</f>
        <v/>
      </c>
      <c r="Q499" s="7" t="n">
        <v>0.025</v>
      </c>
      <c r="R499" s="8" t="n">
        <v>22.648502</v>
      </c>
      <c r="S499" s="4" t="inlineStr">
        <is>
          <t>SP500</t>
        </is>
      </c>
      <c r="T499" s="9" t="inlineStr">
        <is>
          <t>SI</t>
        </is>
      </c>
      <c r="U499" s="9" t="inlineStr"/>
      <c r="V499" s="10">
        <f>Umbrales!$B$9*(K499/1000)^Umbrales!$B$10</f>
        <v/>
      </c>
    </row>
    <row r="500">
      <c r="A500" s="4" t="inlineStr">
        <is>
          <t>LYV</t>
        </is>
      </c>
      <c r="B500" s="4" t="inlineStr">
        <is>
          <t>Live Nation Entertainment, Inc.</t>
        </is>
      </c>
      <c r="C500" s="4" t="inlineStr">
        <is>
          <t>United States</t>
        </is>
      </c>
      <c r="D500" s="4" t="inlineStr">
        <is>
          <t>US</t>
        </is>
      </c>
      <c r="E500" s="4" t="inlineStr">
        <is>
          <t>Comunicación</t>
        </is>
      </c>
      <c r="F500" s="4" t="inlineStr">
        <is>
          <t>Entertainment</t>
        </is>
      </c>
      <c r="G500" s="4" t="inlineStr">
        <is>
          <t>NYQ</t>
        </is>
      </c>
      <c r="H500" s="4" t="inlineStr">
        <is>
          <t>USD</t>
        </is>
      </c>
      <c r="I500" s="5" t="n">
        <v>39942.81984</v>
      </c>
      <c r="J500" s="6">
        <f>INDEX(FX!$B:$B,MATCH(H500,FX!$A:$A,0))</f>
        <v/>
      </c>
      <c r="K500" s="5">
        <f>I500*J500</f>
        <v/>
      </c>
      <c r="L500" s="4">
        <f>IF(U500&lt;&gt;"",U500,IF(K500&gt;=Umbrales!$B$2,"Legendaria",IF(K500&gt;=Umbrales!$B$3,"Épica",IF(K500&gt;=Umbrales!$B$4,"Rara",IF(K500&gt;=Umbrales!$B$5,"Poco común","Común")))))</f>
        <v/>
      </c>
      <c r="M500" s="5" t="n">
        <v>26272.534528</v>
      </c>
      <c r="N500" s="5" t="n">
        <v>-258.028992</v>
      </c>
      <c r="O500" s="5">
        <f>IF(M500="","",M500*J500)</f>
        <v/>
      </c>
      <c r="P500" s="5">
        <f>IF(N500="","",N500*J500)</f>
        <v/>
      </c>
      <c r="Q500" s="7" t="n">
        <v>0</v>
      </c>
      <c r="R500" s="8" t="n"/>
      <c r="S500" s="4" t="inlineStr">
        <is>
          <t>SP500</t>
        </is>
      </c>
      <c r="T500" s="9" t="inlineStr">
        <is>
          <t>SI</t>
        </is>
      </c>
      <c r="U500" s="9" t="inlineStr"/>
      <c r="V500" s="10">
        <f>Umbrales!$B$9*(K500/1000)^Umbrales!$B$10</f>
        <v/>
      </c>
    </row>
    <row r="501">
      <c r="A501" s="4" t="inlineStr">
        <is>
          <t>PRU</t>
        </is>
      </c>
      <c r="B501" s="4" t="inlineStr">
        <is>
          <t>Prudential Financial, Inc.</t>
        </is>
      </c>
      <c r="C501" s="4" t="inlineStr">
        <is>
          <t>United States</t>
        </is>
      </c>
      <c r="D501" s="4" t="inlineStr">
        <is>
          <t>US</t>
        </is>
      </c>
      <c r="E501" s="4" t="inlineStr">
        <is>
          <t>Finanzas</t>
        </is>
      </c>
      <c r="F501" s="4" t="inlineStr">
        <is>
          <t>Insurance - Life</t>
        </is>
      </c>
      <c r="G501" s="4" t="inlineStr">
        <is>
          <t>NYQ</t>
        </is>
      </c>
      <c r="H501" s="4" t="inlineStr">
        <is>
          <t>USD</t>
        </is>
      </c>
      <c r="I501" s="5" t="n">
        <v>39750.725632</v>
      </c>
      <c r="J501" s="6">
        <f>INDEX(FX!$B:$B,MATCH(H501,FX!$A:$A,0))</f>
        <v/>
      </c>
      <c r="K501" s="5">
        <f>I501*J501</f>
        <v/>
      </c>
      <c r="L501" s="4">
        <f>IF(U501&lt;&gt;"",U501,IF(K501&gt;=Umbrales!$B$2,"Legendaria",IF(K501&gt;=Umbrales!$B$3,"Épica",IF(K501&gt;=Umbrales!$B$4,"Rara",IF(K501&gt;=Umbrales!$B$5,"Poco común","Común")))))</f>
        <v/>
      </c>
      <c r="M501" s="5" t="n">
        <v>65223.999488</v>
      </c>
      <c r="N501" s="5" t="n">
        <v>3872</v>
      </c>
      <c r="O501" s="5">
        <f>IF(M501="","",M501*J501)</f>
        <v/>
      </c>
      <c r="P501" s="5">
        <f>IF(N501="","",N501*J501)</f>
        <v/>
      </c>
      <c r="Q501" s="7" t="n">
        <v>0.04940000000000001</v>
      </c>
      <c r="R501" s="8" t="n">
        <v>10.427104</v>
      </c>
      <c r="S501" s="4" t="inlineStr">
        <is>
          <t>SP500</t>
        </is>
      </c>
      <c r="T501" s="9" t="inlineStr">
        <is>
          <t>SI</t>
        </is>
      </c>
      <c r="U501" s="9" t="inlineStr"/>
      <c r="V501" s="10">
        <f>Umbrales!$B$9*(K501/1000)^Umbrales!$B$10</f>
        <v/>
      </c>
    </row>
    <row r="502">
      <c r="A502" s="4" t="inlineStr">
        <is>
          <t>ASSA-B.ST</t>
        </is>
      </c>
      <c r="B502" s="4" t="inlineStr">
        <is>
          <t>ASSA ABLOY AB (publ)</t>
        </is>
      </c>
      <c r="C502" s="4" t="inlineStr">
        <is>
          <t>Sweden</t>
        </is>
      </c>
      <c r="D502" s="4" t="inlineStr">
        <is>
          <t>SE</t>
        </is>
      </c>
      <c r="E502" s="4" t="inlineStr">
        <is>
          <t>Industria</t>
        </is>
      </c>
      <c r="F502" s="4" t="inlineStr">
        <is>
          <t>Security &amp; Protection Services</t>
        </is>
      </c>
      <c r="G502" s="4" t="inlineStr">
        <is>
          <t>STO</t>
        </is>
      </c>
      <c r="H502" s="4" t="inlineStr">
        <is>
          <t>SEK</t>
        </is>
      </c>
      <c r="I502" s="5" t="n">
        <v>392881.60256</v>
      </c>
      <c r="J502" s="6">
        <f>INDEX(FX!$B:$B,MATCH(H502,FX!$A:$A,0))</f>
        <v/>
      </c>
      <c r="K502" s="5">
        <f>I502*J502</f>
        <v/>
      </c>
      <c r="L502" s="4">
        <f>IF(U502&lt;&gt;"",U502,IF(K502&gt;=Umbrales!$B$2,"Legendaria",IF(K502&gt;=Umbrales!$B$3,"Épica",IF(K502&gt;=Umbrales!$B$4,"Rara",IF(K502&gt;=Umbrales!$B$5,"Poco común","Común")))))</f>
        <v/>
      </c>
      <c r="M502" s="5" t="n">
        <v>151464.001536</v>
      </c>
      <c r="N502" s="5" t="n">
        <v>16392.999936</v>
      </c>
      <c r="O502" s="5">
        <f>IF(M502="","",M502*J502)</f>
        <v/>
      </c>
      <c r="P502" s="5">
        <f>IF(N502="","",N502*J502)</f>
        <v/>
      </c>
      <c r="Q502" s="7" t="n">
        <v>0.0183</v>
      </c>
      <c r="R502" s="8" t="n">
        <v>23.866398</v>
      </c>
      <c r="S502" s="4" t="inlineStr">
        <is>
          <t>OMXS30</t>
        </is>
      </c>
      <c r="T502" s="9" t="inlineStr">
        <is>
          <t>SI</t>
        </is>
      </c>
      <c r="U502" s="9" t="inlineStr"/>
      <c r="V502" s="10">
        <f>Umbrales!$B$9*(K502/1000)^Umbrales!$B$10</f>
        <v/>
      </c>
    </row>
    <row r="503">
      <c r="A503" s="4" t="inlineStr">
        <is>
          <t>SDZ.SW</t>
        </is>
      </c>
      <c r="B503" s="4" t="inlineStr">
        <is>
          <t>Sandoz Group AG</t>
        </is>
      </c>
      <c r="C503" s="4" t="inlineStr">
        <is>
          <t>Switzerland</t>
        </is>
      </c>
      <c r="D503" s="4" t="inlineStr">
        <is>
          <t>CH</t>
        </is>
      </c>
      <c r="E503" s="4" t="inlineStr">
        <is>
          <t>Salud</t>
        </is>
      </c>
      <c r="F503" s="4" t="inlineStr">
        <is>
          <t>Drug Manufacturers - Specialty &amp; Generic</t>
        </is>
      </c>
      <c r="G503" s="4" t="inlineStr">
        <is>
          <t>EBS</t>
        </is>
      </c>
      <c r="H503" s="4" t="inlineStr">
        <is>
          <t>CHF</t>
        </is>
      </c>
      <c r="I503" s="5" t="n">
        <v>32625.022976</v>
      </c>
      <c r="J503" s="6">
        <f>INDEX(FX!$B:$B,MATCH(H503,FX!$A:$A,0))</f>
        <v/>
      </c>
      <c r="K503" s="5">
        <f>I503*J503</f>
        <v/>
      </c>
      <c r="L503" s="4">
        <f>IF(U503&lt;&gt;"",U503,IF(K503&gt;=Umbrales!$B$2,"Legendaria",IF(K503&gt;=Umbrales!$B$3,"Épica",IF(K503&gt;=Umbrales!$B$4,"Rara",IF(K503&gt;=Umbrales!$B$5,"Poco común","Común")))))</f>
        <v/>
      </c>
      <c r="M503" s="5" t="n">
        <v>11676.000256</v>
      </c>
      <c r="N503" s="5" t="n">
        <v>646</v>
      </c>
      <c r="O503" s="5">
        <f>IF(M503="","",M503*J503)</f>
        <v/>
      </c>
      <c r="P503" s="5">
        <f>IF(N503="","",N503*J503)</f>
        <v/>
      </c>
      <c r="Q503" s="7" t="n">
        <v>0.0108</v>
      </c>
      <c r="R503" s="8" t="n">
        <v>64.44445</v>
      </c>
      <c r="S503" s="4" t="inlineStr">
        <is>
          <t>SMI</t>
        </is>
      </c>
      <c r="T503" s="9" t="inlineStr">
        <is>
          <t>SI</t>
        </is>
      </c>
      <c r="U503" s="9" t="inlineStr"/>
      <c r="V503" s="10">
        <f>Umbrales!$B$9*(K503/1000)^Umbrales!$B$10</f>
        <v/>
      </c>
    </row>
    <row r="504">
      <c r="A504" s="4" t="inlineStr">
        <is>
          <t>PCG</t>
        </is>
      </c>
      <c r="B504" s="4" t="inlineStr">
        <is>
          <t>PG&amp;E Corporation</t>
        </is>
      </c>
      <c r="C504" s="4" t="inlineStr">
        <is>
          <t>United States</t>
        </is>
      </c>
      <c r="D504" s="4" t="inlineStr">
        <is>
          <t>US</t>
        </is>
      </c>
      <c r="E504" s="4" t="inlineStr">
        <is>
          <t>Servicios públicos</t>
        </is>
      </c>
      <c r="F504" s="4" t="inlineStr">
        <is>
          <t>Utilities - Regulated Electric</t>
        </is>
      </c>
      <c r="G504" s="4" t="inlineStr">
        <is>
          <t>NYQ</t>
        </is>
      </c>
      <c r="H504" s="4" t="inlineStr">
        <is>
          <t>USD</t>
        </is>
      </c>
      <c r="I504" s="5" t="n">
        <v>39300.681728</v>
      </c>
      <c r="J504" s="6">
        <f>INDEX(FX!$B:$B,MATCH(H504,FX!$A:$A,0))</f>
        <v/>
      </c>
      <c r="K504" s="5">
        <f>I504*J504</f>
        <v/>
      </c>
      <c r="L504" s="4">
        <f>IF(U504&lt;&gt;"",U504,IF(K504&gt;=Umbrales!$B$2,"Legendaria",IF(K504&gt;=Umbrales!$B$3,"Épica",IF(K504&gt;=Umbrales!$B$4,"Rara",IF(K504&gt;=Umbrales!$B$5,"Poco común","Común")))))</f>
        <v/>
      </c>
      <c r="M504" s="5" t="n">
        <v>25837.000704</v>
      </c>
      <c r="N504" s="5" t="n">
        <v>3056</v>
      </c>
      <c r="O504" s="5">
        <f>IF(M504="","",M504*J504)</f>
        <v/>
      </c>
      <c r="P504" s="5">
        <f>IF(N504="","",N504*J504)</f>
        <v/>
      </c>
      <c r="Q504" s="7" t="n">
        <v>0.015</v>
      </c>
      <c r="R504" s="8" t="n">
        <v>9.624927</v>
      </c>
      <c r="S504" s="4" t="inlineStr">
        <is>
          <t>SP500</t>
        </is>
      </c>
      <c r="T504" s="9" t="inlineStr">
        <is>
          <t>SI</t>
        </is>
      </c>
      <c r="U504" s="9" t="inlineStr"/>
      <c r="V504" s="10">
        <f>Umbrales!$B$9*(K504/1000)^Umbrales!$B$10</f>
        <v/>
      </c>
    </row>
    <row r="505">
      <c r="A505" s="4" t="inlineStr">
        <is>
          <t>0016.HK</t>
        </is>
      </c>
      <c r="B505" s="4" t="inlineStr">
        <is>
          <t>Sun Hung Kai Properties Limited</t>
        </is>
      </c>
      <c r="C505" s="4" t="inlineStr">
        <is>
          <t>Hong Kong</t>
        </is>
      </c>
      <c r="D505" s="4" t="inlineStr">
        <is>
          <t>HK</t>
        </is>
      </c>
      <c r="E505" s="4" t="inlineStr">
        <is>
          <t>Inmobiliario</t>
        </is>
      </c>
      <c r="F505" s="4" t="inlineStr">
        <is>
          <t>Real Estate - Development</t>
        </is>
      </c>
      <c r="G505" s="4" t="inlineStr">
        <is>
          <t>HKG</t>
        </is>
      </c>
      <c r="H505" s="4" t="inlineStr">
        <is>
          <t>HKD</t>
        </is>
      </c>
      <c r="I505" s="5" t="n">
        <v>308034.043904</v>
      </c>
      <c r="J505" s="6">
        <f>INDEX(FX!$B:$B,MATCH(H505,FX!$A:$A,0))</f>
        <v/>
      </c>
      <c r="K505" s="5">
        <f>I505*J505</f>
        <v/>
      </c>
      <c r="L505" s="4">
        <f>IF(U505&lt;&gt;"",U505,IF(K505&gt;=Umbrales!$B$2,"Legendaria",IF(K505&gt;=Umbrales!$B$3,"Épica",IF(K505&gt;=Umbrales!$B$4,"Rara",IF(K505&gt;=Umbrales!$B$5,"Poco común","Común")))))</f>
        <v/>
      </c>
      <c r="M505" s="5" t="n">
        <v>94193.999872</v>
      </c>
      <c r="N505" s="5" t="n">
        <v>21425.999872</v>
      </c>
      <c r="O505" s="5">
        <f>IF(M505="","",M505*J505)</f>
        <v/>
      </c>
      <c r="P505" s="5">
        <f>IF(N505="","",N505*J505)</f>
        <v/>
      </c>
      <c r="Q505" s="7" t="n">
        <v>0.0352</v>
      </c>
      <c r="R505" s="8" t="n">
        <v>14.682322</v>
      </c>
      <c r="S505" s="4" t="inlineStr">
        <is>
          <t>HANGSENG</t>
        </is>
      </c>
      <c r="T505" s="9" t="inlineStr">
        <is>
          <t>SI</t>
        </is>
      </c>
      <c r="U505" s="9" t="inlineStr"/>
      <c r="V505" s="10">
        <f>Umbrales!$B$9*(K505/1000)^Umbrales!$B$10</f>
        <v/>
      </c>
    </row>
    <row r="506">
      <c r="A506" s="4" t="inlineStr">
        <is>
          <t>CBRE</t>
        </is>
      </c>
      <c r="B506" s="4" t="inlineStr">
        <is>
          <t>CBRE Group, Inc.</t>
        </is>
      </c>
      <c r="C506" s="4" t="inlineStr">
        <is>
          <t>United States</t>
        </is>
      </c>
      <c r="D506" s="4" t="inlineStr">
        <is>
          <t>US</t>
        </is>
      </c>
      <c r="E506" s="4" t="inlineStr">
        <is>
          <t>Inmobiliario</t>
        </is>
      </c>
      <c r="F506" s="4" t="inlineStr">
        <is>
          <t>Real Estate Services</t>
        </is>
      </c>
      <c r="G506" s="4" t="inlineStr">
        <is>
          <t>NYQ</t>
        </is>
      </c>
      <c r="H506" s="4" t="inlineStr">
        <is>
          <t>USD</t>
        </is>
      </c>
      <c r="I506" s="5" t="n">
        <v>38869.692416</v>
      </c>
      <c r="J506" s="6">
        <f>INDEX(FX!$B:$B,MATCH(H506,FX!$A:$A,0))</f>
        <v/>
      </c>
      <c r="K506" s="5">
        <f>I506*J506</f>
        <v/>
      </c>
      <c r="L506" s="4">
        <f>IF(U506&lt;&gt;"",U506,IF(K506&gt;=Umbrales!$B$2,"Legendaria",IF(K506&gt;=Umbrales!$B$3,"Épica",IF(K506&gt;=Umbrales!$B$4,"Rara",IF(K506&gt;=Umbrales!$B$5,"Poco común","Común")))))</f>
        <v/>
      </c>
      <c r="M506" s="5" t="n">
        <v>43711.000576</v>
      </c>
      <c r="N506" s="5" t="n">
        <v>1300.999936</v>
      </c>
      <c r="O506" s="5">
        <f>IF(M506="","",M506*J506)</f>
        <v/>
      </c>
      <c r="P506" s="5">
        <f>IF(N506="","",N506*J506)</f>
        <v/>
      </c>
      <c r="Q506" s="7" t="n">
        <v>0</v>
      </c>
      <c r="R506" s="8" t="n">
        <v>30.92857</v>
      </c>
      <c r="S506" s="4" t="inlineStr">
        <is>
          <t>SP500</t>
        </is>
      </c>
      <c r="T506" s="9" t="inlineStr">
        <is>
          <t>SI</t>
        </is>
      </c>
      <c r="U506" s="9" t="inlineStr"/>
      <c r="V506" s="10">
        <f>Umbrales!$B$9*(K506/1000)^Umbrales!$B$10</f>
        <v/>
      </c>
    </row>
    <row r="507">
      <c r="A507" s="4" t="inlineStr">
        <is>
          <t>LR.PA</t>
        </is>
      </c>
      <c r="B507" s="4" t="inlineStr">
        <is>
          <t>Legrand SA</t>
        </is>
      </c>
      <c r="C507" s="4" t="inlineStr">
        <is>
          <t>France</t>
        </is>
      </c>
      <c r="D507" s="4" t="inlineStr">
        <is>
          <t>FR</t>
        </is>
      </c>
      <c r="E507" s="4" t="inlineStr">
        <is>
          <t>Industria</t>
        </is>
      </c>
      <c r="F507" s="4" t="inlineStr">
        <is>
          <t>Electrical Equipment &amp; Parts</t>
        </is>
      </c>
      <c r="G507" s="4" t="inlineStr">
        <is>
          <t>PAR</t>
        </is>
      </c>
      <c r="H507" s="4" t="inlineStr">
        <is>
          <t>EUR</t>
        </is>
      </c>
      <c r="I507" s="5" t="n">
        <v>34546.573312</v>
      </c>
      <c r="J507" s="6">
        <f>INDEX(FX!$B:$B,MATCH(H507,FX!$A:$A,0))</f>
        <v/>
      </c>
      <c r="K507" s="5">
        <f>I507*J507</f>
        <v/>
      </c>
      <c r="L507" s="4">
        <f>IF(U507&lt;&gt;"",U507,IF(K507&gt;=Umbrales!$B$2,"Legendaria",IF(K507&gt;=Umbrales!$B$3,"Épica",IF(K507&gt;=Umbrales!$B$4,"Rara",IF(K507&gt;=Umbrales!$B$5,"Poco común","Común")))))</f>
        <v/>
      </c>
      <c r="M507" s="5" t="n">
        <v>10106.600448</v>
      </c>
      <c r="N507" s="5" t="n">
        <v>1314.700032</v>
      </c>
      <c r="O507" s="5">
        <f>IF(M507="","",M507*J507)</f>
        <v/>
      </c>
      <c r="P507" s="5">
        <f>IF(N507="","",N507*J507)</f>
        <v/>
      </c>
      <c r="Q507" s="7" t="n">
        <v>0.0173</v>
      </c>
      <c r="R507" s="8" t="n">
        <v>26.519117</v>
      </c>
      <c r="S507" s="4" t="inlineStr">
        <is>
          <t>CAC40</t>
        </is>
      </c>
      <c r="T507" s="9" t="inlineStr">
        <is>
          <t>SI</t>
        </is>
      </c>
      <c r="U507" s="9" t="inlineStr"/>
      <c r="V507" s="10">
        <f>Umbrales!$B$9*(K507/1000)^Umbrales!$B$10</f>
        <v/>
      </c>
    </row>
    <row r="508">
      <c r="A508" s="4" t="inlineStr">
        <is>
          <t>HCLTECH.NS</t>
        </is>
      </c>
      <c r="B508" s="4" t="inlineStr">
        <is>
          <t>HCL Technologies Limited</t>
        </is>
      </c>
      <c r="C508" s="4" t="inlineStr">
        <is>
          <t>India</t>
        </is>
      </c>
      <c r="D508" s="4" t="inlineStr">
        <is>
          <t>IN</t>
        </is>
      </c>
      <c r="E508" s="4" t="inlineStr">
        <is>
          <t>Tecnología</t>
        </is>
      </c>
      <c r="F508" s="4" t="inlineStr">
        <is>
          <t>Information Technology Services</t>
        </is>
      </c>
      <c r="G508" s="4" t="inlineStr">
        <is>
          <t>NSI</t>
        </is>
      </c>
      <c r="H508" s="4" t="inlineStr">
        <is>
          <t>INR</t>
        </is>
      </c>
      <c r="I508" s="5" t="n">
        <v>3679842.729984</v>
      </c>
      <c r="J508" s="6">
        <f>INDEX(FX!$B:$B,MATCH(H508,FX!$A:$A,0))</f>
        <v/>
      </c>
      <c r="K508" s="5">
        <f>I508*J508</f>
        <v/>
      </c>
      <c r="L508" s="4">
        <f>IF(U508&lt;&gt;"",U508,IF(K508&gt;=Umbrales!$B$2,"Legendaria",IF(K508&gt;=Umbrales!$B$3,"Épica",IF(K508&gt;=Umbrales!$B$4,"Rara",IF(K508&gt;=Umbrales!$B$5,"Poco común","Común")))))</f>
        <v/>
      </c>
      <c r="M508" s="5" t="n">
        <v>14849.000448</v>
      </c>
      <c r="N508" s="5" t="n">
        <v>1967.000064</v>
      </c>
      <c r="O508" s="5">
        <f>IF(M508="","",M508*J508)</f>
        <v/>
      </c>
      <c r="P508" s="5">
        <f>IF(N508="","",N508*J508)</f>
        <v/>
      </c>
      <c r="Q508" s="7" t="n">
        <v>0.0362</v>
      </c>
      <c r="R508" s="8" t="n">
        <v>20.12132</v>
      </c>
      <c r="S508" s="4" t="inlineStr">
        <is>
          <t>NIFTY50</t>
        </is>
      </c>
      <c r="T508" s="9" t="inlineStr">
        <is>
          <t>SI</t>
        </is>
      </c>
      <c r="U508" s="9" t="inlineStr"/>
      <c r="V508" s="10">
        <f>Umbrales!$B$9*(K508/1000)^Umbrales!$B$10</f>
        <v/>
      </c>
    </row>
    <row r="509">
      <c r="A509" s="4" t="inlineStr">
        <is>
          <t>DHI</t>
        </is>
      </c>
      <c r="B509" s="4" t="inlineStr">
        <is>
          <t>D.R. Horton, Inc.</t>
        </is>
      </c>
      <c r="C509" s="4" t="inlineStr">
        <is>
          <t>United States</t>
        </is>
      </c>
      <c r="D509" s="4" t="inlineStr">
        <is>
          <t>US</t>
        </is>
      </c>
      <c r="E509" s="4" t="inlineStr">
        <is>
          <t>Consumo cíclico</t>
        </is>
      </c>
      <c r="F509" s="4" t="inlineStr">
        <is>
          <t>Residential Construction</t>
        </is>
      </c>
      <c r="G509" s="4" t="inlineStr">
        <is>
          <t>NYQ</t>
        </is>
      </c>
      <c r="H509" s="4" t="inlineStr">
        <is>
          <t>USD</t>
        </is>
      </c>
      <c r="I509" s="5" t="n">
        <v>38691.078144</v>
      </c>
      <c r="J509" s="6">
        <f>INDEX(FX!$B:$B,MATCH(H509,FX!$A:$A,0))</f>
        <v/>
      </c>
      <c r="K509" s="5">
        <f>I509*J509</f>
        <v/>
      </c>
      <c r="L509" s="4">
        <f>IF(U509&lt;&gt;"",U509,IF(K509&gt;=Umbrales!$B$2,"Legendaria",IF(K509&gt;=Umbrales!$B$3,"Épica",IF(K509&gt;=Umbrales!$B$4,"Rara",IF(K509&gt;=Umbrales!$B$5,"Poco común","Común")))))</f>
        <v/>
      </c>
      <c r="M509" s="5" t="n">
        <v>33350.00064</v>
      </c>
      <c r="N509" s="5" t="n">
        <v>3052.900096</v>
      </c>
      <c r="O509" s="5">
        <f>IF(M509="","",M509*J509)</f>
        <v/>
      </c>
      <c r="P509" s="5">
        <f>IF(N509="","",N509*J509)</f>
        <v/>
      </c>
      <c r="Q509" s="7" t="n">
        <v>0.0133</v>
      </c>
      <c r="R509" s="8" t="n">
        <v>13.186845</v>
      </c>
      <c r="S509" s="4" t="inlineStr">
        <is>
          <t>SP500</t>
        </is>
      </c>
      <c r="T509" s="9" t="inlineStr">
        <is>
          <t>SI</t>
        </is>
      </c>
      <c r="U509" s="9" t="inlineStr"/>
      <c r="V509" s="10">
        <f>Umbrales!$B$9*(K509/1000)^Umbrales!$B$10</f>
        <v/>
      </c>
    </row>
    <row r="510">
      <c r="A510" s="4" t="inlineStr">
        <is>
          <t>MCHP</t>
        </is>
      </c>
      <c r="B510" s="4" t="inlineStr">
        <is>
          <t>Microchip Technology Incorporated</t>
        </is>
      </c>
      <c r="C510" s="4" t="inlineStr">
        <is>
          <t>United States</t>
        </is>
      </c>
      <c r="D510" s="4" t="inlineStr">
        <is>
          <t>US</t>
        </is>
      </c>
      <c r="E510" s="4" t="inlineStr">
        <is>
          <t>Tecnología</t>
        </is>
      </c>
      <c r="F510" s="4" t="inlineStr">
        <is>
          <t>Semiconductors</t>
        </is>
      </c>
      <c r="G510" s="4" t="inlineStr">
        <is>
          <t>NMS</t>
        </is>
      </c>
      <c r="H510" s="4" t="inlineStr">
        <is>
          <t>USD</t>
        </is>
      </c>
      <c r="I510" s="5" t="n">
        <v>38689.370112</v>
      </c>
      <c r="J510" s="6">
        <f>INDEX(FX!$B:$B,MATCH(H510,FX!$A:$A,0))</f>
        <v/>
      </c>
      <c r="K510" s="5">
        <f>I510*J510</f>
        <v/>
      </c>
      <c r="L510" s="4">
        <f>IF(U510&lt;&gt;"",U510,IF(K510&gt;=Umbrales!$B$2,"Legendaria",IF(K510&gt;=Umbrales!$B$3,"Épica",IF(K510&gt;=Umbrales!$B$4,"Rara",IF(K510&gt;=Umbrales!$B$5,"Poco común","Común")))))</f>
        <v/>
      </c>
      <c r="M510" s="5" t="n">
        <v>5122.299904</v>
      </c>
      <c r="N510" s="5" t="n">
        <v>367.2</v>
      </c>
      <c r="O510" s="5">
        <f>IF(M510="","",M510*J510)</f>
        <v/>
      </c>
      <c r="P510" s="5">
        <f>IF(N510="","",N510*J510)</f>
        <v/>
      </c>
      <c r="Q510" s="7" t="n">
        <v>0.0245</v>
      </c>
      <c r="R510" s="8" t="n">
        <v>104.77941</v>
      </c>
      <c r="S510" s="4" t="inlineStr">
        <is>
          <t>NASDAQ100, SP500</t>
        </is>
      </c>
      <c r="T510" s="9" t="inlineStr">
        <is>
          <t>SI</t>
        </is>
      </c>
      <c r="U510" s="9" t="inlineStr"/>
      <c r="V510" s="10">
        <f>Umbrales!$B$9*(K510/1000)^Umbrales!$B$10</f>
        <v/>
      </c>
    </row>
    <row r="511">
      <c r="A511" s="4" t="inlineStr">
        <is>
          <t>CMG</t>
        </is>
      </c>
      <c r="B511" s="4" t="inlineStr">
        <is>
          <t>Chipotle Mexican Grill, Inc.</t>
        </is>
      </c>
      <c r="C511" s="4" t="inlineStr">
        <is>
          <t>United States</t>
        </is>
      </c>
      <c r="D511" s="4" t="inlineStr">
        <is>
          <t>US</t>
        </is>
      </c>
      <c r="E511" s="4" t="inlineStr">
        <is>
          <t>Consumo cíclico</t>
        </is>
      </c>
      <c r="F511" s="4" t="inlineStr">
        <is>
          <t>Restaurants</t>
        </is>
      </c>
      <c r="G511" s="4" t="inlineStr">
        <is>
          <t>NYQ</t>
        </is>
      </c>
      <c r="H511" s="4" t="inlineStr">
        <is>
          <t>USD</t>
        </is>
      </c>
      <c r="I511" s="5" t="n">
        <v>38620.557312</v>
      </c>
      <c r="J511" s="6">
        <f>INDEX(FX!$B:$B,MATCH(H511,FX!$A:$A,0))</f>
        <v/>
      </c>
      <c r="K511" s="5">
        <f>I511*J511</f>
        <v/>
      </c>
      <c r="L511" s="4">
        <f>IF(U511&lt;&gt;"",U511,IF(K511&gt;=Umbrales!$B$2,"Legendaria",IF(K511&gt;=Umbrales!$B$3,"Épica",IF(K511&gt;=Umbrales!$B$4,"Rara",IF(K511&gt;=Umbrales!$B$5,"Poco común","Común")))))</f>
        <v/>
      </c>
      <c r="M511" s="5" t="n">
        <v>12423.758848</v>
      </c>
      <c r="N511" s="5" t="n">
        <v>1419.405952</v>
      </c>
      <c r="O511" s="5">
        <f>IF(M511="","",M511*J511)</f>
        <v/>
      </c>
      <c r="P511" s="5">
        <f>IF(N511="","",N511*J511)</f>
        <v/>
      </c>
      <c r="Q511" s="7" t="n">
        <v>0</v>
      </c>
      <c r="R511" s="8" t="n">
        <v>28</v>
      </c>
      <c r="S511" s="4" t="inlineStr">
        <is>
          <t>SP500</t>
        </is>
      </c>
      <c r="T511" s="9" t="inlineStr">
        <is>
          <t>SI</t>
        </is>
      </c>
      <c r="U511" s="9" t="inlineStr"/>
      <c r="V511" s="10">
        <f>Umbrales!$B$9*(K511/1000)^Umbrales!$B$10</f>
        <v/>
      </c>
    </row>
    <row r="512">
      <c r="A512" s="4" t="inlineStr">
        <is>
          <t>PAYX</t>
        </is>
      </c>
      <c r="B512" s="4" t="inlineStr">
        <is>
          <t>Paychex, Inc.</t>
        </is>
      </c>
      <c r="C512" s="4" t="inlineStr">
        <is>
          <t>United States</t>
        </is>
      </c>
      <c r="D512" s="4" t="inlineStr">
        <is>
          <t>US</t>
        </is>
      </c>
      <c r="E512" s="4" t="inlineStr">
        <is>
          <t>Tecnología</t>
        </is>
      </c>
      <c r="F512" s="4" t="inlineStr">
        <is>
          <t>Software - Application</t>
        </is>
      </c>
      <c r="G512" s="4" t="inlineStr">
        <is>
          <t>NMS</t>
        </is>
      </c>
      <c r="H512" s="4" t="inlineStr">
        <is>
          <t>USD</t>
        </is>
      </c>
      <c r="I512" s="5" t="n">
        <v>38577.606656</v>
      </c>
      <c r="J512" s="6">
        <f>INDEX(FX!$B:$B,MATCH(H512,FX!$A:$A,0))</f>
        <v/>
      </c>
      <c r="K512" s="5">
        <f>I512*J512</f>
        <v/>
      </c>
      <c r="L512" s="4">
        <f>IF(U512&lt;&gt;"",U512,IF(K512&gt;=Umbrales!$B$2,"Legendaria",IF(K512&gt;=Umbrales!$B$3,"Épica",IF(K512&gt;=Umbrales!$B$4,"Rara",IF(K512&gt;=Umbrales!$B$5,"Poco común","Común")))))</f>
        <v/>
      </c>
      <c r="M512" s="5" t="n">
        <v>6602.500096</v>
      </c>
      <c r="N512" s="5" t="n">
        <v>1806</v>
      </c>
      <c r="O512" s="5">
        <f>IF(M512="","",M512*J512)</f>
        <v/>
      </c>
      <c r="P512" s="5">
        <f>IF(N512="","",N512*J512)</f>
        <v/>
      </c>
      <c r="Q512" s="7" t="n">
        <v>0.04480000000000001</v>
      </c>
      <c r="R512" s="8" t="n">
        <v>21.083658</v>
      </c>
      <c r="S512" s="4" t="inlineStr">
        <is>
          <t>NASDAQ100, SP500</t>
        </is>
      </c>
      <c r="T512" s="9" t="inlineStr">
        <is>
          <t>SI</t>
        </is>
      </c>
      <c r="U512" s="9" t="inlineStr"/>
      <c r="V512" s="10">
        <f>Umbrales!$B$9*(K512/1000)^Umbrales!$B$10</f>
        <v/>
      </c>
    </row>
    <row r="513">
      <c r="A513" s="4" t="inlineStr">
        <is>
          <t>ADANIENT.NS</t>
        </is>
      </c>
      <c r="B513" s="4" t="inlineStr">
        <is>
          <t>Adani Enterprises Limited</t>
        </is>
      </c>
      <c r="C513" s="4" t="inlineStr">
        <is>
          <t>India</t>
        </is>
      </c>
      <c r="D513" s="4" t="inlineStr">
        <is>
          <t>IN</t>
        </is>
      </c>
      <c r="E513" s="4" t="inlineStr">
        <is>
          <t>Energía</t>
        </is>
      </c>
      <c r="F513" s="4" t="inlineStr">
        <is>
          <t>Thermal Coal</t>
        </is>
      </c>
      <c r="G513" s="4" t="inlineStr">
        <is>
          <t>NSI</t>
        </is>
      </c>
      <c r="H513" s="4" t="inlineStr">
        <is>
          <t>INR</t>
        </is>
      </c>
      <c r="I513" s="5" t="n">
        <v>3655050.985472</v>
      </c>
      <c r="J513" s="6">
        <f>INDEX(FX!$B:$B,MATCH(H513,FX!$A:$A,0))</f>
        <v/>
      </c>
      <c r="K513" s="5">
        <f>I513*J513</f>
        <v/>
      </c>
      <c r="L513" s="4">
        <f>IF(U513&lt;&gt;"",U513,IF(K513&gt;=Umbrales!$B$2,"Legendaria",IF(K513&gt;=Umbrales!$B$3,"Épica",IF(K513&gt;=Umbrales!$B$4,"Rara",IF(K513&gt;=Umbrales!$B$5,"Poco común","Común")))))</f>
        <v/>
      </c>
      <c r="M513" s="5" t="n">
        <v>1114313.85088</v>
      </c>
      <c r="N513" s="5" t="n">
        <v>71852.802048</v>
      </c>
      <c r="O513" s="5">
        <f>IF(M513="","",M513*J513)</f>
        <v/>
      </c>
      <c r="P513" s="5">
        <f>IF(N513="","",N513*J513)</f>
        <v/>
      </c>
      <c r="Q513" s="7" t="n">
        <v>0.0005</v>
      </c>
      <c r="R513" s="8" t="n">
        <v>43.513298</v>
      </c>
      <c r="S513" s="4" t="inlineStr">
        <is>
          <t>NIFTY50</t>
        </is>
      </c>
      <c r="T513" s="9" t="inlineStr">
        <is>
          <t>SI</t>
        </is>
      </c>
      <c r="U513" s="9" t="inlineStr"/>
      <c r="V513" s="10">
        <f>Umbrales!$B$9*(K513/1000)^Umbrales!$B$10</f>
        <v/>
      </c>
    </row>
    <row r="514">
      <c r="A514" s="4" t="inlineStr">
        <is>
          <t>CLS.TO</t>
        </is>
      </c>
      <c r="B514" s="4" t="inlineStr">
        <is>
          <t>Celestica Inc.</t>
        </is>
      </c>
      <c r="C514" s="4" t="inlineStr">
        <is>
          <t>Canada</t>
        </is>
      </c>
      <c r="D514" s="4" t="inlineStr">
        <is>
          <t>CA</t>
        </is>
      </c>
      <c r="E514" s="4" t="inlineStr">
        <is>
          <t>Tecnología</t>
        </is>
      </c>
      <c r="F514" s="4" t="inlineStr">
        <is>
          <t>Electronic Components</t>
        </is>
      </c>
      <c r="G514" s="4" t="inlineStr">
        <is>
          <t>TOR</t>
        </is>
      </c>
      <c r="H514" s="4" t="inlineStr">
        <is>
          <t>CAD</t>
        </is>
      </c>
      <c r="I514" s="5" t="n">
        <v>54312.275968</v>
      </c>
      <c r="J514" s="6">
        <f>INDEX(FX!$B:$B,MATCH(H514,FX!$A:$A,0))</f>
        <v/>
      </c>
      <c r="K514" s="5">
        <f>I514*J514</f>
        <v/>
      </c>
      <c r="L514" s="4">
        <f>IF(U514&lt;&gt;"",U514,IF(K514&gt;=Umbrales!$B$2,"Legendaria",IF(K514&gt;=Umbrales!$B$3,"Épica",IF(K514&gt;=Umbrales!$B$4,"Rara",IF(K514&gt;=Umbrales!$B$5,"Poco común","Común")))))</f>
        <v/>
      </c>
      <c r="M514" s="5" t="n">
        <v>15594.500096</v>
      </c>
      <c r="N514" s="5" t="n">
        <v>1116.4</v>
      </c>
      <c r="O514" s="5">
        <f>IF(M514="","",M514*J514)</f>
        <v/>
      </c>
      <c r="P514" s="5">
        <f>IF(N514="","",N514*J514)</f>
        <v/>
      </c>
      <c r="Q514" s="7" t="n">
        <v>0</v>
      </c>
      <c r="R514" s="8" t="n">
        <v>35.622</v>
      </c>
      <c r="S514" s="4" t="inlineStr">
        <is>
          <t>TSX60</t>
        </is>
      </c>
      <c r="T514" s="9" t="inlineStr">
        <is>
          <t>SI</t>
        </is>
      </c>
      <c r="U514" s="9" t="inlineStr"/>
      <c r="V514" s="10">
        <f>Umbrales!$B$9*(K514/1000)^Umbrales!$B$10</f>
        <v/>
      </c>
    </row>
    <row r="515">
      <c r="A515" s="4" t="inlineStr">
        <is>
          <t>ODFL</t>
        </is>
      </c>
      <c r="B515" s="4" t="inlineStr">
        <is>
          <t>Old Dominion Freight Line, Inc.</t>
        </is>
      </c>
      <c r="C515" s="4" t="inlineStr">
        <is>
          <t>United States</t>
        </is>
      </c>
      <c r="D515" s="4" t="inlineStr">
        <is>
          <t>US</t>
        </is>
      </c>
      <c r="E515" s="4" t="inlineStr">
        <is>
          <t>Industria</t>
        </is>
      </c>
      <c r="F515" s="4" t="inlineStr">
        <is>
          <t>Trucking</t>
        </is>
      </c>
      <c r="G515" s="4" t="inlineStr">
        <is>
          <t>NMS</t>
        </is>
      </c>
      <c r="H515" s="4" t="inlineStr">
        <is>
          <t>USD</t>
        </is>
      </c>
      <c r="I515" s="5" t="n">
        <v>38230.339584</v>
      </c>
      <c r="J515" s="6">
        <f>INDEX(FX!$B:$B,MATCH(H515,FX!$A:$A,0))</f>
        <v/>
      </c>
      <c r="K515" s="5">
        <f>I515*J515</f>
        <v/>
      </c>
      <c r="L515" s="4">
        <f>IF(U515&lt;&gt;"",U515,IF(K515&gt;=Umbrales!$B$2,"Legendaria",IF(K515&gt;=Umbrales!$B$3,"Épica",IF(K515&gt;=Umbrales!$B$4,"Rara",IF(K515&gt;=Umbrales!$B$5,"Poco común","Común")))))</f>
        <v/>
      </c>
      <c r="M515" s="5" t="n">
        <v>5602.506752</v>
      </c>
      <c r="N515" s="5" t="n">
        <v>1089.276032</v>
      </c>
      <c r="O515" s="5">
        <f>IF(M515="","",M515*J515)</f>
        <v/>
      </c>
      <c r="P515" s="5">
        <f>IF(N515="","",N515*J515)</f>
        <v/>
      </c>
      <c r="Q515" s="7" t="n">
        <v>0.0063</v>
      </c>
      <c r="R515" s="8" t="n">
        <v>35.252388</v>
      </c>
      <c r="S515" s="4" t="inlineStr">
        <is>
          <t>NASDAQ100, SP500</t>
        </is>
      </c>
      <c r="T515" s="9" t="inlineStr">
        <is>
          <t>SI</t>
        </is>
      </c>
      <c r="U515" s="9" t="inlineStr"/>
      <c r="V515" s="10">
        <f>Umbrales!$B$9*(K515/1000)^Umbrales!$B$10</f>
        <v/>
      </c>
    </row>
    <row r="516">
      <c r="A516" s="4" t="inlineStr">
        <is>
          <t>EL</t>
        </is>
      </c>
      <c r="B516" s="4" t="inlineStr">
        <is>
          <t>The Estée Lauder Companies Inc.</t>
        </is>
      </c>
      <c r="C516" s="4" t="inlineStr">
        <is>
          <t>United States</t>
        </is>
      </c>
      <c r="D516" s="4" t="inlineStr">
        <is>
          <t>US</t>
        </is>
      </c>
      <c r="E516" s="4" t="inlineStr">
        <is>
          <t>Consumo básico</t>
        </is>
      </c>
      <c r="F516" s="4" t="inlineStr">
        <is>
          <t>Household &amp; Personal Products</t>
        </is>
      </c>
      <c r="G516" s="4" t="inlineStr">
        <is>
          <t>NYQ</t>
        </is>
      </c>
      <c r="H516" s="4" t="inlineStr">
        <is>
          <t>USD</t>
        </is>
      </c>
      <c r="I516" s="5" t="n">
        <v>38090.993664</v>
      </c>
      <c r="J516" s="6">
        <f>INDEX(FX!$B:$B,MATCH(H516,FX!$A:$A,0))</f>
        <v/>
      </c>
      <c r="K516" s="5">
        <f>I516*J516</f>
        <v/>
      </c>
      <c r="L516" s="4">
        <f>IF(U516&lt;&gt;"",U516,IF(K516&gt;=Umbrales!$B$2,"Legendaria",IF(K516&gt;=Umbrales!$B$3,"Épica",IF(K516&gt;=Umbrales!$B$4,"Rara",IF(K516&gt;=Umbrales!$B$5,"Poco común","Común")))))</f>
        <v/>
      </c>
      <c r="M516" s="5" t="n">
        <v>15048.999936</v>
      </c>
      <c r="N516" s="5" t="n">
        <v>182</v>
      </c>
      <c r="O516" s="5">
        <f>IF(M516="","",M516*J516)</f>
        <v/>
      </c>
      <c r="P516" s="5">
        <f>IF(N516="","",N516*J516)</f>
        <v/>
      </c>
      <c r="Q516" s="7" t="n">
        <v>0.014</v>
      </c>
      <c r="R516" s="8" t="n">
        <v>206.13725</v>
      </c>
      <c r="S516" s="4" t="inlineStr">
        <is>
          <t>SP500</t>
        </is>
      </c>
      <c r="T516" s="9" t="inlineStr">
        <is>
          <t>SI</t>
        </is>
      </c>
      <c r="U516" s="9" t="inlineStr"/>
      <c r="V516" s="10">
        <f>Umbrales!$B$9*(K516/1000)^Umbrales!$B$10</f>
        <v/>
      </c>
    </row>
    <row r="517">
      <c r="A517" s="4" t="inlineStr">
        <is>
          <t>DOL.TO</t>
        </is>
      </c>
      <c r="B517" s="4" t="inlineStr">
        <is>
          <t>Dollarama Inc.</t>
        </is>
      </c>
      <c r="C517" s="4" t="inlineStr">
        <is>
          <t>Canada</t>
        </is>
      </c>
      <c r="D517" s="4" t="inlineStr">
        <is>
          <t>CA</t>
        </is>
      </c>
      <c r="E517" s="4" t="inlineStr">
        <is>
          <t>Consumo básico</t>
        </is>
      </c>
      <c r="F517" s="4" t="inlineStr">
        <is>
          <t>Discount Stores</t>
        </is>
      </c>
      <c r="G517" s="4" t="inlineStr">
        <is>
          <t>TOR</t>
        </is>
      </c>
      <c r="H517" s="4" t="inlineStr">
        <is>
          <t>CAD</t>
        </is>
      </c>
      <c r="I517" s="5" t="n">
        <v>54009.36448</v>
      </c>
      <c r="J517" s="6">
        <f>INDEX(FX!$B:$B,MATCH(H517,FX!$A:$A,0))</f>
        <v/>
      </c>
      <c r="K517" s="5">
        <f>I517*J517</f>
        <v/>
      </c>
      <c r="L517" s="4">
        <f>IF(U517&lt;&gt;"",U517,IF(K517&gt;=Umbrales!$B$2,"Legendaria",IF(K517&gt;=Umbrales!$B$3,"Épica",IF(K517&gt;=Umbrales!$B$4,"Rara",IF(K517&gt;=Umbrales!$B$5,"Poco común","Común")))))</f>
        <v/>
      </c>
      <c r="M517" s="5" t="n">
        <v>7883.440128</v>
      </c>
      <c r="N517" s="5" t="n">
        <v>1365.773056</v>
      </c>
      <c r="O517" s="5">
        <f>IF(M517="","",M517*J517)</f>
        <v/>
      </c>
      <c r="P517" s="5">
        <f>IF(N517="","",N517*J517)</f>
        <v/>
      </c>
      <c r="Q517" s="7" t="n">
        <v>0.0024</v>
      </c>
      <c r="R517" s="8" t="n">
        <v>39.38356</v>
      </c>
      <c r="S517" s="4" t="inlineStr">
        <is>
          <t>TSX60</t>
        </is>
      </c>
      <c r="T517" s="9" t="inlineStr">
        <is>
          <t>SI</t>
        </is>
      </c>
      <c r="U517" s="9" t="inlineStr"/>
      <c r="V517" s="10">
        <f>Umbrales!$B$9*(K517/1000)^Umbrales!$B$10</f>
        <v/>
      </c>
    </row>
    <row r="518">
      <c r="A518" s="4" t="inlineStr">
        <is>
          <t>MARUTI.NS</t>
        </is>
      </c>
      <c r="B518" s="4" t="inlineStr">
        <is>
          <t>Maruti Suzuki India Limited</t>
        </is>
      </c>
      <c r="C518" s="4" t="inlineStr">
        <is>
          <t>India</t>
        </is>
      </c>
      <c r="D518" s="4" t="inlineStr">
        <is>
          <t>IN</t>
        </is>
      </c>
      <c r="E518" s="4" t="inlineStr">
        <is>
          <t>Consumo cíclico</t>
        </is>
      </c>
      <c r="F518" s="4" t="inlineStr">
        <is>
          <t>Auto Manufacturers</t>
        </is>
      </c>
      <c r="G518" s="4" t="inlineStr">
        <is>
          <t>NSI</t>
        </is>
      </c>
      <c r="H518" s="4" t="inlineStr">
        <is>
          <t>INR</t>
        </is>
      </c>
      <c r="I518" s="5" t="n">
        <v>3598337.179648</v>
      </c>
      <c r="J518" s="6">
        <f>INDEX(FX!$B:$B,MATCH(H518,FX!$A:$A,0))</f>
        <v/>
      </c>
      <c r="K518" s="5">
        <f>I518*J518</f>
        <v/>
      </c>
      <c r="L518" s="4">
        <f>IF(U518&lt;&gt;"",U518,IF(K518&gt;=Umbrales!$B$2,"Legendaria",IF(K518&gt;=Umbrales!$B$3,"Épica",IF(K518&gt;=Umbrales!$B$4,"Rara",IF(K518&gt;=Umbrales!$B$5,"Poco común","Común")))))</f>
        <v/>
      </c>
      <c r="M518" s="5" t="n">
        <v>1971806.011392</v>
      </c>
      <c r="N518" s="5" t="n">
        <v>143339.995136</v>
      </c>
      <c r="O518" s="5">
        <f>IF(M518="","",M518*J518)</f>
        <v/>
      </c>
      <c r="P518" s="5">
        <f>IF(N518="","",N518*J518)</f>
        <v/>
      </c>
      <c r="Q518" s="7" t="n">
        <v>0.0125</v>
      </c>
      <c r="R518" s="8" t="n">
        <v>25.10364</v>
      </c>
      <c r="S518" s="4" t="inlineStr">
        <is>
          <t>NIFTY50</t>
        </is>
      </c>
      <c r="T518" s="9" t="inlineStr">
        <is>
          <t>SI</t>
        </is>
      </c>
      <c r="U518" s="9" t="inlineStr"/>
      <c r="V518" s="10">
        <f>Umbrales!$B$9*(K518/1000)^Umbrales!$B$10</f>
        <v/>
      </c>
    </row>
    <row r="519">
      <c r="A519" s="4" t="inlineStr">
        <is>
          <t>BMPS.MI</t>
        </is>
      </c>
      <c r="B519" s="4" t="inlineStr">
        <is>
          <t>Banca Monte dei Paschi di Siena S.p.A.</t>
        </is>
      </c>
      <c r="C519" s="4" t="inlineStr">
        <is>
          <t>Italy</t>
        </is>
      </c>
      <c r="D519" s="4" t="inlineStr">
        <is>
          <t>IT</t>
        </is>
      </c>
      <c r="E519" s="4" t="inlineStr">
        <is>
          <t>Finanzas</t>
        </is>
      </c>
      <c r="F519" s="4" t="inlineStr">
        <is>
          <t>Banks - Regional</t>
        </is>
      </c>
      <c r="G519" s="4" t="inlineStr">
        <is>
          <t>MIL</t>
        </is>
      </c>
      <c r="H519" s="4" t="inlineStr">
        <is>
          <t>EUR</t>
        </is>
      </c>
      <c r="I519" s="5" t="n">
        <v>33641.365504</v>
      </c>
      <c r="J519" s="6">
        <f>INDEX(FX!$B:$B,MATCH(H519,FX!$A:$A,0))</f>
        <v/>
      </c>
      <c r="K519" s="5">
        <f>I519*J519</f>
        <v/>
      </c>
      <c r="L519" s="4">
        <f>IF(U519&lt;&gt;"",U519,IF(K519&gt;=Umbrales!$B$2,"Legendaria",IF(K519&gt;=Umbrales!$B$3,"Épica",IF(K519&gt;=Umbrales!$B$4,"Rara",IF(K519&gt;=Umbrales!$B$5,"Poco común","Común")))))</f>
        <v/>
      </c>
      <c r="M519" s="5" t="n">
        <v>5619.01824</v>
      </c>
      <c r="N519" s="5" t="n">
        <v>2941.231104</v>
      </c>
      <c r="O519" s="5">
        <f>IF(M519="","",M519*J519)</f>
        <v/>
      </c>
      <c r="P519" s="5">
        <f>IF(N519="","",N519*J519)</f>
        <v/>
      </c>
      <c r="Q519" s="7" t="n">
        <v>0.07679999999999999</v>
      </c>
      <c r="R519" s="8" t="n">
        <v>9.383051</v>
      </c>
      <c r="S519" s="4" t="inlineStr">
        <is>
          <t>FTSEMIB</t>
        </is>
      </c>
      <c r="T519" s="9" t="inlineStr">
        <is>
          <t>SI</t>
        </is>
      </c>
      <c r="U519" s="9" t="inlineStr"/>
      <c r="V519" s="10">
        <f>Umbrales!$B$9*(K519/1000)^Umbrales!$B$10</f>
        <v/>
      </c>
    </row>
    <row r="520">
      <c r="A520" s="4" t="inlineStr">
        <is>
          <t>TTWO</t>
        </is>
      </c>
      <c r="B520" s="4" t="inlineStr">
        <is>
          <t>Take-Two Interactive Software, Inc.</t>
        </is>
      </c>
      <c r="C520" s="4" t="inlineStr">
        <is>
          <t>United States</t>
        </is>
      </c>
      <c r="D520" s="4" t="inlineStr">
        <is>
          <t>US</t>
        </is>
      </c>
      <c r="E520" s="4" t="inlineStr">
        <is>
          <t>Comunicación</t>
        </is>
      </c>
      <c r="F520" s="4" t="inlineStr">
        <is>
          <t>Electronic Gaming &amp; Multimedia</t>
        </is>
      </c>
      <c r="G520" s="4" t="inlineStr">
        <is>
          <t>NMS</t>
        </is>
      </c>
      <c r="H520" s="4" t="inlineStr">
        <is>
          <t>USD</t>
        </is>
      </c>
      <c r="I520" s="5" t="n">
        <v>37626.073088</v>
      </c>
      <c r="J520" s="6">
        <f>INDEX(FX!$B:$B,MATCH(H520,FX!$A:$A,0))</f>
        <v/>
      </c>
      <c r="K520" s="5">
        <f>I520*J520</f>
        <v/>
      </c>
      <c r="L520" s="4">
        <f>IF(U520&lt;&gt;"",U520,IF(K520&gt;=Umbrales!$B$2,"Legendaria",IF(K520&gt;=Umbrales!$B$3,"Épica",IF(K520&gt;=Umbrales!$B$4,"Rara",IF(K520&gt;=Umbrales!$B$5,"Poco común","Común")))))</f>
        <v/>
      </c>
      <c r="M520" s="5" t="n">
        <v>6686.49984</v>
      </c>
      <c r="N520" s="5" t="n">
        <v>-320.4</v>
      </c>
      <c r="O520" s="5">
        <f>IF(M520="","",M520*J520)</f>
        <v/>
      </c>
      <c r="P520" s="5">
        <f>IF(N520="","",N520*J520)</f>
        <v/>
      </c>
      <c r="Q520" s="7" t="n">
        <v>0</v>
      </c>
      <c r="R520" s="8" t="n"/>
      <c r="S520" s="4" t="inlineStr">
        <is>
          <t>NASDAQ100, SP500</t>
        </is>
      </c>
      <c r="T520" s="9" t="inlineStr">
        <is>
          <t>SI</t>
        </is>
      </c>
      <c r="U520" s="9" t="inlineStr"/>
      <c r="V520" s="10">
        <f>Umbrales!$B$9*(K520/1000)^Umbrales!$B$10</f>
        <v/>
      </c>
    </row>
    <row r="521">
      <c r="A521" s="4" t="inlineStr">
        <is>
          <t>KR</t>
        </is>
      </c>
      <c r="B521" s="4" t="inlineStr">
        <is>
          <t>The Kroger Co.</t>
        </is>
      </c>
      <c r="C521" s="4" t="inlineStr">
        <is>
          <t>United States</t>
        </is>
      </c>
      <c r="D521" s="4" t="inlineStr">
        <is>
          <t>US</t>
        </is>
      </c>
      <c r="E521" s="4" t="inlineStr">
        <is>
          <t>Consumo básico</t>
        </is>
      </c>
      <c r="F521" s="4" t="inlineStr">
        <is>
          <t>Grocery Stores</t>
        </is>
      </c>
      <c r="G521" s="4" t="inlineStr">
        <is>
          <t>NYQ</t>
        </is>
      </c>
      <c r="H521" s="4" t="inlineStr">
        <is>
          <t>USD</t>
        </is>
      </c>
      <c r="I521" s="5" t="n">
        <v>37614.592</v>
      </c>
      <c r="J521" s="6">
        <f>INDEX(FX!$B:$B,MATCH(H521,FX!$A:$A,0))</f>
        <v/>
      </c>
      <c r="K521" s="5">
        <f>I521*J521</f>
        <v/>
      </c>
      <c r="L521" s="4">
        <f>IF(U521&lt;&gt;"",U521,IF(K521&gt;=Umbrales!$B$2,"Legendaria",IF(K521&gt;=Umbrales!$B$3,"Épica",IF(K521&gt;=Umbrales!$B$4,"Rara",IF(K521&gt;=Umbrales!$B$5,"Poco común","Común")))))</f>
        <v/>
      </c>
      <c r="M521" s="5" t="n">
        <v>149326.004224</v>
      </c>
      <c r="N521" s="5" t="n">
        <v>1078</v>
      </c>
      <c r="O521" s="5">
        <f>IF(M521="","",M521*J521)</f>
        <v/>
      </c>
      <c r="P521" s="5">
        <f>IF(N521="","",N521*J521)</f>
        <v/>
      </c>
      <c r="Q521" s="7" t="n">
        <v>0.0257</v>
      </c>
      <c r="R521" s="8" t="n">
        <v>34.058823</v>
      </c>
      <c r="S521" s="4" t="inlineStr">
        <is>
          <t>SP500</t>
        </is>
      </c>
      <c r="T521" s="9" t="inlineStr">
        <is>
          <t>SI</t>
        </is>
      </c>
      <c r="U521" s="9" t="inlineStr"/>
      <c r="V521" s="10">
        <f>Umbrales!$B$9*(K521/1000)^Umbrales!$B$10</f>
        <v/>
      </c>
    </row>
    <row r="522">
      <c r="A522" s="4" t="inlineStr">
        <is>
          <t>GMG.AX</t>
        </is>
      </c>
      <c r="B522" s="4" t="inlineStr">
        <is>
          <t>Goodman Group</t>
        </is>
      </c>
      <c r="C522" s="4" t="inlineStr">
        <is>
          <t>Australia</t>
        </is>
      </c>
      <c r="D522" s="4" t="inlineStr">
        <is>
          <t>AU</t>
        </is>
      </c>
      <c r="E522" s="4" t="inlineStr">
        <is>
          <t>Inmobiliario</t>
        </is>
      </c>
      <c r="F522" s="4" t="inlineStr">
        <is>
          <t>REIT - Diversified</t>
        </is>
      </c>
      <c r="G522" s="4" t="inlineStr">
        <is>
          <t>ASX</t>
        </is>
      </c>
      <c r="H522" s="4" t="inlineStr">
        <is>
          <t>AUD</t>
        </is>
      </c>
      <c r="I522" s="5" t="n">
        <v>54183.878656</v>
      </c>
      <c r="J522" s="6">
        <f>INDEX(FX!$B:$B,MATCH(H522,FX!$A:$A,0))</f>
        <v/>
      </c>
      <c r="K522" s="5">
        <f>I522*J522</f>
        <v/>
      </c>
      <c r="L522" s="4">
        <f>IF(U522&lt;&gt;"",U522,IF(K522&gt;=Umbrales!$B$2,"Legendaria",IF(K522&gt;=Umbrales!$B$3,"Épica",IF(K522&gt;=Umbrales!$B$4,"Rara",IF(K522&gt;=Umbrales!$B$5,"Poco común","Común")))))</f>
        <v/>
      </c>
      <c r="M522" s="5" t="n">
        <v>4060.100096</v>
      </c>
      <c r="N522" s="5" t="n">
        <v>2778.700032</v>
      </c>
      <c r="O522" s="5">
        <f>IF(M522="","",M522*J522)</f>
        <v/>
      </c>
      <c r="P522" s="5">
        <f>IF(N522="","",N522*J522)</f>
        <v/>
      </c>
      <c r="Q522" s="7" t="n">
        <v>0.0109</v>
      </c>
      <c r="R522" s="8" t="n">
        <v>19.533333</v>
      </c>
      <c r="S522" s="4" t="inlineStr">
        <is>
          <t>ASX50</t>
        </is>
      </c>
      <c r="T522" s="9" t="inlineStr">
        <is>
          <t>SI</t>
        </is>
      </c>
      <c r="U522" s="9" t="inlineStr"/>
      <c r="V522" s="10">
        <f>Umbrales!$B$9*(K522/1000)^Umbrales!$B$10</f>
        <v/>
      </c>
    </row>
    <row r="523">
      <c r="A523" s="4" t="inlineStr">
        <is>
          <t>VOW3.DE</t>
        </is>
      </c>
      <c r="B523" s="4" t="inlineStr">
        <is>
          <t>Volkswagen AG</t>
        </is>
      </c>
      <c r="C523" s="4" t="inlineStr">
        <is>
          <t>Germany</t>
        </is>
      </c>
      <c r="D523" s="4" t="inlineStr">
        <is>
          <t>DE</t>
        </is>
      </c>
      <c r="E523" s="4" t="inlineStr">
        <is>
          <t>Consumo cíclico</t>
        </is>
      </c>
      <c r="F523" s="4" t="inlineStr">
        <is>
          <t>Auto Manufacturers</t>
        </is>
      </c>
      <c r="G523" s="4" t="inlineStr">
        <is>
          <t>GER</t>
        </is>
      </c>
      <c r="H523" s="4" t="inlineStr">
        <is>
          <t>EUR</t>
        </is>
      </c>
      <c r="I523" s="5" t="n">
        <v>33436.393472</v>
      </c>
      <c r="J523" s="6">
        <f>INDEX(FX!$B:$B,MATCH(H523,FX!$A:$A,0))</f>
        <v/>
      </c>
      <c r="K523" s="5">
        <f>I523*J523</f>
        <v/>
      </c>
      <c r="L523" s="4">
        <f>IF(U523&lt;&gt;"",U523,IF(K523&gt;=Umbrales!$B$2,"Legendaria",IF(K523&gt;=Umbrales!$B$3,"Épica",IF(K523&gt;=Umbrales!$B$4,"Rara",IF(K523&gt;=Umbrales!$B$5,"Poco común","Común")))))</f>
        <v/>
      </c>
      <c r="M523" s="5" t="n">
        <v>321651.01568</v>
      </c>
      <c r="N523" s="5" t="n">
        <v>5241.999872</v>
      </c>
      <c r="O523" s="5">
        <f>IF(M523="","",M523*J523)</f>
        <v/>
      </c>
      <c r="P523" s="5">
        <f>IF(N523="","",N523*J523)</f>
        <v/>
      </c>
      <c r="Q523" s="7" t="n">
        <v>0.07539999999999999</v>
      </c>
      <c r="R523" s="8" t="n">
        <v>6.4694467</v>
      </c>
      <c r="S523" s="4" t="inlineStr">
        <is>
          <t>DAX40, EUROSTOXX50</t>
        </is>
      </c>
      <c r="T523" s="9" t="inlineStr">
        <is>
          <t>SI</t>
        </is>
      </c>
      <c r="U523" s="9" t="inlineStr"/>
      <c r="V523" s="10">
        <f>Umbrales!$B$9*(K523/1000)^Umbrales!$B$10</f>
        <v/>
      </c>
    </row>
    <row r="524">
      <c r="A524" s="4" t="inlineStr">
        <is>
          <t>SKYD</t>
        </is>
      </c>
      <c r="B524" s="4" t="inlineStr">
        <is>
          <t>Skydance Corporation</t>
        </is>
      </c>
      <c r="C524" s="4" t="inlineStr">
        <is>
          <t>United States</t>
        </is>
      </c>
      <c r="D524" s="4" t="inlineStr">
        <is>
          <t>US</t>
        </is>
      </c>
      <c r="E524" s="4" t="inlineStr">
        <is>
          <t>Comunicación</t>
        </is>
      </c>
      <c r="F524" s="4" t="inlineStr">
        <is>
          <t>Entertainment</t>
        </is>
      </c>
      <c r="G524" s="4" t="inlineStr">
        <is>
          <t>NYQ</t>
        </is>
      </c>
      <c r="H524" s="4" t="inlineStr">
        <is>
          <t>USD</t>
        </is>
      </c>
      <c r="I524" s="5" t="n">
        <v>37387.751424</v>
      </c>
      <c r="J524" s="6">
        <f>INDEX(FX!$B:$B,MATCH(H524,FX!$A:$A,0))</f>
        <v/>
      </c>
      <c r="K524" s="5">
        <f>I524*J524</f>
        <v/>
      </c>
      <c r="L524" s="4">
        <f>IF(U524&lt;&gt;"",U524,IF(K524&gt;=Umbrales!$B$2,"Legendaria",IF(K524&gt;=Umbrales!$B$3,"Épica",IF(K524&gt;=Umbrales!$B$4,"Rara",IF(K524&gt;=Umbrales!$B$5,"Poco común","Común")))))</f>
        <v/>
      </c>
      <c r="M524" s="5" t="n">
        <v>29109.999616</v>
      </c>
      <c r="N524" s="5" t="n">
        <v>-621</v>
      </c>
      <c r="O524" s="5">
        <f>IF(M524="","",M524*J524)</f>
        <v/>
      </c>
      <c r="P524" s="5">
        <f>IF(N524="","",N524*J524)</f>
        <v/>
      </c>
      <c r="Q524" s="7" t="n">
        <v>0.0216</v>
      </c>
      <c r="R524" s="8" t="n"/>
      <c r="S524" s="4" t="inlineStr">
        <is>
          <t>SP500</t>
        </is>
      </c>
      <c r="T524" s="9" t="inlineStr">
        <is>
          <t>SI</t>
        </is>
      </c>
      <c r="U524" s="9" t="inlineStr"/>
      <c r="V524" s="10">
        <f>Umbrales!$B$9*(K524/1000)^Umbrales!$B$10</f>
        <v/>
      </c>
    </row>
    <row r="525">
      <c r="A525" s="4" t="inlineStr">
        <is>
          <t>BMW.DE</t>
        </is>
      </c>
      <c r="B525" s="4" t="inlineStr">
        <is>
          <t>Bayerische Motoren Werke Aktiengesellschaft</t>
        </is>
      </c>
      <c r="C525" s="4" t="inlineStr">
        <is>
          <t>Germany</t>
        </is>
      </c>
      <c r="D525" s="4" t="inlineStr">
        <is>
          <t>DE</t>
        </is>
      </c>
      <c r="E525" s="4" t="inlineStr">
        <is>
          <t>Consumo cíclico</t>
        </is>
      </c>
      <c r="F525" s="4" t="inlineStr">
        <is>
          <t>Auto Manufacturers</t>
        </is>
      </c>
      <c r="G525" s="4" t="inlineStr">
        <is>
          <t>GER</t>
        </is>
      </c>
      <c r="H525" s="4" t="inlineStr">
        <is>
          <t>EUR</t>
        </is>
      </c>
      <c r="I525" s="5" t="n">
        <v>33208.967168</v>
      </c>
      <c r="J525" s="6">
        <f>INDEX(FX!$B:$B,MATCH(H525,FX!$A:$A,0))</f>
        <v/>
      </c>
      <c r="K525" s="5">
        <f>I525*J525</f>
        <v/>
      </c>
      <c r="L525" s="4">
        <f>IF(U525&lt;&gt;"",U525,IF(K525&gt;=Umbrales!$B$2,"Legendaria",IF(K525&gt;=Umbrales!$B$3,"Épica",IF(K525&gt;=Umbrales!$B$4,"Rara",IF(K525&gt;=Umbrales!$B$5,"Poco común","Común")))))</f>
        <v/>
      </c>
      <c r="M525" s="5" t="n">
        <v>128033.9968</v>
      </c>
      <c r="N525" s="5" t="n">
        <v>6303.000064</v>
      </c>
      <c r="O525" s="5">
        <f>IF(M525="","",M525*J525)</f>
        <v/>
      </c>
      <c r="P525" s="5">
        <f>IF(N525="","",N525*J525)</f>
        <v/>
      </c>
      <c r="Q525" s="7" t="n">
        <v>0.08199999999999999</v>
      </c>
      <c r="R525" s="8" t="n">
        <v>5.263757</v>
      </c>
      <c r="S525" s="4" t="inlineStr">
        <is>
          <t>DAX40, EUROSTOXX50</t>
        </is>
      </c>
      <c r="T525" s="9" t="inlineStr">
        <is>
          <t>SI</t>
        </is>
      </c>
      <c r="U525" s="9" t="inlineStr"/>
      <c r="V525" s="10">
        <f>Umbrales!$B$9*(K525/1000)^Umbrales!$B$10</f>
        <v/>
      </c>
    </row>
    <row r="526">
      <c r="A526" s="4" t="inlineStr">
        <is>
          <t>ARES</t>
        </is>
      </c>
      <c r="B526" s="4" t="inlineStr">
        <is>
          <t>Ares Management Corporation</t>
        </is>
      </c>
      <c r="C526" s="4" t="inlineStr">
        <is>
          <t>United States</t>
        </is>
      </c>
      <c r="D526" s="4" t="inlineStr">
        <is>
          <t>US</t>
        </is>
      </c>
      <c r="E526" s="4" t="inlineStr">
        <is>
          <t>Finanzas</t>
        </is>
      </c>
      <c r="F526" s="4" t="inlineStr">
        <is>
          <t>Asset Management</t>
        </is>
      </c>
      <c r="G526" s="4" t="inlineStr">
        <is>
          <t>NYQ</t>
        </is>
      </c>
      <c r="H526" s="4" t="inlineStr">
        <is>
          <t>USD</t>
        </is>
      </c>
      <c r="I526" s="5" t="n">
        <v>37142.315008</v>
      </c>
      <c r="J526" s="6">
        <f>INDEX(FX!$B:$B,MATCH(H526,FX!$A:$A,0))</f>
        <v/>
      </c>
      <c r="K526" s="5">
        <f>I526*J526</f>
        <v/>
      </c>
      <c r="L526" s="4">
        <f>IF(U526&lt;&gt;"",U526,IF(K526&gt;=Umbrales!$B$2,"Legendaria",IF(K526&gt;=Umbrales!$B$3,"Épica",IF(K526&gt;=Umbrales!$B$4,"Rara",IF(K526&gt;=Umbrales!$B$5,"Poco común","Común")))))</f>
        <v/>
      </c>
      <c r="M526" s="5" t="n">
        <v>5252.563968</v>
      </c>
      <c r="N526" s="5" t="n">
        <v>487.432992</v>
      </c>
      <c r="O526" s="5">
        <f>IF(M526="","",M526*J526)</f>
        <v/>
      </c>
      <c r="P526" s="5">
        <f>IF(N526="","",N526*J526)</f>
        <v/>
      </c>
      <c r="Q526" s="7" t="n">
        <v>0.0467</v>
      </c>
      <c r="R526" s="8" t="n">
        <v>53.056873</v>
      </c>
      <c r="S526" s="4" t="inlineStr">
        <is>
          <t>SP500</t>
        </is>
      </c>
      <c r="T526" s="9" t="inlineStr">
        <is>
          <t>SI</t>
        </is>
      </c>
      <c r="U526" s="9" t="inlineStr"/>
      <c r="V526" s="10">
        <f>Umbrales!$B$9*(K526/1000)^Umbrales!$B$10</f>
        <v/>
      </c>
    </row>
    <row r="527">
      <c r="A527" s="4" t="inlineStr">
        <is>
          <t>HNR1.DE</t>
        </is>
      </c>
      <c r="B527" s="4" t="inlineStr">
        <is>
          <t>Hannover Rück SE</t>
        </is>
      </c>
      <c r="C527" s="4" t="inlineStr">
        <is>
          <t>Germany</t>
        </is>
      </c>
      <c r="D527" s="4" t="inlineStr">
        <is>
          <t>DE</t>
        </is>
      </c>
      <c r="E527" s="4" t="inlineStr">
        <is>
          <t>Finanzas</t>
        </is>
      </c>
      <c r="F527" s="4" t="inlineStr">
        <is>
          <t>Insurance - Reinsurance</t>
        </is>
      </c>
      <c r="G527" s="4" t="inlineStr">
        <is>
          <t>GER</t>
        </is>
      </c>
      <c r="H527" s="4" t="inlineStr">
        <is>
          <t>EUR</t>
        </is>
      </c>
      <c r="I527" s="5" t="n">
        <v>33091.854336</v>
      </c>
      <c r="J527" s="6">
        <f>INDEX(FX!$B:$B,MATCH(H527,FX!$A:$A,0))</f>
        <v/>
      </c>
      <c r="K527" s="5">
        <f>I527*J527</f>
        <v/>
      </c>
      <c r="L527" s="4">
        <f>IF(U527&lt;&gt;"",U527,IF(K527&gt;=Umbrales!$B$2,"Legendaria",IF(K527&gt;=Umbrales!$B$3,"Épica",IF(K527&gt;=Umbrales!$B$4,"Rara",IF(K527&gt;=Umbrales!$B$5,"Poco común","Común")))))</f>
        <v/>
      </c>
      <c r="M527" s="5" t="n">
        <v>22665.40032</v>
      </c>
      <c r="N527" s="5" t="n">
        <v>2733.499904</v>
      </c>
      <c r="O527" s="5">
        <f>IF(M527="","",M527*J527)</f>
        <v/>
      </c>
      <c r="P527" s="5">
        <f>IF(N527="","",N527*J527)</f>
        <v/>
      </c>
      <c r="Q527" s="7" t="n">
        <v>0.04769999999999999</v>
      </c>
      <c r="R527" s="8" t="n">
        <v>11.771771</v>
      </c>
      <c r="S527" s="4" t="inlineStr">
        <is>
          <t>DAX40</t>
        </is>
      </c>
      <c r="T527" s="9" t="inlineStr">
        <is>
          <t>SI</t>
        </is>
      </c>
      <c r="U527" s="9" t="inlineStr"/>
      <c r="V527" s="10">
        <f>Umbrales!$B$9*(K527/1000)^Umbrales!$B$10</f>
        <v/>
      </c>
    </row>
    <row r="528">
      <c r="A528" s="4" t="inlineStr">
        <is>
          <t>VOD.L</t>
        </is>
      </c>
      <c r="B528" s="4" t="inlineStr">
        <is>
          <t>Vodafone Group Public Limited Company</t>
        </is>
      </c>
      <c r="C528" s="4" t="inlineStr">
        <is>
          <t>United Kingdom</t>
        </is>
      </c>
      <c r="D528" s="4" t="inlineStr">
        <is>
          <t>GB</t>
        </is>
      </c>
      <c r="E528" s="4" t="inlineStr">
        <is>
          <t>Comunicación</t>
        </is>
      </c>
      <c r="F528" s="4" t="inlineStr">
        <is>
          <t>Telecom Services</t>
        </is>
      </c>
      <c r="G528" s="4" t="inlineStr">
        <is>
          <t>LSE</t>
        </is>
      </c>
      <c r="H528" s="4" t="inlineStr">
        <is>
          <t>GBP</t>
        </is>
      </c>
      <c r="I528" s="5" t="n">
        <v>27835.459584</v>
      </c>
      <c r="J528" s="6">
        <f>INDEX(FX!$B:$B,MATCH(H528,FX!$A:$A,0))</f>
        <v/>
      </c>
      <c r="K528" s="5">
        <f>I528*J528</f>
        <v/>
      </c>
      <c r="L528" s="4">
        <f>IF(U528&lt;&gt;"",U528,IF(K528&gt;=Umbrales!$B$2,"Legendaria",IF(K528&gt;=Umbrales!$B$3,"Épica",IF(K528&gt;=Umbrales!$B$4,"Rara",IF(K528&gt;=Umbrales!$B$5,"Poco común","Común")))))</f>
        <v/>
      </c>
      <c r="M528" s="5" t="n">
        <v>40461.000704</v>
      </c>
      <c r="N528" s="5" t="n">
        <v>-289</v>
      </c>
      <c r="O528" s="5">
        <f>IF(M528="","",M528*J528)</f>
        <v/>
      </c>
      <c r="P528" s="5">
        <f>IF(N528="","",N528*J528)</f>
        <v/>
      </c>
      <c r="Q528" s="7" t="n">
        <v>0.0338</v>
      </c>
      <c r="R528" s="8" t="n"/>
      <c r="S528" s="4" t="inlineStr">
        <is>
          <t>FTSE100</t>
        </is>
      </c>
      <c r="T528" s="9" t="inlineStr">
        <is>
          <t>SI</t>
        </is>
      </c>
      <c r="U528" s="9" t="inlineStr"/>
      <c r="V528" s="10">
        <f>Umbrales!$B$9*(K528/1000)^Umbrales!$B$10</f>
        <v/>
      </c>
    </row>
    <row r="529">
      <c r="A529" s="4" t="inlineStr">
        <is>
          <t>FFH.TO</t>
        </is>
      </c>
      <c r="B529" s="4" t="inlineStr">
        <is>
          <t>Fairfax Financial Holdings Limited</t>
        </is>
      </c>
      <c r="C529" s="4" t="inlineStr">
        <is>
          <t>Canada</t>
        </is>
      </c>
      <c r="D529" s="4" t="inlineStr">
        <is>
          <t>CA</t>
        </is>
      </c>
      <c r="E529" s="4" t="inlineStr">
        <is>
          <t>Finanzas</t>
        </is>
      </c>
      <c r="F529" s="4" t="inlineStr">
        <is>
          <t>Insurance - Property &amp; Casualty</t>
        </is>
      </c>
      <c r="G529" s="4" t="inlineStr">
        <is>
          <t>TOR</t>
        </is>
      </c>
      <c r="H529" s="4" t="inlineStr">
        <is>
          <t>CAD</t>
        </is>
      </c>
      <c r="I529" s="5" t="n">
        <v>52342.80448</v>
      </c>
      <c r="J529" s="6">
        <f>INDEX(FX!$B:$B,MATCH(H529,FX!$A:$A,0))</f>
        <v/>
      </c>
      <c r="K529" s="5">
        <f>I529*J529</f>
        <v/>
      </c>
      <c r="L529" s="4">
        <f>IF(U529&lt;&gt;"",U529,IF(K529&gt;=Umbrales!$B$2,"Legendaria",IF(K529&gt;=Umbrales!$B$3,"Épica",IF(K529&gt;=Umbrales!$B$4,"Rara",IF(K529&gt;=Umbrales!$B$5,"Poco común","Común")))))</f>
        <v/>
      </c>
      <c r="M529" s="5" t="n">
        <v>38529.69984</v>
      </c>
      <c r="N529" s="5" t="n">
        <v>4640.999936</v>
      </c>
      <c r="O529" s="5">
        <f>IF(M529="","",M529*J529)</f>
        <v/>
      </c>
      <c r="P529" s="5">
        <f>IF(N529="","",N529*J529)</f>
        <v/>
      </c>
      <c r="Q529" s="7" t="n">
        <v>0.0091</v>
      </c>
      <c r="R529" s="8" t="n">
        <v>8.308192</v>
      </c>
      <c r="S529" s="4" t="inlineStr">
        <is>
          <t>TSX60</t>
        </is>
      </c>
      <c r="T529" s="9" t="inlineStr">
        <is>
          <t>SI</t>
        </is>
      </c>
      <c r="U529" s="9" t="inlineStr"/>
      <c r="V529" s="10">
        <f>Umbrales!$B$9*(K529/1000)^Umbrales!$B$10</f>
        <v/>
      </c>
    </row>
    <row r="530">
      <c r="A530" s="4" t="inlineStr">
        <is>
          <t>ROP</t>
        </is>
      </c>
      <c r="B530" s="4" t="inlineStr">
        <is>
          <t>Roper Technologies, Inc.</t>
        </is>
      </c>
      <c r="C530" s="4" t="inlineStr">
        <is>
          <t>United States</t>
        </is>
      </c>
      <c r="D530" s="4" t="inlineStr">
        <is>
          <t>US</t>
        </is>
      </c>
      <c r="E530" s="4" t="inlineStr">
        <is>
          <t>Tecnología</t>
        </is>
      </c>
      <c r="F530" s="4" t="inlineStr">
        <is>
          <t>Software - Application</t>
        </is>
      </c>
      <c r="G530" s="4" t="inlineStr">
        <is>
          <t>NMS</t>
        </is>
      </c>
      <c r="H530" s="4" t="inlineStr">
        <is>
          <t>USD</t>
        </is>
      </c>
      <c r="I530" s="5" t="n">
        <v>36859.367424</v>
      </c>
      <c r="J530" s="6">
        <f>INDEX(FX!$B:$B,MATCH(H530,FX!$A:$A,0))</f>
        <v/>
      </c>
      <c r="K530" s="5">
        <f>I530*J530</f>
        <v/>
      </c>
      <c r="L530" s="4">
        <f>IF(U530&lt;&gt;"",U530,IF(K530&gt;=Umbrales!$B$2,"Legendaria",IF(K530&gt;=Umbrales!$B$3,"Épica",IF(K530&gt;=Umbrales!$B$4,"Rara",IF(K530&gt;=Umbrales!$B$5,"Poco común","Común")))))</f>
        <v/>
      </c>
      <c r="M530" s="5" t="n">
        <v>8280.300031999999</v>
      </c>
      <c r="N530" s="5" t="n">
        <v>2504.300032</v>
      </c>
      <c r="O530" s="5">
        <f>IF(M530="","",M530*J530)</f>
        <v/>
      </c>
      <c r="P530" s="5">
        <f>IF(N530="","",N530*J530)</f>
        <v/>
      </c>
      <c r="Q530" s="7" t="n">
        <v>0.009899999999999999</v>
      </c>
      <c r="R530" s="8" t="n">
        <v>15.355995</v>
      </c>
      <c r="S530" s="4" t="inlineStr">
        <is>
          <t>NASDAQ100, SP500</t>
        </is>
      </c>
      <c r="T530" s="9" t="inlineStr">
        <is>
          <t>SI</t>
        </is>
      </c>
      <c r="U530" s="9" t="inlineStr"/>
      <c r="V530" s="10">
        <f>Umbrales!$B$9*(K530/1000)^Umbrales!$B$10</f>
        <v/>
      </c>
    </row>
    <row r="531">
      <c r="A531" s="4" t="inlineStr">
        <is>
          <t>TLS.AX</t>
        </is>
      </c>
      <c r="B531" s="4" t="inlineStr">
        <is>
          <t>Telstra Group Limited</t>
        </is>
      </c>
      <c r="C531" s="4" t="inlineStr">
        <is>
          <t>Australia</t>
        </is>
      </c>
      <c r="D531" s="4" t="inlineStr">
        <is>
          <t>AU</t>
        </is>
      </c>
      <c r="E531" s="4" t="inlineStr">
        <is>
          <t>Comunicación</t>
        </is>
      </c>
      <c r="F531" s="4" t="inlineStr">
        <is>
          <t>Telecom Services</t>
        </is>
      </c>
      <c r="G531" s="4" t="inlineStr">
        <is>
          <t>ASX</t>
        </is>
      </c>
      <c r="H531" s="4" t="inlineStr">
        <is>
          <t>AUD</t>
        </is>
      </c>
      <c r="I531" s="5" t="n">
        <v>53132.886016</v>
      </c>
      <c r="J531" s="6">
        <f>INDEX(FX!$B:$B,MATCH(H531,FX!$A:$A,0))</f>
        <v/>
      </c>
      <c r="K531" s="5">
        <f>I531*J531</f>
        <v/>
      </c>
      <c r="L531" s="4">
        <f>IF(U531&lt;&gt;"",U531,IF(K531&gt;=Umbrales!$B$2,"Legendaria",IF(K531&gt;=Umbrales!$B$3,"Épica",IF(K531&gt;=Umbrales!$B$4,"Rara",IF(K531&gt;=Umbrales!$B$5,"Poco común","Común")))))</f>
        <v/>
      </c>
      <c r="M531" s="5" t="n">
        <v>22936.999936</v>
      </c>
      <c r="N531" s="5" t="n">
        <v>2240.999936</v>
      </c>
      <c r="O531" s="5">
        <f>IF(M531="","",M531*J531)</f>
        <v/>
      </c>
      <c r="P531" s="5">
        <f>IF(N531="","",N531*J531)</f>
        <v/>
      </c>
      <c r="Q531" s="7" t="n">
        <v>0.0447</v>
      </c>
      <c r="R531" s="8" t="n">
        <v>23.949999</v>
      </c>
      <c r="S531" s="4" t="inlineStr">
        <is>
          <t>ASX50</t>
        </is>
      </c>
      <c r="T531" s="9" t="inlineStr">
        <is>
          <t>SI</t>
        </is>
      </c>
      <c r="U531" s="9" t="inlineStr"/>
      <c r="V531" s="10">
        <f>Umbrales!$B$9*(K531/1000)^Umbrales!$B$10</f>
        <v/>
      </c>
    </row>
    <row r="532">
      <c r="A532" s="4" t="inlineStr">
        <is>
          <t>SGO.PA</t>
        </is>
      </c>
      <c r="B532" s="4" t="inlineStr">
        <is>
          <t>Compagnie de Saint-Gobain S.A.</t>
        </is>
      </c>
      <c r="C532" s="4" t="inlineStr">
        <is>
          <t>France</t>
        </is>
      </c>
      <c r="D532" s="4" t="inlineStr">
        <is>
          <t>FR</t>
        </is>
      </c>
      <c r="E532" s="4" t="inlineStr">
        <is>
          <t>Industria</t>
        </is>
      </c>
      <c r="F532" s="4" t="inlineStr">
        <is>
          <t>Building Products &amp; Equipment</t>
        </is>
      </c>
      <c r="G532" s="4" t="inlineStr">
        <is>
          <t>PAR</t>
        </is>
      </c>
      <c r="H532" s="4" t="inlineStr">
        <is>
          <t>EUR</t>
        </is>
      </c>
      <c r="I532" s="5" t="n">
        <v>32700.604416</v>
      </c>
      <c r="J532" s="6">
        <f>INDEX(FX!$B:$B,MATCH(H532,FX!$A:$A,0))</f>
        <v/>
      </c>
      <c r="K532" s="5">
        <f>I532*J532</f>
        <v/>
      </c>
      <c r="L532" s="4">
        <f>IF(U532&lt;&gt;"",U532,IF(K532&gt;=Umbrales!$B$2,"Legendaria",IF(K532&gt;=Umbrales!$B$3,"Épica",IF(K532&gt;=Umbrales!$B$4,"Rara",IF(K532&gt;=Umbrales!$B$5,"Poco común","Común")))))</f>
        <v/>
      </c>
      <c r="M532" s="5" t="n">
        <v>46226.00192</v>
      </c>
      <c r="N532" s="5" t="n">
        <v>2671.000064</v>
      </c>
      <c r="O532" s="5">
        <f>IF(M532="","",M532*J532)</f>
        <v/>
      </c>
      <c r="P532" s="5">
        <f>IF(N532="","",N532*J532)</f>
        <v/>
      </c>
      <c r="Q532" s="7" t="n">
        <v>0.0352</v>
      </c>
      <c r="R532" s="8" t="n">
        <v>12.423006</v>
      </c>
      <c r="S532" s="4" t="inlineStr">
        <is>
          <t>CAC40, EUROSTOXX50</t>
        </is>
      </c>
      <c r="T532" s="9" t="inlineStr">
        <is>
          <t>SI</t>
        </is>
      </c>
      <c r="U532" s="9" t="inlineStr"/>
      <c r="V532" s="10">
        <f>Umbrales!$B$9*(K532/1000)^Umbrales!$B$10</f>
        <v/>
      </c>
    </row>
    <row r="533">
      <c r="A533" s="4" t="inlineStr">
        <is>
          <t>ABN.AS</t>
        </is>
      </c>
      <c r="B533" s="4" t="inlineStr">
        <is>
          <t>ABN AMRO Bank N.V.</t>
        </is>
      </c>
      <c r="C533" s="4" t="inlineStr">
        <is>
          <t>Netherlands</t>
        </is>
      </c>
      <c r="D533" s="4" t="inlineStr">
        <is>
          <t>NL</t>
        </is>
      </c>
      <c r="E533" s="4" t="inlineStr">
        <is>
          <t>Finanzas</t>
        </is>
      </c>
      <c r="F533" s="4" t="inlineStr">
        <is>
          <t>Banks - Diversified</t>
        </is>
      </c>
      <c r="G533" s="4" t="inlineStr">
        <is>
          <t>AMS</t>
        </is>
      </c>
      <c r="H533" s="4" t="inlineStr">
        <is>
          <t>EUR</t>
        </is>
      </c>
      <c r="I533" s="5" t="n">
        <v>32646.326272</v>
      </c>
      <c r="J533" s="6">
        <f>INDEX(FX!$B:$B,MATCH(H533,FX!$A:$A,0))</f>
        <v/>
      </c>
      <c r="K533" s="5">
        <f>I533*J533</f>
        <v/>
      </c>
      <c r="L533" s="4">
        <f>IF(U533&lt;&gt;"",U533,IF(K533&gt;=Umbrales!$B$2,"Legendaria",IF(K533&gt;=Umbrales!$B$3,"Épica",IF(K533&gt;=Umbrales!$B$4,"Rara",IF(K533&gt;=Umbrales!$B$5,"Poco común","Común")))))</f>
        <v/>
      </c>
      <c r="M533" s="5" t="n">
        <v>9027.999744000001</v>
      </c>
      <c r="N533" s="5" t="n">
        <v>2284.999936</v>
      </c>
      <c r="O533" s="5">
        <f>IF(M533="","",M533*J533)</f>
        <v/>
      </c>
      <c r="P533" s="5">
        <f>IF(N533="","",N533*J533)</f>
        <v/>
      </c>
      <c r="Q533" s="7" t="n">
        <v>0.0336</v>
      </c>
      <c r="R533" s="8" t="n">
        <v>14.462094</v>
      </c>
      <c r="S533" s="4" t="inlineStr">
        <is>
          <t>AEX</t>
        </is>
      </c>
      <c r="T533" s="9" t="inlineStr">
        <is>
          <t>SI</t>
        </is>
      </c>
      <c r="U533" s="9" t="inlineStr"/>
      <c r="V533" s="10">
        <f>Umbrales!$B$9*(K533/1000)^Umbrales!$B$10</f>
        <v/>
      </c>
    </row>
    <row r="534">
      <c r="A534" s="4" t="inlineStr">
        <is>
          <t>FER.MC</t>
        </is>
      </c>
      <c r="B534" s="4" t="inlineStr">
        <is>
          <t>Ferrovial N.V.</t>
        </is>
      </c>
      <c r="C534" s="4" t="inlineStr">
        <is>
          <t>Netherlands</t>
        </is>
      </c>
      <c r="D534" s="4" t="inlineStr">
        <is>
          <t>NL</t>
        </is>
      </c>
      <c r="E534" s="4" t="inlineStr">
        <is>
          <t>Industria</t>
        </is>
      </c>
      <c r="F534" s="4" t="inlineStr">
        <is>
          <t>Engineering &amp; Construction</t>
        </is>
      </c>
      <c r="G534" s="4" t="inlineStr">
        <is>
          <t>MCE</t>
        </is>
      </c>
      <c r="H534" s="4" t="inlineStr">
        <is>
          <t>EUR</t>
        </is>
      </c>
      <c r="I534" s="5" t="n">
        <v>32642.572288</v>
      </c>
      <c r="J534" s="6">
        <f>INDEX(FX!$B:$B,MATCH(H534,FX!$A:$A,0))</f>
        <v/>
      </c>
      <c r="K534" s="5">
        <f>I534*J534</f>
        <v/>
      </c>
      <c r="L534" s="4">
        <f>IF(U534&lt;&gt;"",U534,IF(K534&gt;=Umbrales!$B$2,"Legendaria",IF(K534&gt;=Umbrales!$B$3,"Épica",IF(K534&gt;=Umbrales!$B$4,"Rara",IF(K534&gt;=Umbrales!$B$5,"Poco común","Común")))))</f>
        <v/>
      </c>
      <c r="M534" s="5" t="n">
        <v>9859.000319999999</v>
      </c>
      <c r="N534" s="5" t="n">
        <v>592</v>
      </c>
      <c r="O534" s="5">
        <f>IF(M534="","",M534*J534)</f>
        <v/>
      </c>
      <c r="P534" s="5">
        <f>IF(N534="","",N534*J534)</f>
        <v/>
      </c>
      <c r="Q534" s="7" t="n">
        <v>0.0246</v>
      </c>
      <c r="R534" s="8" t="n">
        <v>29.070513</v>
      </c>
      <c r="S534" s="4" t="inlineStr">
        <is>
          <t>IBEX35</t>
        </is>
      </c>
      <c r="T534" s="9" t="inlineStr">
        <is>
          <t>SI</t>
        </is>
      </c>
      <c r="U534" s="9" t="inlineStr"/>
      <c r="V534" s="10">
        <f>Umbrales!$B$9*(K534/1000)^Umbrales!$B$10</f>
        <v/>
      </c>
    </row>
    <row r="535">
      <c r="A535" s="4" t="inlineStr">
        <is>
          <t>9618.HK</t>
        </is>
      </c>
      <c r="B535" s="4" t="inlineStr">
        <is>
          <t>JD.com, Inc.</t>
        </is>
      </c>
      <c r="C535" s="4" t="inlineStr">
        <is>
          <t>China</t>
        </is>
      </c>
      <c r="D535" s="4" t="inlineStr">
        <is>
          <t>CN</t>
        </is>
      </c>
      <c r="E535" s="4" t="inlineStr">
        <is>
          <t>Consumo cíclico</t>
        </is>
      </c>
      <c r="F535" s="4" t="inlineStr">
        <is>
          <t>Internet Retail</t>
        </is>
      </c>
      <c r="G535" s="4" t="inlineStr">
        <is>
          <t>HKG</t>
        </is>
      </c>
      <c r="H535" s="4" t="inlineStr">
        <is>
          <t>HKD</t>
        </is>
      </c>
      <c r="I535" s="5" t="n">
        <v>286549.180416</v>
      </c>
      <c r="J535" s="6">
        <f>INDEX(FX!$B:$B,MATCH(H535,FX!$A:$A,0))</f>
        <v/>
      </c>
      <c r="K535" s="5">
        <f>I535*J535</f>
        <v/>
      </c>
      <c r="L535" s="4">
        <f>IF(U535&lt;&gt;"",U535,IF(K535&gt;=Umbrales!$B$2,"Legendaria",IF(K535&gt;=Umbrales!$B$3,"Épica",IF(K535&gt;=Umbrales!$B$4,"Rara",IF(K535&gt;=Umbrales!$B$5,"Poco común","Común")))))</f>
        <v/>
      </c>
      <c r="M535" s="5" t="n">
        <v>1313438.040064</v>
      </c>
      <c r="N535" s="5" t="n">
        <v>14794.000384</v>
      </c>
      <c r="O535" s="5">
        <f>IF(M535="","",M535*J535)</f>
        <v/>
      </c>
      <c r="P535" s="5">
        <f>IF(N535="","",N535*J535)</f>
        <v/>
      </c>
      <c r="Q535" s="7" t="n">
        <v>0.0369</v>
      </c>
      <c r="R535" s="8" t="n">
        <v>18.732143</v>
      </c>
      <c r="S535" s="4" t="inlineStr">
        <is>
          <t>HANGSENG</t>
        </is>
      </c>
      <c r="T535" s="9" t="inlineStr">
        <is>
          <t>SI</t>
        </is>
      </c>
      <c r="U535" s="9" t="inlineStr"/>
      <c r="V535" s="10">
        <f>Umbrales!$B$9*(K535/1000)^Umbrales!$B$10</f>
        <v/>
      </c>
    </row>
    <row r="536">
      <c r="A536" s="4" t="inlineStr">
        <is>
          <t>PRY.MI</t>
        </is>
      </c>
      <c r="B536" s="4" t="inlineStr">
        <is>
          <t>Prysmian S.p.A.</t>
        </is>
      </c>
      <c r="C536" s="4" t="inlineStr">
        <is>
          <t>Italy</t>
        </is>
      </c>
      <c r="D536" s="4" t="inlineStr">
        <is>
          <t>IT</t>
        </is>
      </c>
      <c r="E536" s="4" t="inlineStr">
        <is>
          <t>Industria</t>
        </is>
      </c>
      <c r="F536" s="4" t="inlineStr">
        <is>
          <t>Electrical Equipment &amp; Parts</t>
        </is>
      </c>
      <c r="G536" s="4" t="inlineStr">
        <is>
          <t>MIL</t>
        </is>
      </c>
      <c r="H536" s="4" t="inlineStr">
        <is>
          <t>EUR</t>
        </is>
      </c>
      <c r="I536" s="5" t="n">
        <v>32486.201344</v>
      </c>
      <c r="J536" s="6">
        <f>INDEX(FX!$B:$B,MATCH(H536,FX!$A:$A,0))</f>
        <v/>
      </c>
      <c r="K536" s="5">
        <f>I536*J536</f>
        <v/>
      </c>
      <c r="L536" s="4">
        <f>IF(U536&lt;&gt;"",U536,IF(K536&gt;=Umbrales!$B$2,"Legendaria",IF(K536&gt;=Umbrales!$B$3,"Épica",IF(K536&gt;=Umbrales!$B$4,"Rara",IF(K536&gt;=Umbrales!$B$5,"Poco común","Común")))))</f>
        <v/>
      </c>
      <c r="M536" s="5" t="n">
        <v>21340.99968</v>
      </c>
      <c r="N536" s="5" t="n">
        <v>1363.000064</v>
      </c>
      <c r="O536" s="5">
        <f>IF(M536="","",M536*J536)</f>
        <v/>
      </c>
      <c r="P536" s="5">
        <f>IF(N536="","",N536*J536)</f>
        <v/>
      </c>
      <c r="Q536" s="7" t="n">
        <v>0.0075</v>
      </c>
      <c r="R536" s="8" t="n">
        <v>24.448198</v>
      </c>
      <c r="S536" s="4" t="inlineStr">
        <is>
          <t>FTSEMIB</t>
        </is>
      </c>
      <c r="T536" s="9" t="inlineStr">
        <is>
          <t>SI</t>
        </is>
      </c>
      <c r="U536" s="9" t="inlineStr"/>
      <c r="V536" s="10">
        <f>Umbrales!$B$9*(K536/1000)^Umbrales!$B$10</f>
        <v/>
      </c>
    </row>
    <row r="537">
      <c r="A537" s="4" t="inlineStr">
        <is>
          <t>HIG</t>
        </is>
      </c>
      <c r="B537" s="4" t="inlineStr">
        <is>
          <t>The Hartford Insurance Group, Inc.</t>
        </is>
      </c>
      <c r="C537" s="4" t="inlineStr">
        <is>
          <t>United States</t>
        </is>
      </c>
      <c r="D537" s="4" t="inlineStr">
        <is>
          <t>US</t>
        </is>
      </c>
      <c r="E537" s="4" t="inlineStr">
        <is>
          <t>Finanzas</t>
        </is>
      </c>
      <c r="F537" s="4" t="inlineStr">
        <is>
          <t>Insurance - Diversified</t>
        </is>
      </c>
      <c r="G537" s="4" t="inlineStr">
        <is>
          <t>NYQ</t>
        </is>
      </c>
      <c r="H537" s="4" t="inlineStr">
        <is>
          <t>USD</t>
        </is>
      </c>
      <c r="I537" s="5" t="n">
        <v>36185.522176</v>
      </c>
      <c r="J537" s="6">
        <f>INDEX(FX!$B:$B,MATCH(H537,FX!$A:$A,0))</f>
        <v/>
      </c>
      <c r="K537" s="5">
        <f>I537*J537</f>
        <v/>
      </c>
      <c r="L537" s="4">
        <f>IF(U537&lt;&gt;"",U537,IF(K537&gt;=Umbrales!$B$2,"Legendaria",IF(K537&gt;=Umbrales!$B$3,"Épica",IF(K537&gt;=Umbrales!$B$4,"Rara",IF(K537&gt;=Umbrales!$B$5,"Poco común","Común")))))</f>
        <v/>
      </c>
      <c r="M537" s="5" t="n">
        <v>29315.00032</v>
      </c>
      <c r="N537" s="5" t="n">
        <v>4076.999936</v>
      </c>
      <c r="O537" s="5">
        <f>IF(M537="","",M537*J537)</f>
        <v/>
      </c>
      <c r="P537" s="5">
        <f>IF(N537="","",N537*J537)</f>
        <v/>
      </c>
      <c r="Q537" s="7" t="n">
        <v>0.0183</v>
      </c>
      <c r="R537" s="8" t="n">
        <v>9.535261</v>
      </c>
      <c r="S537" s="4" t="inlineStr">
        <is>
          <t>SP500</t>
        </is>
      </c>
      <c r="T537" s="9" t="inlineStr">
        <is>
          <t>SI</t>
        </is>
      </c>
      <c r="U537" s="9" t="inlineStr"/>
      <c r="V537" s="10">
        <f>Umbrales!$B$9*(K537/1000)^Umbrales!$B$10</f>
        <v/>
      </c>
    </row>
    <row r="538">
      <c r="A538" s="4" t="inlineStr">
        <is>
          <t>M&amp;M.NS</t>
        </is>
      </c>
      <c r="B538" s="4" t="inlineStr">
        <is>
          <t>Mahindra &amp; Mahindra Limited</t>
        </is>
      </c>
      <c r="C538" s="4" t="inlineStr">
        <is>
          <t>India</t>
        </is>
      </c>
      <c r="D538" s="4" t="inlineStr">
        <is>
          <t>IN</t>
        </is>
      </c>
      <c r="E538" s="4" t="inlineStr">
        <is>
          <t>Consumo cíclico</t>
        </is>
      </c>
      <c r="F538" s="4" t="inlineStr">
        <is>
          <t>Auto Manufacturers</t>
        </is>
      </c>
      <c r="G538" s="4" t="inlineStr">
        <is>
          <t>NSI</t>
        </is>
      </c>
      <c r="H538" s="4" t="inlineStr">
        <is>
          <t>INR</t>
        </is>
      </c>
      <c r="I538" s="5" t="n">
        <v>3436221.300736</v>
      </c>
      <c r="J538" s="6">
        <f>INDEX(FX!$B:$B,MATCH(H538,FX!$A:$A,0))</f>
        <v/>
      </c>
      <c r="K538" s="5">
        <f>I538*J538</f>
        <v/>
      </c>
      <c r="L538" s="4">
        <f>IF(U538&lt;&gt;"",U538,IF(K538&gt;=Umbrales!$B$2,"Legendaria",IF(K538&gt;=Umbrales!$B$3,"Épica",IF(K538&gt;=Umbrales!$B$4,"Rara",IF(K538&gt;=Umbrales!$B$5,"Poco común","Común")))))</f>
        <v/>
      </c>
      <c r="M538" s="5" t="n">
        <v>2145559.379968</v>
      </c>
      <c r="N538" s="5" t="n">
        <v>184700.698624</v>
      </c>
      <c r="O538" s="5">
        <f>IF(M538="","",M538*J538)</f>
        <v/>
      </c>
      <c r="P538" s="5">
        <f>IF(N538="","",N538*J538)</f>
        <v/>
      </c>
      <c r="Q538" s="7" t="n">
        <v>0.0118</v>
      </c>
      <c r="R538" s="8" t="n">
        <v>17.42071</v>
      </c>
      <c r="S538" s="4" t="inlineStr">
        <is>
          <t>NIFTY50</t>
        </is>
      </c>
      <c r="T538" s="9" t="inlineStr">
        <is>
          <t>SI</t>
        </is>
      </c>
      <c r="U538" s="9" t="inlineStr"/>
      <c r="V538" s="10">
        <f>Umbrales!$B$9*(K538/1000)^Umbrales!$B$10</f>
        <v/>
      </c>
    </row>
    <row r="539">
      <c r="A539" s="4" t="inlineStr">
        <is>
          <t>EQT.ST</t>
        </is>
      </c>
      <c r="B539" s="4" t="inlineStr">
        <is>
          <t>EQT AB (publ)</t>
        </is>
      </c>
      <c r="C539" s="4" t="inlineStr">
        <is>
          <t>Sweden</t>
        </is>
      </c>
      <c r="D539" s="4" t="inlineStr">
        <is>
          <t>SE</t>
        </is>
      </c>
      <c r="E539" s="4" t="inlineStr">
        <is>
          <t>Finanzas</t>
        </is>
      </c>
      <c r="F539" s="4" t="inlineStr">
        <is>
          <t>Asset Management</t>
        </is>
      </c>
      <c r="G539" s="4" t="inlineStr">
        <is>
          <t>STO</t>
        </is>
      </c>
      <c r="H539" s="4" t="inlineStr">
        <is>
          <t>SEK</t>
        </is>
      </c>
      <c r="I539" s="5" t="n">
        <v>359822.393344</v>
      </c>
      <c r="J539" s="6">
        <f>INDEX(FX!$B:$B,MATCH(H539,FX!$A:$A,0))</f>
        <v/>
      </c>
      <c r="K539" s="5">
        <f>I539*J539</f>
        <v/>
      </c>
      <c r="L539" s="4">
        <f>IF(U539&lt;&gt;"",U539,IF(K539&gt;=Umbrales!$B$2,"Legendaria",IF(K539&gt;=Umbrales!$B$3,"Épica",IF(K539&gt;=Umbrales!$B$4,"Rara",IF(K539&gt;=Umbrales!$B$5,"Poco común","Común")))))</f>
        <v/>
      </c>
      <c r="M539" s="5" t="n">
        <v>2969.400064</v>
      </c>
      <c r="N539" s="5" t="n">
        <v>1044.8</v>
      </c>
      <c r="O539" s="5">
        <f>IF(M539="","",M539*J539)</f>
        <v/>
      </c>
      <c r="P539" s="5">
        <f>IF(N539="","",N539*J539)</f>
        <v/>
      </c>
      <c r="Q539" s="7" t="n">
        <v>0.0173</v>
      </c>
      <c r="R539" s="8" t="n">
        <v>29.681398</v>
      </c>
      <c r="S539" s="4" t="inlineStr">
        <is>
          <t>OMXS30</t>
        </is>
      </c>
      <c r="T539" s="9" t="inlineStr">
        <is>
          <t>SI</t>
        </is>
      </c>
      <c r="U539" s="9" t="inlineStr"/>
      <c r="V539" s="10">
        <f>Umbrales!$B$9*(K539/1000)^Umbrales!$B$10</f>
        <v/>
      </c>
    </row>
    <row r="540">
      <c r="A540" s="4" t="inlineStr">
        <is>
          <t>ZS</t>
        </is>
      </c>
      <c r="B540" s="4" t="inlineStr">
        <is>
          <t>Zscaler, Inc.</t>
        </is>
      </c>
      <c r="C540" s="4" t="inlineStr">
        <is>
          <t>United States</t>
        </is>
      </c>
      <c r="D540" s="4" t="inlineStr">
        <is>
          <t>US</t>
        </is>
      </c>
      <c r="E540" s="4" t="inlineStr">
        <is>
          <t>Tecnología</t>
        </is>
      </c>
      <c r="F540" s="4" t="inlineStr">
        <is>
          <t>Software - Infrastructure</t>
        </is>
      </c>
      <c r="G540" s="4" t="inlineStr">
        <is>
          <t>NMS</t>
        </is>
      </c>
      <c r="H540" s="4" t="inlineStr">
        <is>
          <t>USD</t>
        </is>
      </c>
      <c r="I540" s="5" t="n">
        <v>36000.845824</v>
      </c>
      <c r="J540" s="6">
        <f>INDEX(FX!$B:$B,MATCH(H540,FX!$A:$A,0))</f>
        <v/>
      </c>
      <c r="K540" s="5">
        <f>I540*J540</f>
        <v/>
      </c>
      <c r="L540" s="4">
        <f>IF(U540&lt;&gt;"",U540,IF(K540&gt;=Umbrales!$B$2,"Legendaria",IF(K540&gt;=Umbrales!$B$3,"Épica",IF(K540&gt;=Umbrales!$B$4,"Rara",IF(K540&gt;=Umbrales!$B$5,"Poco común","Común")))))</f>
        <v/>
      </c>
      <c r="M540" s="5" t="n">
        <v>3352.523008</v>
      </c>
      <c r="N540" s="5" t="n">
        <v>-63.179</v>
      </c>
      <c r="O540" s="5">
        <f>IF(M540="","",M540*J540)</f>
        <v/>
      </c>
      <c r="P540" s="5">
        <f>IF(N540="","",N540*J540)</f>
        <v/>
      </c>
      <c r="Q540" s="7" t="n">
        <v>0</v>
      </c>
      <c r="R540" s="8" t="n"/>
      <c r="S540" s="4" t="inlineStr">
        <is>
          <t>NASDAQ100</t>
        </is>
      </c>
      <c r="T540" s="9" t="inlineStr">
        <is>
          <t>SI</t>
        </is>
      </c>
      <c r="U540" s="9" t="inlineStr"/>
      <c r="V540" s="10">
        <f>Umbrales!$B$9*(K540/1000)^Umbrales!$B$10</f>
        <v/>
      </c>
    </row>
    <row r="541">
      <c r="A541" s="4" t="inlineStr">
        <is>
          <t>KVUE</t>
        </is>
      </c>
      <c r="B541" s="4" t="inlineStr">
        <is>
          <t>Kenvue Inc.</t>
        </is>
      </c>
      <c r="C541" s="4" t="inlineStr">
        <is>
          <t>United States</t>
        </is>
      </c>
      <c r="D541" s="4" t="inlineStr">
        <is>
          <t>US</t>
        </is>
      </c>
      <c r="E541" s="4" t="inlineStr">
        <is>
          <t>Consumo básico</t>
        </is>
      </c>
      <c r="F541" s="4" t="inlineStr">
        <is>
          <t>Household &amp; Personal Products</t>
        </is>
      </c>
      <c r="G541" s="4" t="inlineStr">
        <is>
          <t>NYQ</t>
        </is>
      </c>
      <c r="H541" s="4" t="inlineStr">
        <is>
          <t>USD</t>
        </is>
      </c>
      <c r="I541" s="5" t="n">
        <v>35918.467072</v>
      </c>
      <c r="J541" s="6">
        <f>INDEX(FX!$B:$B,MATCH(H541,FX!$A:$A,0))</f>
        <v/>
      </c>
      <c r="K541" s="5">
        <f>I541*J541</f>
        <v/>
      </c>
      <c r="L541" s="4">
        <f>IF(U541&lt;&gt;"",U541,IF(K541&gt;=Umbrales!$B$2,"Legendaria",IF(K541&gt;=Umbrales!$B$3,"Épica",IF(K541&gt;=Umbrales!$B$4,"Rara",IF(K541&gt;=Umbrales!$B$5,"Poco común","Común")))))</f>
        <v/>
      </c>
      <c r="M541" s="5" t="n">
        <v>15408</v>
      </c>
      <c r="N541" s="5" t="n">
        <v>1658</v>
      </c>
      <c r="O541" s="5">
        <f>IF(M541="","",M541*J541)</f>
        <v/>
      </c>
      <c r="P541" s="5">
        <f>IF(N541="","",N541*J541)</f>
        <v/>
      </c>
      <c r="Q541" s="7" t="n">
        <v>0.0473</v>
      </c>
      <c r="R541" s="8" t="n">
        <v>21.494253</v>
      </c>
      <c r="S541" s="4" t="inlineStr">
        <is>
          <t>SP500</t>
        </is>
      </c>
      <c r="T541" s="9" t="inlineStr">
        <is>
          <t>SI</t>
        </is>
      </c>
      <c r="U541" s="9" t="inlineStr"/>
      <c r="V541" s="10">
        <f>Umbrales!$B$9*(K541/1000)^Umbrales!$B$10</f>
        <v/>
      </c>
    </row>
    <row r="542">
      <c r="A542" s="4" t="inlineStr">
        <is>
          <t>HEN3.DE</t>
        </is>
      </c>
      <c r="B542" s="4" t="inlineStr">
        <is>
          <t>Henkel AG &amp; Co. KGaA</t>
        </is>
      </c>
      <c r="C542" s="4" t="inlineStr">
        <is>
          <t>Germany</t>
        </is>
      </c>
      <c r="D542" s="4" t="inlineStr">
        <is>
          <t>DE</t>
        </is>
      </c>
      <c r="E542" s="4" t="inlineStr">
        <is>
          <t>Consumo básico</t>
        </is>
      </c>
      <c r="F542" s="4" t="inlineStr">
        <is>
          <t>Household &amp; Personal Products</t>
        </is>
      </c>
      <c r="G542" s="4" t="inlineStr">
        <is>
          <t>GER</t>
        </is>
      </c>
      <c r="H542" s="4" t="inlineStr">
        <is>
          <t>EUR</t>
        </is>
      </c>
      <c r="I542" s="5" t="n">
        <v>31772.700672</v>
      </c>
      <c r="J542" s="6">
        <f>INDEX(FX!$B:$B,MATCH(H542,FX!$A:$A,0))</f>
        <v/>
      </c>
      <c r="K542" s="5">
        <f>I542*J542</f>
        <v/>
      </c>
      <c r="L542" s="4">
        <f>IF(U542&lt;&gt;"",U542,IF(K542&gt;=Umbrales!$B$2,"Legendaria",IF(K542&gt;=Umbrales!$B$3,"Épica",IF(K542&gt;=Umbrales!$B$4,"Rara",IF(K542&gt;=Umbrales!$B$5,"Poco común","Común")))))</f>
        <v/>
      </c>
      <c r="M542" s="5" t="n">
        <v>20440.999936</v>
      </c>
      <c r="N542" s="5" t="n">
        <v>1912.999936</v>
      </c>
      <c r="O542" s="5">
        <f>IF(M542="","",M542*J542)</f>
        <v/>
      </c>
      <c r="P542" s="5">
        <f>IF(N542="","",N542*J542)</f>
        <v/>
      </c>
      <c r="Q542" s="7" t="n">
        <v>0.0279</v>
      </c>
      <c r="R542" s="8" t="n">
        <v>16.384134</v>
      </c>
      <c r="S542" s="4" t="inlineStr">
        <is>
          <t>DAX40</t>
        </is>
      </c>
      <c r="T542" s="9" t="inlineStr">
        <is>
          <t>SI</t>
        </is>
      </c>
      <c r="U542" s="9" t="inlineStr"/>
      <c r="V542" s="10">
        <f>Umbrales!$B$9*(K542/1000)^Umbrales!$B$10</f>
        <v/>
      </c>
    </row>
    <row r="543">
      <c r="A543" s="4" t="inlineStr">
        <is>
          <t>REP.MC</t>
        </is>
      </c>
      <c r="B543" s="4" t="inlineStr">
        <is>
          <t>Repsol, S.A.</t>
        </is>
      </c>
      <c r="C543" s="4" t="inlineStr">
        <is>
          <t>Spain</t>
        </is>
      </c>
      <c r="D543" s="4" t="inlineStr">
        <is>
          <t>ES</t>
        </is>
      </c>
      <c r="E543" s="4" t="inlineStr">
        <is>
          <t>Energía</t>
        </is>
      </c>
      <c r="F543" s="4" t="inlineStr">
        <is>
          <t>Oil &amp; Gas Integrated</t>
        </is>
      </c>
      <c r="G543" s="4" t="inlineStr">
        <is>
          <t>MCE</t>
        </is>
      </c>
      <c r="H543" s="4" t="inlineStr">
        <is>
          <t>EUR</t>
        </is>
      </c>
      <c r="I543" s="5" t="n">
        <v>31694.942208</v>
      </c>
      <c r="J543" s="6">
        <f>INDEX(FX!$B:$B,MATCH(H543,FX!$A:$A,0))</f>
        <v/>
      </c>
      <c r="K543" s="5">
        <f>I543*J543</f>
        <v/>
      </c>
      <c r="L543" s="4">
        <f>IF(U543&lt;&gt;"",U543,IF(K543&gt;=Umbrales!$B$2,"Legendaria",IF(K543&gt;=Umbrales!$B$3,"Épica",IF(K543&gt;=Umbrales!$B$4,"Rara",IF(K543&gt;=Umbrales!$B$5,"Poco común","Común")))))</f>
        <v/>
      </c>
      <c r="M543" s="5" t="n">
        <v>54358.99904</v>
      </c>
      <c r="N543" s="5" t="n">
        <v>3420.999936</v>
      </c>
      <c r="O543" s="5">
        <f>IF(M543="","",M543*J543)</f>
        <v/>
      </c>
      <c r="P543" s="5">
        <f>IF(N543="","",N543*J543)</f>
        <v/>
      </c>
      <c r="Q543" s="7" t="n">
        <v>0.0366</v>
      </c>
      <c r="R543" s="8" t="n">
        <v>8.361344000000001</v>
      </c>
      <c r="S543" s="4" t="inlineStr">
        <is>
          <t>IBEX35</t>
        </is>
      </c>
      <c r="T543" s="9" t="inlineStr">
        <is>
          <t>SI</t>
        </is>
      </c>
      <c r="U543" s="9" t="inlineStr"/>
      <c r="V543" s="10">
        <f>Umbrales!$B$9*(K543/1000)^Umbrales!$B$10</f>
        <v/>
      </c>
    </row>
    <row r="544">
      <c r="A544" s="4" t="inlineStr">
        <is>
          <t>CCO.TO</t>
        </is>
      </c>
      <c r="B544" s="4" t="inlineStr">
        <is>
          <t>Cameco Corporation</t>
        </is>
      </c>
      <c r="C544" s="4" t="inlineStr">
        <is>
          <t>Canada</t>
        </is>
      </c>
      <c r="D544" s="4" t="inlineStr">
        <is>
          <t>CA</t>
        </is>
      </c>
      <c r="E544" s="4" t="inlineStr">
        <is>
          <t>Energía</t>
        </is>
      </c>
      <c r="F544" s="4" t="inlineStr">
        <is>
          <t>Uranium</t>
        </is>
      </c>
      <c r="G544" s="4" t="inlineStr">
        <is>
          <t>TOR</t>
        </is>
      </c>
      <c r="H544" s="4" t="inlineStr">
        <is>
          <t>CAD</t>
        </is>
      </c>
      <c r="I544" s="5" t="n">
        <v>50356.3264</v>
      </c>
      <c r="J544" s="6">
        <f>INDEX(FX!$B:$B,MATCH(H544,FX!$A:$A,0))</f>
        <v/>
      </c>
      <c r="K544" s="5">
        <f>I544*J544</f>
        <v/>
      </c>
      <c r="L544" s="4">
        <f>IF(U544&lt;&gt;"",U544,IF(K544&gt;=Umbrales!$B$2,"Legendaria",IF(K544&gt;=Umbrales!$B$3,"Épica",IF(K544&gt;=Umbrales!$B$4,"Rara",IF(K544&gt;=Umbrales!$B$5,"Poco común","Común")))))</f>
        <v/>
      </c>
      <c r="M544" s="5" t="n">
        <v>3474.621952</v>
      </c>
      <c r="N544" s="5" t="n">
        <v>354.894016</v>
      </c>
      <c r="O544" s="5">
        <f>IF(M544="","",M544*J544)</f>
        <v/>
      </c>
      <c r="P544" s="5">
        <f>IF(N544="","",N544*J544)</f>
        <v/>
      </c>
      <c r="Q544" s="7" t="n">
        <v>0.002</v>
      </c>
      <c r="R544" s="8" t="n">
        <v>150.15585</v>
      </c>
      <c r="S544" s="4" t="inlineStr">
        <is>
          <t>TSX60</t>
        </is>
      </c>
      <c r="T544" s="9" t="inlineStr">
        <is>
          <t>SI</t>
        </is>
      </c>
      <c r="U544" s="9" t="inlineStr"/>
      <c r="V544" s="10">
        <f>Umbrales!$B$9*(K544/1000)^Umbrales!$B$10</f>
        <v/>
      </c>
    </row>
    <row r="545">
      <c r="A545" s="4" t="inlineStr">
        <is>
          <t>CCL</t>
        </is>
      </c>
      <c r="B545" s="4" t="inlineStr">
        <is>
          <t>Carnival Corporation Ltd.</t>
        </is>
      </c>
      <c r="C545" s="4" t="inlineStr">
        <is>
          <t>United States</t>
        </is>
      </c>
      <c r="D545" s="4" t="inlineStr">
        <is>
          <t>US</t>
        </is>
      </c>
      <c r="E545" s="4" t="inlineStr">
        <is>
          <t>Consumo cíclico</t>
        </is>
      </c>
      <c r="F545" s="4" t="inlineStr">
        <is>
          <t>Travel Services</t>
        </is>
      </c>
      <c r="G545" s="4" t="inlineStr">
        <is>
          <t>NYQ</t>
        </is>
      </c>
      <c r="H545" s="4" t="inlineStr">
        <is>
          <t>USD</t>
        </is>
      </c>
      <c r="I545" s="5" t="n">
        <v>35302.739968</v>
      </c>
      <c r="J545" s="6">
        <f>INDEX(FX!$B:$B,MATCH(H545,FX!$A:$A,0))</f>
        <v/>
      </c>
      <c r="K545" s="5">
        <f>I545*J545</f>
        <v/>
      </c>
      <c r="L545" s="4">
        <f>IF(U545&lt;&gt;"",U545,IF(K545&gt;=Umbrales!$B$2,"Legendaria",IF(K545&gt;=Umbrales!$B$3,"Épica",IF(K545&gt;=Umbrales!$B$4,"Rara",IF(K545&gt;=Umbrales!$B$5,"Poco común","Común")))))</f>
        <v/>
      </c>
      <c r="M545" s="5" t="n">
        <v>27593.00096</v>
      </c>
      <c r="N545" s="5" t="n">
        <v>3136.999936</v>
      </c>
      <c r="O545" s="5">
        <f>IF(M545="","",M545*J545)</f>
        <v/>
      </c>
      <c r="P545" s="5">
        <f>IF(N545="","",N545*J545)</f>
        <v/>
      </c>
      <c r="Q545" s="7" t="n">
        <v>0.0168</v>
      </c>
      <c r="R545" s="8" t="n">
        <v>11.88009</v>
      </c>
      <c r="S545" s="4" t="inlineStr">
        <is>
          <t>SP500</t>
        </is>
      </c>
      <c r="T545" s="9" t="inlineStr">
        <is>
          <t>SI</t>
        </is>
      </c>
      <c r="U545" s="9" t="inlineStr"/>
      <c r="V545" s="10">
        <f>Umbrales!$B$9*(K545/1000)^Umbrales!$B$10</f>
        <v/>
      </c>
    </row>
    <row r="546">
      <c r="A546" s="4" t="inlineStr">
        <is>
          <t>DTG.DE</t>
        </is>
      </c>
      <c r="B546" s="4" t="inlineStr">
        <is>
          <t>Daimler Truck Holding AG</t>
        </is>
      </c>
      <c r="C546" s="4" t="inlineStr">
        <is>
          <t>Germany</t>
        </is>
      </c>
      <c r="D546" s="4" t="inlineStr">
        <is>
          <t>DE</t>
        </is>
      </c>
      <c r="E546" s="4" t="inlineStr">
        <is>
          <t>Industria</t>
        </is>
      </c>
      <c r="F546" s="4" t="inlineStr">
        <is>
          <t>Farm &amp; Heavy Construction Machinery</t>
        </is>
      </c>
      <c r="G546" s="4" t="inlineStr">
        <is>
          <t>GER</t>
        </is>
      </c>
      <c r="H546" s="4" t="inlineStr">
        <is>
          <t>EUR</t>
        </is>
      </c>
      <c r="I546" s="5" t="n">
        <v>31267.565568</v>
      </c>
      <c r="J546" s="6">
        <f>INDEX(FX!$B:$B,MATCH(H546,FX!$A:$A,0))</f>
        <v/>
      </c>
      <c r="K546" s="5">
        <f>I546*J546</f>
        <v/>
      </c>
      <c r="L546" s="4">
        <f>IF(U546&lt;&gt;"",U546,IF(K546&gt;=Umbrales!$B$2,"Legendaria",IF(K546&gt;=Umbrales!$B$3,"Épica",IF(K546&gt;=Umbrales!$B$4,"Rara",IF(K546&gt;=Umbrales!$B$5,"Poco común","Común")))))</f>
        <v/>
      </c>
      <c r="M546" s="5" t="n">
        <v>44621.000704</v>
      </c>
      <c r="N546" s="5" t="n">
        <v>1078</v>
      </c>
      <c r="O546" s="5">
        <f>IF(M546="","",M546*J546)</f>
        <v/>
      </c>
      <c r="P546" s="5">
        <f>IF(N546="","",N546*J546)</f>
        <v/>
      </c>
      <c r="Q546" s="7" t="n">
        <v>0.0467</v>
      </c>
      <c r="R546" s="8" t="n">
        <v>28.171232</v>
      </c>
      <c r="S546" s="4" t="inlineStr">
        <is>
          <t>DAX40</t>
        </is>
      </c>
      <c r="T546" s="9" t="inlineStr">
        <is>
          <t>SI</t>
        </is>
      </c>
      <c r="U546" s="9" t="inlineStr"/>
      <c r="V546" s="10">
        <f>Umbrales!$B$9*(K546/1000)^Umbrales!$B$10</f>
        <v/>
      </c>
    </row>
    <row r="547">
      <c r="A547" s="4" t="inlineStr">
        <is>
          <t>SIKA.SW</t>
        </is>
      </c>
      <c r="B547" s="4" t="inlineStr">
        <is>
          <t>Sika AG</t>
        </is>
      </c>
      <c r="C547" s="4" t="inlineStr">
        <is>
          <t>Switzerland</t>
        </is>
      </c>
      <c r="D547" s="4" t="inlineStr">
        <is>
          <t>CH</t>
        </is>
      </c>
      <c r="E547" s="4" t="inlineStr">
        <is>
          <t>Materiales</t>
        </is>
      </c>
      <c r="F547" s="4" t="inlineStr">
        <is>
          <t>Specialty Chemicals</t>
        </is>
      </c>
      <c r="G547" s="4" t="inlineStr">
        <is>
          <t>EBS</t>
        </is>
      </c>
      <c r="H547" s="4" t="inlineStr">
        <is>
          <t>CHF</t>
        </is>
      </c>
      <c r="I547" s="5" t="n">
        <v>29023.459328</v>
      </c>
      <c r="J547" s="6">
        <f>INDEX(FX!$B:$B,MATCH(H547,FX!$A:$A,0))</f>
        <v/>
      </c>
      <c r="K547" s="5">
        <f>I547*J547</f>
        <v/>
      </c>
      <c r="L547" s="4">
        <f>IF(U547&lt;&gt;"",U547,IF(K547&gt;=Umbrales!$B$2,"Legendaria",IF(K547&gt;=Umbrales!$B$3,"Épica",IF(K547&gt;=Umbrales!$B$4,"Rara",IF(K547&gt;=Umbrales!$B$5,"Poco común","Común")))))</f>
        <v/>
      </c>
      <c r="M547" s="5" t="n">
        <v>11114.699776</v>
      </c>
      <c r="N547" s="5" t="n">
        <v>1041.500032</v>
      </c>
      <c r="O547" s="5">
        <f>IF(M547="","",M547*J547)</f>
        <v/>
      </c>
      <c r="P547" s="5">
        <f>IF(N547="","",N547*J547)</f>
        <v/>
      </c>
      <c r="Q547" s="7" t="n">
        <v>0.0208</v>
      </c>
      <c r="R547" s="8" t="n">
        <v>27.916666</v>
      </c>
      <c r="S547" s="4" t="inlineStr">
        <is>
          <t>SMI</t>
        </is>
      </c>
      <c r="T547" s="9" t="inlineStr">
        <is>
          <t>SI</t>
        </is>
      </c>
      <c r="U547" s="9" t="inlineStr"/>
      <c r="V547" s="10">
        <f>Umbrales!$B$9*(K547/1000)^Umbrales!$B$10</f>
        <v/>
      </c>
    </row>
    <row r="548">
      <c r="A548" s="4" t="inlineStr">
        <is>
          <t>PEG</t>
        </is>
      </c>
      <c r="B548" s="4" t="inlineStr">
        <is>
          <t>Public Service Enterprise Group Incorporated</t>
        </is>
      </c>
      <c r="C548" s="4" t="inlineStr">
        <is>
          <t>United States</t>
        </is>
      </c>
      <c r="D548" s="4" t="inlineStr">
        <is>
          <t>US</t>
        </is>
      </c>
      <c r="E548" s="4" t="inlineStr">
        <is>
          <t>Servicios públicos</t>
        </is>
      </c>
      <c r="F548" s="4" t="inlineStr">
        <is>
          <t>Utilities - Regulated Electric</t>
        </is>
      </c>
      <c r="G548" s="4" t="inlineStr">
        <is>
          <t>NYQ</t>
        </is>
      </c>
      <c r="H548" s="4" t="inlineStr">
        <is>
          <t>USD</t>
        </is>
      </c>
      <c r="I548" s="5" t="n">
        <v>34989.637632</v>
      </c>
      <c r="J548" s="6">
        <f>INDEX(FX!$B:$B,MATCH(H548,FX!$A:$A,0))</f>
        <v/>
      </c>
      <c r="K548" s="5">
        <f>I548*J548</f>
        <v/>
      </c>
      <c r="L548" s="4">
        <f>IF(U548&lt;&gt;"",U548,IF(K548&gt;=Umbrales!$B$2,"Legendaria",IF(K548&gt;=Umbrales!$B$3,"Épica",IF(K548&gt;=Umbrales!$B$4,"Rara",IF(K548&gt;=Umbrales!$B$5,"Poco común","Común")))))</f>
        <v/>
      </c>
      <c r="M548" s="5" t="n">
        <v>12542.999552</v>
      </c>
      <c r="N548" s="5" t="n">
        <v>2012</v>
      </c>
      <c r="O548" s="5">
        <f>IF(M548="","",M548*J548)</f>
        <v/>
      </c>
      <c r="P548" s="5">
        <f>IF(N548="","",N548*J548)</f>
        <v/>
      </c>
      <c r="Q548" s="7" t="n">
        <v>0.038</v>
      </c>
      <c r="R548" s="8" t="n">
        <v>17.423075</v>
      </c>
      <c r="S548" s="4" t="inlineStr">
        <is>
          <t>SP500</t>
        </is>
      </c>
      <c r="T548" s="9" t="inlineStr">
        <is>
          <t>SI</t>
        </is>
      </c>
      <c r="U548" s="9" t="inlineStr"/>
      <c r="V548" s="10">
        <f>Umbrales!$B$9*(K548/1000)^Umbrales!$B$10</f>
        <v/>
      </c>
    </row>
    <row r="549">
      <c r="A549" s="4" t="inlineStr">
        <is>
          <t>WOW.AX</t>
        </is>
      </c>
      <c r="B549" s="4" t="inlineStr">
        <is>
          <t>Woolworths Group Limited</t>
        </is>
      </c>
      <c r="C549" s="4" t="inlineStr">
        <is>
          <t>Australia</t>
        </is>
      </c>
      <c r="D549" s="4" t="inlineStr">
        <is>
          <t>AU</t>
        </is>
      </c>
      <c r="E549" s="4" t="inlineStr">
        <is>
          <t>Consumo básico</t>
        </is>
      </c>
      <c r="F549" s="4" t="inlineStr">
        <is>
          <t>Grocery Stores</t>
        </is>
      </c>
      <c r="G549" s="4" t="inlineStr">
        <is>
          <t>ASX</t>
        </is>
      </c>
      <c r="H549" s="4" t="inlineStr">
        <is>
          <t>AUD</t>
        </is>
      </c>
      <c r="I549" s="5" t="n">
        <v>50427.613184</v>
      </c>
      <c r="J549" s="6">
        <f>INDEX(FX!$B:$B,MATCH(H549,FX!$A:$A,0))</f>
        <v/>
      </c>
      <c r="K549" s="5">
        <f>I549*J549</f>
        <v/>
      </c>
      <c r="L549" s="4">
        <f>IF(U549&lt;&gt;"",U549,IF(K549&gt;=Umbrales!$B$2,"Legendaria",IF(K549&gt;=Umbrales!$B$3,"Épica",IF(K549&gt;=Umbrales!$B$4,"Rara",IF(K549&gt;=Umbrales!$B$5,"Poco común","Común")))))</f>
        <v/>
      </c>
      <c r="M549" s="5" t="n">
        <v>71538.99929599999</v>
      </c>
      <c r="N549" s="5" t="n">
        <v>1138</v>
      </c>
      <c r="O549" s="5">
        <f>IF(M549="","",M549*J549)</f>
        <v/>
      </c>
      <c r="P549" s="5">
        <f>IF(N549="","",N549*J549)</f>
        <v/>
      </c>
      <c r="Q549" s="7" t="n">
        <v>0.0245</v>
      </c>
      <c r="R549" s="8" t="n">
        <v>43</v>
      </c>
      <c r="S549" s="4" t="inlineStr">
        <is>
          <t>ASX50</t>
        </is>
      </c>
      <c r="T549" s="9" t="inlineStr">
        <is>
          <t>SI</t>
        </is>
      </c>
      <c r="U549" s="9" t="inlineStr"/>
      <c r="V549" s="10">
        <f>Umbrales!$B$9*(K549/1000)^Umbrales!$B$10</f>
        <v/>
      </c>
    </row>
    <row r="550">
      <c r="A550" s="4" t="inlineStr">
        <is>
          <t>EXPE</t>
        </is>
      </c>
      <c r="B550" s="4" t="inlineStr">
        <is>
          <t>Expedia Group, Inc.</t>
        </is>
      </c>
      <c r="C550" s="4" t="inlineStr">
        <is>
          <t>United States</t>
        </is>
      </c>
      <c r="D550" s="4" t="inlineStr">
        <is>
          <t>US</t>
        </is>
      </c>
      <c r="E550" s="4" t="inlineStr">
        <is>
          <t>Consumo cíclico</t>
        </is>
      </c>
      <c r="F550" s="4" t="inlineStr">
        <is>
          <t>Travel Services</t>
        </is>
      </c>
      <c r="G550" s="4" t="inlineStr">
        <is>
          <t>NMS</t>
        </is>
      </c>
      <c r="H550" s="4" t="inlineStr">
        <is>
          <t>USD</t>
        </is>
      </c>
      <c r="I550" s="5" t="n">
        <v>34798.40768</v>
      </c>
      <c r="J550" s="6">
        <f>INDEX(FX!$B:$B,MATCH(H550,FX!$A:$A,0))</f>
        <v/>
      </c>
      <c r="K550" s="5">
        <f>I550*J550</f>
        <v/>
      </c>
      <c r="L550" s="4">
        <f>IF(U550&lt;&gt;"",U550,IF(K550&gt;=Umbrales!$B$2,"Legendaria",IF(K550&gt;=Umbrales!$B$3,"Épica",IF(K550&gt;=Umbrales!$B$4,"Rara",IF(K550&gt;=Umbrales!$B$5,"Poco común","Común")))))</f>
        <v/>
      </c>
      <c r="M550" s="5" t="n">
        <v>15699.999744</v>
      </c>
      <c r="N550" s="5" t="n">
        <v>2036</v>
      </c>
      <c r="O550" s="5">
        <f>IF(M550="","",M550*J550)</f>
        <v/>
      </c>
      <c r="P550" s="5">
        <f>IF(N550="","",N550*J550)</f>
        <v/>
      </c>
      <c r="Q550" s="7" t="n">
        <v>0.006999999999999999</v>
      </c>
      <c r="R550" s="8" t="n">
        <v>18.031096</v>
      </c>
      <c r="S550" s="4" t="inlineStr">
        <is>
          <t>SP500</t>
        </is>
      </c>
      <c r="T550" s="9" t="inlineStr">
        <is>
          <t>SI</t>
        </is>
      </c>
      <c r="U550" s="9" t="inlineStr"/>
      <c r="V550" s="10">
        <f>Umbrales!$B$9*(K550/1000)^Umbrales!$B$10</f>
        <v/>
      </c>
    </row>
    <row r="551">
      <c r="A551" s="4" t="inlineStr">
        <is>
          <t>ITC.NS</t>
        </is>
      </c>
      <c r="B551" s="4" t="inlineStr">
        <is>
          <t>ITC Limited</t>
        </is>
      </c>
      <c r="C551" s="4" t="inlineStr">
        <is>
          <t>India</t>
        </is>
      </c>
      <c r="D551" s="4" t="inlineStr">
        <is>
          <t>IN</t>
        </is>
      </c>
      <c r="E551" s="4" t="inlineStr">
        <is>
          <t>Consumo básico</t>
        </is>
      </c>
      <c r="F551" s="4" t="inlineStr">
        <is>
          <t>Tobacco</t>
        </is>
      </c>
      <c r="G551" s="4" t="inlineStr">
        <is>
          <t>NSI</t>
        </is>
      </c>
      <c r="H551" s="4" t="inlineStr">
        <is>
          <t>INR</t>
        </is>
      </c>
      <c r="I551" s="5" t="n">
        <v>3306803.429376</v>
      </c>
      <c r="J551" s="6">
        <f>INDEX(FX!$B:$B,MATCH(H551,FX!$A:$A,0))</f>
        <v/>
      </c>
      <c r="K551" s="5">
        <f>I551*J551</f>
        <v/>
      </c>
      <c r="L551" s="4">
        <f>IF(U551&lt;&gt;"",U551,IF(K551&gt;=Umbrales!$B$2,"Legendaria",IF(K551&gt;=Umbrales!$B$3,"Épica",IF(K551&gt;=Umbrales!$B$4,"Rara",IF(K551&gt;=Umbrales!$B$5,"Poco común","Común")))))</f>
        <v/>
      </c>
      <c r="M551" s="5" t="n">
        <v>764879.83104</v>
      </c>
      <c r="N551" s="5" t="n">
        <v>198394.003456</v>
      </c>
      <c r="O551" s="5">
        <f>IF(M551="","",M551*J551)</f>
        <v/>
      </c>
      <c r="P551" s="5">
        <f>IF(N551="","",N551*J551)</f>
        <v/>
      </c>
      <c r="Q551" s="7" t="n">
        <v>0.0612</v>
      </c>
      <c r="R551" s="8" t="n">
        <v>16.660353</v>
      </c>
      <c r="S551" s="4" t="inlineStr">
        <is>
          <t>NIFTY50</t>
        </is>
      </c>
      <c r="T551" s="9" t="inlineStr">
        <is>
          <t>SI</t>
        </is>
      </c>
      <c r="U551" s="9" t="inlineStr"/>
      <c r="V551" s="10">
        <f>Umbrales!$B$9*(K551/1000)^Umbrales!$B$10</f>
        <v/>
      </c>
    </row>
    <row r="552">
      <c r="A552" s="4" t="inlineStr">
        <is>
          <t>MLM</t>
        </is>
      </c>
      <c r="B552" s="4" t="inlineStr">
        <is>
          <t>Martin Marietta Materials, Inc.</t>
        </is>
      </c>
      <c r="C552" s="4" t="inlineStr">
        <is>
          <t>United States</t>
        </is>
      </c>
      <c r="D552" s="4" t="inlineStr">
        <is>
          <t>US</t>
        </is>
      </c>
      <c r="E552" s="4" t="inlineStr">
        <is>
          <t>Materiales</t>
        </is>
      </c>
      <c r="F552" s="4" t="inlineStr">
        <is>
          <t>Building Materials</t>
        </is>
      </c>
      <c r="G552" s="4" t="inlineStr">
        <is>
          <t>NYQ</t>
        </is>
      </c>
      <c r="H552" s="4" t="inlineStr">
        <is>
          <t>USD</t>
        </is>
      </c>
      <c r="I552" s="5" t="n">
        <v>34790.621184</v>
      </c>
      <c r="J552" s="6">
        <f>INDEX(FX!$B:$B,MATCH(H552,FX!$A:$A,0))</f>
        <v/>
      </c>
      <c r="K552" s="5">
        <f>I552*J552</f>
        <v/>
      </c>
      <c r="L552" s="4">
        <f>IF(U552&lt;&gt;"",U552,IF(K552&gt;=Umbrales!$B$2,"Legendaria",IF(K552&gt;=Umbrales!$B$3,"Épica",IF(K552&gt;=Umbrales!$B$4,"Rara",IF(K552&gt;=Umbrales!$B$5,"Poco común","Común")))))</f>
        <v/>
      </c>
      <c r="M552" s="5" t="n">
        <v>6688</v>
      </c>
      <c r="N552" s="5" t="n">
        <v>930</v>
      </c>
      <c r="O552" s="5">
        <f>IF(M552="","",M552*J552)</f>
        <v/>
      </c>
      <c r="P552" s="5">
        <f>IF(N552="","",N552*J552)</f>
        <v/>
      </c>
      <c r="Q552" s="7" t="n">
        <v>0.0071</v>
      </c>
      <c r="R552" s="8" t="n">
        <v>31.768806</v>
      </c>
      <c r="S552" s="4" t="inlineStr">
        <is>
          <t>SP500</t>
        </is>
      </c>
      <c r="T552" s="9" t="inlineStr">
        <is>
          <t>SI</t>
        </is>
      </c>
      <c r="U552" s="9" t="inlineStr"/>
      <c r="V552" s="10">
        <f>Umbrales!$B$9*(K552/1000)^Umbrales!$B$10</f>
        <v/>
      </c>
    </row>
    <row r="553">
      <c r="A553" s="4" t="inlineStr">
        <is>
          <t>CNC</t>
        </is>
      </c>
      <c r="B553" s="4" t="inlineStr">
        <is>
          <t>Centene Corporation</t>
        </is>
      </c>
      <c r="C553" s="4" t="inlineStr">
        <is>
          <t>United States</t>
        </is>
      </c>
      <c r="D553" s="4" t="inlineStr">
        <is>
          <t>US</t>
        </is>
      </c>
      <c r="E553" s="4" t="inlineStr">
        <is>
          <t>Salud</t>
        </is>
      </c>
      <c r="F553" s="4" t="inlineStr">
        <is>
          <t>Healthcare Plans</t>
        </is>
      </c>
      <c r="G553" s="4" t="inlineStr">
        <is>
          <t>NYQ</t>
        </is>
      </c>
      <c r="H553" s="4" t="inlineStr">
        <is>
          <t>USD</t>
        </is>
      </c>
      <c r="I553" s="5" t="n">
        <v>34774.831104</v>
      </c>
      <c r="J553" s="6">
        <f>INDEX(FX!$B:$B,MATCH(H553,FX!$A:$A,0))</f>
        <v/>
      </c>
      <c r="K553" s="5">
        <f>I553*J553</f>
        <v/>
      </c>
      <c r="L553" s="4">
        <f>IF(U553&lt;&gt;"",U553,IF(K553&gt;=Umbrales!$B$2,"Legendaria",IF(K553&gt;=Umbrales!$B$3,"Épica",IF(K553&gt;=Umbrales!$B$4,"Rara",IF(K553&gt;=Umbrales!$B$5,"Poco común","Común")))))</f>
        <v/>
      </c>
      <c r="M553" s="5" t="n">
        <v>180304.003072</v>
      </c>
      <c r="N553" s="5" t="n">
        <v>-5100.000256</v>
      </c>
      <c r="O553" s="5">
        <f>IF(M553="","",M553*J553)</f>
        <v/>
      </c>
      <c r="P553" s="5">
        <f>IF(N553="","",N553*J553)</f>
        <v/>
      </c>
      <c r="Q553" s="7" t="n">
        <v>0</v>
      </c>
      <c r="R553" s="8" t="n"/>
      <c r="S553" s="4" t="inlineStr">
        <is>
          <t>SP500</t>
        </is>
      </c>
      <c r="T553" s="9" t="inlineStr">
        <is>
          <t>SI</t>
        </is>
      </c>
      <c r="U553" s="9" t="inlineStr"/>
      <c r="V553" s="10">
        <f>Umbrales!$B$9*(K553/1000)^Umbrales!$B$10</f>
        <v/>
      </c>
    </row>
    <row r="554">
      <c r="A554" s="4" t="inlineStr">
        <is>
          <t>WEC</t>
        </is>
      </c>
      <c r="B554" s="4" t="inlineStr">
        <is>
          <t>WEC Energy Group, Inc.</t>
        </is>
      </c>
      <c r="C554" s="4" t="inlineStr">
        <is>
          <t>United States</t>
        </is>
      </c>
      <c r="D554" s="4" t="inlineStr">
        <is>
          <t>US</t>
        </is>
      </c>
      <c r="E554" s="4" t="inlineStr">
        <is>
          <t>Servicios públicos</t>
        </is>
      </c>
      <c r="F554" s="4" t="inlineStr">
        <is>
          <t>Utilities - Regulated Electric</t>
        </is>
      </c>
      <c r="G554" s="4" t="inlineStr">
        <is>
          <t>NYQ</t>
        </is>
      </c>
      <c r="H554" s="4" t="inlineStr">
        <is>
          <t>USD</t>
        </is>
      </c>
      <c r="I554" s="5" t="n">
        <v>34729.025536</v>
      </c>
      <c r="J554" s="6">
        <f>INDEX(FX!$B:$B,MATCH(H554,FX!$A:$A,0))</f>
        <v/>
      </c>
      <c r="K554" s="5">
        <f>I554*J554</f>
        <v/>
      </c>
      <c r="L554" s="4">
        <f>IF(U554&lt;&gt;"",U554,IF(K554&gt;=Umbrales!$B$2,"Legendaria",IF(K554&gt;=Umbrales!$B$3,"Épica",IF(K554&gt;=Umbrales!$B$4,"Rara",IF(K554&gt;=Umbrales!$B$5,"Poco común","Común")))))</f>
        <v/>
      </c>
      <c r="M554" s="5" t="n">
        <v>10137.40032</v>
      </c>
      <c r="N554" s="5" t="n">
        <v>1691.500032</v>
      </c>
      <c r="O554" s="5">
        <f>IF(M554="","",M554*J554)</f>
        <v/>
      </c>
      <c r="P554" s="5">
        <f>IF(N554="","",N554*J554)</f>
        <v/>
      </c>
      <c r="Q554" s="7" t="n">
        <v>0.036</v>
      </c>
      <c r="R554" s="8" t="n">
        <v>20.535646</v>
      </c>
      <c r="S554" s="4" t="inlineStr">
        <is>
          <t>SP500</t>
        </is>
      </c>
      <c r="T554" s="9" t="inlineStr">
        <is>
          <t>SI</t>
        </is>
      </c>
      <c r="U554" s="9" t="inlineStr"/>
      <c r="V554" s="10">
        <f>Umbrales!$B$9*(K554/1000)^Umbrales!$B$10</f>
        <v/>
      </c>
    </row>
    <row r="555">
      <c r="A555" s="4" t="inlineStr">
        <is>
          <t>FLEX</t>
        </is>
      </c>
      <c r="B555" s="4" t="inlineStr">
        <is>
          <t>Flex Ltd.</t>
        </is>
      </c>
      <c r="C555" s="4" t="inlineStr">
        <is>
          <t>United States</t>
        </is>
      </c>
      <c r="D555" s="4" t="inlineStr">
        <is>
          <t>US</t>
        </is>
      </c>
      <c r="E555" s="4" t="inlineStr">
        <is>
          <t>Tecnología</t>
        </is>
      </c>
      <c r="F555" s="4" t="inlineStr">
        <is>
          <t>Electronic Components</t>
        </is>
      </c>
      <c r="G555" s="4" t="inlineStr">
        <is>
          <t>NMS</t>
        </is>
      </c>
      <c r="H555" s="4" t="inlineStr">
        <is>
          <t>USD</t>
        </is>
      </c>
      <c r="I555" s="5" t="n">
        <v>34690.486272</v>
      </c>
      <c r="J555" s="6">
        <f>INDEX(FX!$B:$B,MATCH(H555,FX!$A:$A,0))</f>
        <v/>
      </c>
      <c r="K555" s="5">
        <f>I555*J555</f>
        <v/>
      </c>
      <c r="L555" s="4">
        <f>IF(U555&lt;&gt;"",U555,IF(K555&gt;=Umbrales!$B$2,"Legendaria",IF(K555&gt;=Umbrales!$B$3,"Épica",IF(K555&gt;=Umbrales!$B$4,"Rara",IF(K555&gt;=Umbrales!$B$5,"Poco común","Común")))))</f>
        <v/>
      </c>
      <c r="M555" s="5" t="n">
        <v>29266.999296</v>
      </c>
      <c r="N555" s="5" t="n">
        <v>973</v>
      </c>
      <c r="O555" s="5">
        <f>IF(M555="","",M555*J555)</f>
        <v/>
      </c>
      <c r="P555" s="5">
        <f>IF(N555="","",N555*J555)</f>
        <v/>
      </c>
      <c r="Q555" s="7" t="n">
        <v>0</v>
      </c>
      <c r="R555" s="8" t="n">
        <v>36.252895</v>
      </c>
      <c r="S555" s="4" t="inlineStr">
        <is>
          <t>SP500</t>
        </is>
      </c>
      <c r="T555" s="9" t="inlineStr">
        <is>
          <t>SI</t>
        </is>
      </c>
      <c r="U555" s="9" t="inlineStr"/>
      <c r="V555" s="10">
        <f>Umbrales!$B$9*(K555/1000)^Umbrales!$B$10</f>
        <v/>
      </c>
    </row>
    <row r="556">
      <c r="A556" s="4" t="inlineStr">
        <is>
          <t>KMB</t>
        </is>
      </c>
      <c r="B556" s="4" t="inlineStr">
        <is>
          <t>Kimberly-Clark Corporation</t>
        </is>
      </c>
      <c r="C556" s="4" t="inlineStr">
        <is>
          <t>United States</t>
        </is>
      </c>
      <c r="D556" s="4" t="inlineStr">
        <is>
          <t>US</t>
        </is>
      </c>
      <c r="E556" s="4" t="inlineStr">
        <is>
          <t>Consumo básico</t>
        </is>
      </c>
      <c r="F556" s="4" t="inlineStr">
        <is>
          <t>Household &amp; Personal Products</t>
        </is>
      </c>
      <c r="G556" s="4" t="inlineStr">
        <is>
          <t>NMS</t>
        </is>
      </c>
      <c r="H556" s="4" t="inlineStr">
        <is>
          <t>USD</t>
        </is>
      </c>
      <c r="I556" s="5" t="n">
        <v>34609.762304</v>
      </c>
      <c r="J556" s="6">
        <f>INDEX(FX!$B:$B,MATCH(H556,FX!$A:$A,0))</f>
        <v/>
      </c>
      <c r="K556" s="5">
        <f>I556*J556</f>
        <v/>
      </c>
      <c r="L556" s="4">
        <f>IF(U556&lt;&gt;"",U556,IF(K556&gt;=Umbrales!$B$2,"Legendaria",IF(K556&gt;=Umbrales!$B$3,"Épica",IF(K556&gt;=Umbrales!$B$4,"Rara",IF(K556&gt;=Umbrales!$B$5,"Poco común","Común")))))</f>
        <v/>
      </c>
      <c r="M556" s="5" t="n">
        <v>16581.999616</v>
      </c>
      <c r="N556" s="5" t="n">
        <v>1684.999936</v>
      </c>
      <c r="O556" s="5">
        <f>IF(M556="","",M556*J556)</f>
        <v/>
      </c>
      <c r="P556" s="5">
        <f>IF(N556="","",N556*J556)</f>
        <v/>
      </c>
      <c r="Q556" s="7" t="n">
        <v>0.0521</v>
      </c>
      <c r="R556" s="8" t="n">
        <v>20.32456</v>
      </c>
      <c r="S556" s="4" t="inlineStr">
        <is>
          <t>SP500</t>
        </is>
      </c>
      <c r="T556" s="9" t="inlineStr">
        <is>
          <t>SI</t>
        </is>
      </c>
      <c r="U556" s="9" t="inlineStr"/>
      <c r="V556" s="10">
        <f>Umbrales!$B$9*(K556/1000)^Umbrales!$B$10</f>
        <v/>
      </c>
    </row>
    <row r="557">
      <c r="A557" s="4" t="inlineStr">
        <is>
          <t>CCI</t>
        </is>
      </c>
      <c r="B557" s="4" t="inlineStr">
        <is>
          <t>Crown Castle Inc.</t>
        </is>
      </c>
      <c r="C557" s="4" t="inlineStr">
        <is>
          <t>United States</t>
        </is>
      </c>
      <c r="D557" s="4" t="inlineStr">
        <is>
          <t>US</t>
        </is>
      </c>
      <c r="E557" s="4" t="inlineStr">
        <is>
          <t>Inmobiliario</t>
        </is>
      </c>
      <c r="F557" s="4" t="inlineStr">
        <is>
          <t>REIT - Specialty</t>
        </is>
      </c>
      <c r="G557" s="4" t="inlineStr">
        <is>
          <t>NYQ</t>
        </is>
      </c>
      <c r="H557" s="4" t="inlineStr">
        <is>
          <t>USD</t>
        </is>
      </c>
      <c r="I557" s="5" t="n">
        <v>34591.653888</v>
      </c>
      <c r="J557" s="6">
        <f>INDEX(FX!$B:$B,MATCH(H557,FX!$A:$A,0))</f>
        <v/>
      </c>
      <c r="K557" s="5">
        <f>I557*J557</f>
        <v/>
      </c>
      <c r="L557" s="4">
        <f>IF(U557&lt;&gt;"",U557,IF(K557&gt;=Umbrales!$B$2,"Legendaria",IF(K557&gt;=Umbrales!$B$3,"Épica",IF(K557&gt;=Umbrales!$B$4,"Rara",IF(K557&gt;=Umbrales!$B$5,"Poco común","Común")))))</f>
        <v/>
      </c>
      <c r="M557" s="5" t="n">
        <v>4160.999936</v>
      </c>
      <c r="N557" s="5" t="n">
        <v>1074</v>
      </c>
      <c r="O557" s="5">
        <f>IF(M557="","",M557*J557)</f>
        <v/>
      </c>
      <c r="P557" s="5">
        <f>IF(N557="","",N557*J557)</f>
        <v/>
      </c>
      <c r="Q557" s="7" t="n">
        <v>0.0534</v>
      </c>
      <c r="R557" s="8" t="n">
        <v>33.185715</v>
      </c>
      <c r="S557" s="4" t="inlineStr">
        <is>
          <t>SP500</t>
        </is>
      </c>
      <c r="T557" s="9" t="inlineStr">
        <is>
          <t>SI</t>
        </is>
      </c>
      <c r="U557" s="9" t="inlineStr"/>
      <c r="V557" s="10">
        <f>Umbrales!$B$9*(K557/1000)^Umbrales!$B$10</f>
        <v/>
      </c>
    </row>
    <row r="558">
      <c r="A558" s="4" t="inlineStr">
        <is>
          <t>STLD</t>
        </is>
      </c>
      <c r="B558" s="4" t="inlineStr">
        <is>
          <t>Steel Dynamics, Inc.</t>
        </is>
      </c>
      <c r="C558" s="4" t="inlineStr">
        <is>
          <t>United States</t>
        </is>
      </c>
      <c r="D558" s="4" t="inlineStr">
        <is>
          <t>US</t>
        </is>
      </c>
      <c r="E558" s="4" t="inlineStr">
        <is>
          <t>Materiales</t>
        </is>
      </c>
      <c r="F558" s="4" t="inlineStr">
        <is>
          <t>Steel</t>
        </is>
      </c>
      <c r="G558" s="4" t="inlineStr">
        <is>
          <t>NMS</t>
        </is>
      </c>
      <c r="H558" s="4" t="inlineStr">
        <is>
          <t>USD</t>
        </is>
      </c>
      <c r="I558" s="5" t="n">
        <v>34424.541184</v>
      </c>
      <c r="J558" s="6">
        <f>INDEX(FX!$B:$B,MATCH(H558,FX!$A:$A,0))</f>
        <v/>
      </c>
      <c r="K558" s="5">
        <f>I558*J558</f>
        <v/>
      </c>
      <c r="L558" s="4">
        <f>IF(U558&lt;&gt;"",U558,IF(K558&gt;=Umbrales!$B$2,"Legendaria",IF(K558&gt;=Umbrales!$B$3,"Épica",IF(K558&gt;=Umbrales!$B$4,"Rara",IF(K558&gt;=Umbrales!$B$5,"Poco común","Común")))))</f>
        <v/>
      </c>
      <c r="M558" s="5" t="n">
        <v>20538.677248</v>
      </c>
      <c r="N558" s="5" t="n">
        <v>1607.24096</v>
      </c>
      <c r="O558" s="5">
        <f>IF(M558="","",M558*J558)</f>
        <v/>
      </c>
      <c r="P558" s="5">
        <f>IF(N558="","",N558*J558)</f>
        <v/>
      </c>
      <c r="Q558" s="7" t="n">
        <v>0.008800000000000001</v>
      </c>
      <c r="R558" s="8" t="n">
        <v>21.579514</v>
      </c>
      <c r="S558" s="4" t="inlineStr">
        <is>
          <t>SP500</t>
        </is>
      </c>
      <c r="T558" s="9" t="inlineStr">
        <is>
          <t>SI</t>
        </is>
      </c>
      <c r="U558" s="9" t="inlineStr"/>
      <c r="V558" s="10">
        <f>Umbrales!$B$9*(K558/1000)^Umbrales!$B$10</f>
        <v/>
      </c>
    </row>
    <row r="559">
      <c r="A559" s="4" t="inlineStr">
        <is>
          <t>BIIB</t>
        </is>
      </c>
      <c r="B559" s="4" t="inlineStr">
        <is>
          <t>Biogen Inc.</t>
        </is>
      </c>
      <c r="C559" s="4" t="inlineStr">
        <is>
          <t>United States</t>
        </is>
      </c>
      <c r="D559" s="4" t="inlineStr">
        <is>
          <t>US</t>
        </is>
      </c>
      <c r="E559" s="4" t="inlineStr">
        <is>
          <t>Salud</t>
        </is>
      </c>
      <c r="F559" s="4" t="inlineStr">
        <is>
          <t>Drug Manufacturers - General</t>
        </is>
      </c>
      <c r="G559" s="4" t="inlineStr">
        <is>
          <t>NMS</t>
        </is>
      </c>
      <c r="H559" s="4" t="inlineStr">
        <is>
          <t>USD</t>
        </is>
      </c>
      <c r="I559" s="5" t="n">
        <v>34401.562624</v>
      </c>
      <c r="J559" s="6">
        <f>INDEX(FX!$B:$B,MATCH(H559,FX!$A:$A,0))</f>
        <v/>
      </c>
      <c r="K559" s="5">
        <f>I559*J559</f>
        <v/>
      </c>
      <c r="L559" s="4">
        <f>IF(U559&lt;&gt;"",U559,IF(K559&gt;=Umbrales!$B$2,"Legendaria",IF(K559&gt;=Umbrales!$B$3,"Épica",IF(K559&gt;=Umbrales!$B$4,"Rara",IF(K559&gt;=Umbrales!$B$5,"Poco común","Común")))))</f>
        <v/>
      </c>
      <c r="M559" s="5" t="n">
        <v>10027.899904</v>
      </c>
      <c r="N559" s="5" t="n">
        <v>834.6</v>
      </c>
      <c r="O559" s="5">
        <f>IF(M559="","",M559*J559)</f>
        <v/>
      </c>
      <c r="P559" s="5">
        <f>IF(N559="","",N559*J559)</f>
        <v/>
      </c>
      <c r="Q559" s="7" t="n">
        <v>0</v>
      </c>
      <c r="R559" s="8" t="n">
        <v>41.35524</v>
      </c>
      <c r="S559" s="4" t="inlineStr">
        <is>
          <t>NASDAQ100, SP500</t>
        </is>
      </c>
      <c r="T559" s="9" t="inlineStr">
        <is>
          <t>SI</t>
        </is>
      </c>
      <c r="U559" s="9" t="inlineStr"/>
      <c r="V559" s="10">
        <f>Umbrales!$B$9*(K559/1000)^Umbrales!$B$10</f>
        <v/>
      </c>
    </row>
    <row r="560">
      <c r="A560" s="4" t="inlineStr">
        <is>
          <t>ERIC-B.ST</t>
        </is>
      </c>
      <c r="B560" s="4" t="inlineStr">
        <is>
          <t>Telefonaktiebolaget LM Ericsson (publ)</t>
        </is>
      </c>
      <c r="C560" s="4" t="inlineStr">
        <is>
          <t>Sweden</t>
        </is>
      </c>
      <c r="D560" s="4" t="inlineStr">
        <is>
          <t>SE</t>
        </is>
      </c>
      <c r="E560" s="4" t="inlineStr">
        <is>
          <t>Tecnología</t>
        </is>
      </c>
      <c r="F560" s="4" t="inlineStr">
        <is>
          <t>Communication Equipment</t>
        </is>
      </c>
      <c r="G560" s="4" t="inlineStr">
        <is>
          <t>STO</t>
        </is>
      </c>
      <c r="H560" s="4" t="inlineStr">
        <is>
          <t>SEK</t>
        </is>
      </c>
      <c r="I560" s="5" t="n">
        <v>342080.520192</v>
      </c>
      <c r="J560" s="6">
        <f>INDEX(FX!$B:$B,MATCH(H560,FX!$A:$A,0))</f>
        <v/>
      </c>
      <c r="K560" s="5">
        <f>I560*J560</f>
        <v/>
      </c>
      <c r="L560" s="4">
        <f>IF(U560&lt;&gt;"",U560,IF(K560&gt;=Umbrales!$B$2,"Legendaria",IF(K560&gt;=Umbrales!$B$3,"Épica",IF(K560&gt;=Umbrales!$B$4,"Rara",IF(K560&gt;=Umbrales!$B$5,"Poco común","Común")))))</f>
        <v/>
      </c>
      <c r="M560" s="5" t="n">
        <v>227546.005504</v>
      </c>
      <c r="N560" s="5" t="n">
        <v>24644.999168</v>
      </c>
      <c r="O560" s="5">
        <f>IF(M560="","",M560*J560)</f>
        <v/>
      </c>
      <c r="P560" s="5">
        <f>IF(N560="","",N560*J560)</f>
        <v/>
      </c>
      <c r="Q560" s="7" t="n">
        <v>0.0316</v>
      </c>
      <c r="R560" s="8" t="n">
        <v>14.281843</v>
      </c>
      <c r="S560" s="4" t="inlineStr">
        <is>
          <t>OMXS30</t>
        </is>
      </c>
      <c r="T560" s="9" t="inlineStr">
        <is>
          <t>SI</t>
        </is>
      </c>
      <c r="U560" s="9" t="inlineStr"/>
      <c r="V560" s="10">
        <f>Umbrales!$B$9*(K560/1000)^Umbrales!$B$10</f>
        <v/>
      </c>
    </row>
    <row r="561">
      <c r="A561" s="4" t="inlineStr">
        <is>
          <t>ACGL</t>
        </is>
      </c>
      <c r="B561" s="4" t="inlineStr">
        <is>
          <t>Arch Capital Group Ltd.</t>
        </is>
      </c>
      <c r="C561" s="4" t="inlineStr">
        <is>
          <t>Bermuda</t>
        </is>
      </c>
      <c r="D561" s="4" t="inlineStr">
        <is>
          <t>BM</t>
        </is>
      </c>
      <c r="E561" s="4" t="inlineStr">
        <is>
          <t>Finanzas</t>
        </is>
      </c>
      <c r="F561" s="4" t="inlineStr">
        <is>
          <t>Insurance - Diversified</t>
        </is>
      </c>
      <c r="G561" s="4" t="inlineStr">
        <is>
          <t>NMS</t>
        </is>
      </c>
      <c r="H561" s="4" t="inlineStr">
        <is>
          <t>USD</t>
        </is>
      </c>
      <c r="I561" s="5" t="n">
        <v>34157.969408</v>
      </c>
      <c r="J561" s="6">
        <f>INDEX(FX!$B:$B,MATCH(H561,FX!$A:$A,0))</f>
        <v/>
      </c>
      <c r="K561" s="5">
        <f>I561*J561</f>
        <v/>
      </c>
      <c r="L561" s="4">
        <f>IF(U561&lt;&gt;"",U561,IF(K561&gt;=Umbrales!$B$2,"Legendaria",IF(K561&gt;=Umbrales!$B$3,"Épica",IF(K561&gt;=Umbrales!$B$4,"Rara",IF(K561&gt;=Umbrales!$B$5,"Poco común","Común")))))</f>
        <v/>
      </c>
      <c r="M561" s="5" t="n">
        <v>19232</v>
      </c>
      <c r="N561" s="5" t="n">
        <v>4652.000256</v>
      </c>
      <c r="O561" s="5">
        <f>IF(M561="","",M561*J561)</f>
        <v/>
      </c>
      <c r="P561" s="5">
        <f>IF(N561="","",N561*J561)</f>
        <v/>
      </c>
      <c r="Q561" s="7" t="n">
        <v>0</v>
      </c>
      <c r="R561" s="8" t="n">
        <v>7.77114</v>
      </c>
      <c r="S561" s="4" t="inlineStr">
        <is>
          <t>SP500</t>
        </is>
      </c>
      <c r="T561" s="9" t="inlineStr">
        <is>
          <t>SI</t>
        </is>
      </c>
      <c r="U561" s="9" t="inlineStr"/>
      <c r="V561" s="10">
        <f>Umbrales!$B$9*(K561/1000)^Umbrales!$B$10</f>
        <v/>
      </c>
    </row>
    <row r="562">
      <c r="A562" s="4" t="inlineStr">
        <is>
          <t>SAAB-B.ST</t>
        </is>
      </c>
      <c r="B562" s="4" t="inlineStr">
        <is>
          <t>Saab AB (publ)</t>
        </is>
      </c>
      <c r="C562" s="4" t="inlineStr">
        <is>
          <t>Sweden</t>
        </is>
      </c>
      <c r="D562" s="4" t="inlineStr">
        <is>
          <t>SE</t>
        </is>
      </c>
      <c r="E562" s="4" t="inlineStr">
        <is>
          <t>Industria</t>
        </is>
      </c>
      <c r="F562" s="4" t="inlineStr">
        <is>
          <t>Aerospace &amp; Defense</t>
        </is>
      </c>
      <c r="G562" s="4" t="inlineStr">
        <is>
          <t>STO</t>
        </is>
      </c>
      <c r="H562" s="4" t="inlineStr">
        <is>
          <t>SEK</t>
        </is>
      </c>
      <c r="I562" s="5" t="n">
        <v>339456.917504</v>
      </c>
      <c r="J562" s="6">
        <f>INDEX(FX!$B:$B,MATCH(H562,FX!$A:$A,0))</f>
        <v/>
      </c>
      <c r="K562" s="5">
        <f>I562*J562</f>
        <v/>
      </c>
      <c r="L562" s="4">
        <f>IF(U562&lt;&gt;"",U562,IF(K562&gt;=Umbrales!$B$2,"Legendaria",IF(K562&gt;=Umbrales!$B$3,"Épica",IF(K562&gt;=Umbrales!$B$4,"Rara",IF(K562&gt;=Umbrales!$B$5,"Poco común","Común")))))</f>
        <v/>
      </c>
      <c r="M562" s="5" t="n">
        <v>88185.004032</v>
      </c>
      <c r="N562" s="5" t="n">
        <v>7096</v>
      </c>
      <c r="O562" s="5">
        <f>IF(M562="","",M562*J562)</f>
        <v/>
      </c>
      <c r="P562" s="5">
        <f>IF(N562="","",N562*J562)</f>
        <v/>
      </c>
      <c r="Q562" s="7" t="n">
        <v>0.004</v>
      </c>
      <c r="R562" s="8" t="n">
        <v>47.10015</v>
      </c>
      <c r="S562" s="4" t="inlineStr">
        <is>
          <t>OMXS30</t>
        </is>
      </c>
      <c r="T562" s="9" t="inlineStr">
        <is>
          <t>SI</t>
        </is>
      </c>
      <c r="U562" s="9" t="inlineStr"/>
      <c r="V562" s="10">
        <f>Umbrales!$B$9*(K562/1000)^Umbrales!$B$10</f>
        <v/>
      </c>
    </row>
    <row r="563">
      <c r="A563" s="4" t="inlineStr">
        <is>
          <t>QSR.TO</t>
        </is>
      </c>
      <c r="B563" s="4" t="inlineStr">
        <is>
          <t>Restaurant Brands International Inc.</t>
        </is>
      </c>
      <c r="C563" s="4" t="inlineStr">
        <is>
          <t>United States</t>
        </is>
      </c>
      <c r="D563" s="4" t="inlineStr">
        <is>
          <t>US</t>
        </is>
      </c>
      <c r="E563" s="4" t="inlineStr">
        <is>
          <t>Consumo cíclico</t>
        </is>
      </c>
      <c r="F563" s="4" t="inlineStr">
        <is>
          <t>Restaurants</t>
        </is>
      </c>
      <c r="G563" s="4" t="inlineStr">
        <is>
          <t>TOR</t>
        </is>
      </c>
      <c r="H563" s="4" t="inlineStr">
        <is>
          <t>CAD</t>
        </is>
      </c>
      <c r="I563" s="5" t="n">
        <v>48271.1552</v>
      </c>
      <c r="J563" s="6">
        <f>INDEX(FX!$B:$B,MATCH(H563,FX!$A:$A,0))</f>
        <v/>
      </c>
      <c r="K563" s="5">
        <f>I563*J563</f>
        <v/>
      </c>
      <c r="L563" s="4">
        <f>IF(U563&lt;&gt;"",U563,IF(K563&gt;=Umbrales!$B$2,"Legendaria",IF(K563&gt;=Umbrales!$B$3,"Épica",IF(K563&gt;=Umbrales!$B$4,"Rara",IF(K563&gt;=Umbrales!$B$5,"Poco común","Común")))))</f>
        <v/>
      </c>
      <c r="M563" s="5" t="n">
        <v>9699.000319999999</v>
      </c>
      <c r="N563" s="5" t="n">
        <v>1396</v>
      </c>
      <c r="O563" s="5">
        <f>IF(M563="","",M563*J563)</f>
        <v/>
      </c>
      <c r="P563" s="5">
        <f>IF(N563="","",N563*J563)</f>
        <v/>
      </c>
      <c r="Q563" s="7" t="n">
        <v>0.0365</v>
      </c>
      <c r="R563" s="8" t="n">
        <v>19.158182</v>
      </c>
      <c r="S563" s="4" t="inlineStr">
        <is>
          <t>TSX60</t>
        </is>
      </c>
      <c r="T563" s="9" t="inlineStr">
        <is>
          <t>SI</t>
        </is>
      </c>
      <c r="U563" s="9" t="inlineStr"/>
      <c r="V563" s="10">
        <f>Umbrales!$B$9*(K563/1000)^Umbrales!$B$10</f>
        <v/>
      </c>
    </row>
    <row r="564">
      <c r="A564" s="4" t="inlineStr">
        <is>
          <t>DSY.PA</t>
        </is>
      </c>
      <c r="B564" s="4" t="inlineStr">
        <is>
          <t>Dassault Systèmes SE</t>
        </is>
      </c>
      <c r="C564" s="4" t="inlineStr">
        <is>
          <t>France</t>
        </is>
      </c>
      <c r="D564" s="4" t="inlineStr">
        <is>
          <t>FR</t>
        </is>
      </c>
      <c r="E564" s="4" t="inlineStr">
        <is>
          <t>Tecnología</t>
        </is>
      </c>
      <c r="F564" s="4" t="inlineStr">
        <is>
          <t>Software - Application</t>
        </is>
      </c>
      <c r="G564" s="4" t="inlineStr">
        <is>
          <t>PAR</t>
        </is>
      </c>
      <c r="H564" s="4" t="inlineStr">
        <is>
          <t>EUR</t>
        </is>
      </c>
      <c r="I564" s="5" t="n">
        <v>30158.231552</v>
      </c>
      <c r="J564" s="6">
        <f>INDEX(FX!$B:$B,MATCH(H564,FX!$A:$A,0))</f>
        <v/>
      </c>
      <c r="K564" s="5">
        <f>I564*J564</f>
        <v/>
      </c>
      <c r="L564" s="4">
        <f>IF(U564&lt;&gt;"",U564,IF(K564&gt;=Umbrales!$B$2,"Legendaria",IF(K564&gt;=Umbrales!$B$3,"Épica",IF(K564&gt;=Umbrales!$B$4,"Rara",IF(K564&gt;=Umbrales!$B$5,"Poco común","Común")))))</f>
        <v/>
      </c>
      <c r="M564" s="5" t="n">
        <v>6206.199808</v>
      </c>
      <c r="N564" s="5" t="n">
        <v>1323.800064</v>
      </c>
      <c r="O564" s="5">
        <f>IF(M564="","",M564*J564)</f>
        <v/>
      </c>
      <c r="P564" s="5">
        <f>IF(N564="","",N564*J564)</f>
        <v/>
      </c>
      <c r="Q564" s="7" t="n">
        <v>0.012</v>
      </c>
      <c r="R564" s="8" t="n">
        <v>23.659794</v>
      </c>
      <c r="S564" s="4" t="inlineStr">
        <is>
          <t>CAC40</t>
        </is>
      </c>
      <c r="T564" s="9" t="inlineStr">
        <is>
          <t>SI</t>
        </is>
      </c>
      <c r="U564" s="9" t="inlineStr"/>
      <c r="V564" s="10">
        <f>Umbrales!$B$9*(K564/1000)^Umbrales!$B$10</f>
        <v/>
      </c>
    </row>
    <row r="565">
      <c r="A565" s="4" t="inlineStr">
        <is>
          <t>HSY</t>
        </is>
      </c>
      <c r="B565" s="4" t="inlineStr">
        <is>
          <t>The Hershey Company</t>
        </is>
      </c>
      <c r="C565" s="4" t="inlineStr">
        <is>
          <t>United States</t>
        </is>
      </c>
      <c r="D565" s="4" t="inlineStr">
        <is>
          <t>US</t>
        </is>
      </c>
      <c r="E565" s="4" t="inlineStr">
        <is>
          <t>Consumo básico</t>
        </is>
      </c>
      <c r="F565" s="4" t="inlineStr">
        <is>
          <t>Confectioners</t>
        </is>
      </c>
      <c r="G565" s="4" t="inlineStr">
        <is>
          <t>NYQ</t>
        </is>
      </c>
      <c r="H565" s="4" t="inlineStr">
        <is>
          <t>USD</t>
        </is>
      </c>
      <c r="I565" s="5" t="n">
        <v>33730.39616</v>
      </c>
      <c r="J565" s="6">
        <f>INDEX(FX!$B:$B,MATCH(H565,FX!$A:$A,0))</f>
        <v/>
      </c>
      <c r="K565" s="5">
        <f>I565*J565</f>
        <v/>
      </c>
      <c r="L565" s="4">
        <f>IF(U565&lt;&gt;"",U565,IF(K565&gt;=Umbrales!$B$2,"Legendaria",IF(K565&gt;=Umbrales!$B$3,"Épica",IF(K565&gt;=Umbrales!$B$4,"Rara",IF(K565&gt;=Umbrales!$B$5,"Poco común","Común")))))</f>
        <v/>
      </c>
      <c r="M565" s="5" t="n">
        <v>12163.91168</v>
      </c>
      <c r="N565" s="5" t="n">
        <v>1489.106944</v>
      </c>
      <c r="O565" s="5">
        <f>IF(M565="","",M565*J565)</f>
        <v/>
      </c>
      <c r="P565" s="5">
        <f>IF(N565="","",N565*J565)</f>
        <v/>
      </c>
      <c r="Q565" s="7" t="n">
        <v>0.0356</v>
      </c>
      <c r="R565" s="8" t="n">
        <v>22.778154</v>
      </c>
      <c r="S565" s="4" t="inlineStr">
        <is>
          <t>SP500</t>
        </is>
      </c>
      <c r="T565" s="9" t="inlineStr">
        <is>
          <t>SI</t>
        </is>
      </c>
      <c r="U565" s="9" t="inlineStr"/>
      <c r="V565" s="10">
        <f>Umbrales!$B$9*(K565/1000)^Umbrales!$B$10</f>
        <v/>
      </c>
    </row>
    <row r="566">
      <c r="A566" s="4" t="inlineStr">
        <is>
          <t>RMD</t>
        </is>
      </c>
      <c r="B566" s="4" t="inlineStr">
        <is>
          <t>ResMed Inc.</t>
        </is>
      </c>
      <c r="C566" s="4" t="inlineStr">
        <is>
          <t>United States</t>
        </is>
      </c>
      <c r="D566" s="4" t="inlineStr">
        <is>
          <t>US</t>
        </is>
      </c>
      <c r="E566" s="4" t="inlineStr">
        <is>
          <t>Salud</t>
        </is>
      </c>
      <c r="F566" s="4" t="inlineStr">
        <is>
          <t>Medical Instruments &amp; Supplies</t>
        </is>
      </c>
      <c r="G566" s="4" t="inlineStr">
        <is>
          <t>NYQ</t>
        </is>
      </c>
      <c r="H566" s="4" t="inlineStr">
        <is>
          <t>USD</t>
        </is>
      </c>
      <c r="I566" s="5" t="n">
        <v>33713.33632</v>
      </c>
      <c r="J566" s="6">
        <f>INDEX(FX!$B:$B,MATCH(H566,FX!$A:$A,0))</f>
        <v/>
      </c>
      <c r="K566" s="5">
        <f>I566*J566</f>
        <v/>
      </c>
      <c r="L566" s="4">
        <f>IF(U566&lt;&gt;"",U566,IF(K566&gt;=Umbrales!$B$2,"Legendaria",IF(K566&gt;=Umbrales!$B$3,"Épica",IF(K566&gt;=Umbrales!$B$4,"Rara",IF(K566&gt;=Umbrales!$B$5,"Poco común","Común")))))</f>
        <v/>
      </c>
      <c r="M566" s="5" t="n">
        <v>5653.443072</v>
      </c>
      <c r="N566" s="5" t="n">
        <v>1523.293056</v>
      </c>
      <c r="O566" s="5">
        <f>IF(M566="","",M566*J566)</f>
        <v/>
      </c>
      <c r="P566" s="5">
        <f>IF(N566="","",N566*J566)</f>
        <v/>
      </c>
      <c r="Q566" s="7" t="n">
        <v>0.0112</v>
      </c>
      <c r="R566" s="8" t="n">
        <v>22.961208</v>
      </c>
      <c r="S566" s="4" t="inlineStr">
        <is>
          <t>SP500</t>
        </is>
      </c>
      <c r="T566" s="9" t="inlineStr">
        <is>
          <t>SI</t>
        </is>
      </c>
      <c r="U566" s="9" t="inlineStr"/>
      <c r="V566" s="10">
        <f>Umbrales!$B$9*(K566/1000)^Umbrales!$B$10</f>
        <v/>
      </c>
    </row>
    <row r="567">
      <c r="A567" s="4" t="inlineStr">
        <is>
          <t>ULTRACEMCO.NS</t>
        </is>
      </c>
      <c r="B567" s="4" t="inlineStr">
        <is>
          <t>UltraTech Cement Limited</t>
        </is>
      </c>
      <c r="C567" s="4" t="inlineStr">
        <is>
          <t>India</t>
        </is>
      </c>
      <c r="D567" s="4" t="inlineStr">
        <is>
          <t>IN</t>
        </is>
      </c>
      <c r="E567" s="4" t="inlineStr">
        <is>
          <t>Materiales</t>
        </is>
      </c>
      <c r="F567" s="4" t="inlineStr">
        <is>
          <t>Building Materials</t>
        </is>
      </c>
      <c r="G567" s="4" t="inlineStr">
        <is>
          <t>NSI</t>
        </is>
      </c>
      <c r="H567" s="4" t="inlineStr">
        <is>
          <t>INR</t>
        </is>
      </c>
      <c r="I567" s="5" t="n">
        <v>3194129.743872</v>
      </c>
      <c r="J567" s="6">
        <f>INDEX(FX!$B:$B,MATCH(H567,FX!$A:$A,0))</f>
        <v/>
      </c>
      <c r="K567" s="5">
        <f>I567*J567</f>
        <v/>
      </c>
      <c r="L567" s="4">
        <f>IF(U567&lt;&gt;"",U567,IF(K567&gt;=Umbrales!$B$2,"Legendaria",IF(K567&gt;=Umbrales!$B$3,"Épica",IF(K567&gt;=Umbrales!$B$4,"Rara",IF(K567&gt;=Umbrales!$B$5,"Poco común","Común")))))</f>
        <v/>
      </c>
      <c r="M567" s="5" t="n">
        <v>918842.7694080001</v>
      </c>
      <c r="N567" s="5" t="n">
        <v>85390.196736</v>
      </c>
      <c r="O567" s="5">
        <f>IF(M567="","",M567*J567)</f>
        <v/>
      </c>
      <c r="P567" s="5">
        <f>IF(N567="","",N567*J567)</f>
        <v/>
      </c>
      <c r="Q567" s="7" t="n">
        <v>0.0222</v>
      </c>
      <c r="R567" s="8" t="n">
        <v>37.43839</v>
      </c>
      <c r="S567" s="4" t="inlineStr">
        <is>
          <t>NIFTY50</t>
        </is>
      </c>
      <c r="T567" s="9" t="inlineStr">
        <is>
          <t>SI</t>
        </is>
      </c>
      <c r="U567" s="9" t="inlineStr"/>
      <c r="V567" s="10">
        <f>Umbrales!$B$9*(K567/1000)^Umbrales!$B$10</f>
        <v/>
      </c>
    </row>
    <row r="568">
      <c r="A568" s="4" t="inlineStr">
        <is>
          <t>NTR.TO</t>
        </is>
      </c>
      <c r="B568" s="4" t="inlineStr">
        <is>
          <t>Nutrien Ltd.</t>
        </is>
      </c>
      <c r="C568" s="4" t="inlineStr">
        <is>
          <t>Canada</t>
        </is>
      </c>
      <c r="D568" s="4" t="inlineStr">
        <is>
          <t>CA</t>
        </is>
      </c>
      <c r="E568" s="4" t="inlineStr">
        <is>
          <t>Materiales</t>
        </is>
      </c>
      <c r="F568" s="4" t="inlineStr">
        <is>
          <t>Agricultural Inputs</t>
        </is>
      </c>
      <c r="G568" s="4" t="inlineStr">
        <is>
          <t>TOR</t>
        </is>
      </c>
      <c r="H568" s="4" t="inlineStr">
        <is>
          <t>CAD</t>
        </is>
      </c>
      <c r="I568" s="5" t="n">
        <v>47291.518976</v>
      </c>
      <c r="J568" s="6">
        <f>INDEX(FX!$B:$B,MATCH(H568,FX!$A:$A,0))</f>
        <v/>
      </c>
      <c r="K568" s="5">
        <f>I568*J568</f>
        <v/>
      </c>
      <c r="L568" s="4">
        <f>IF(U568&lt;&gt;"",U568,IF(K568&gt;=Umbrales!$B$2,"Legendaria",IF(K568&gt;=Umbrales!$B$3,"Épica",IF(K568&gt;=Umbrales!$B$4,"Rara",IF(K568&gt;=Umbrales!$B$5,"Poco común","Común")))))</f>
        <v/>
      </c>
      <c r="M568" s="5" t="n">
        <v>27288.000512</v>
      </c>
      <c r="N568" s="5" t="n">
        <v>2380</v>
      </c>
      <c r="O568" s="5">
        <f>IF(M568="","",M568*J568)</f>
        <v/>
      </c>
      <c r="P568" s="5">
        <f>IF(N568="","",N568*J568)</f>
        <v/>
      </c>
      <c r="Q568" s="7" t="n">
        <v>0.0317</v>
      </c>
      <c r="R568" s="8" t="n">
        <v>14.467154</v>
      </c>
      <c r="S568" s="4" t="inlineStr">
        <is>
          <t>TSX60</t>
        </is>
      </c>
      <c r="T568" s="9" t="inlineStr">
        <is>
          <t>SI</t>
        </is>
      </c>
      <c r="U568" s="9" t="inlineStr"/>
      <c r="V568" s="10">
        <f>Umbrales!$B$9*(K568/1000)^Umbrales!$B$10</f>
        <v/>
      </c>
    </row>
    <row r="569">
      <c r="A569" s="4" t="inlineStr">
        <is>
          <t>III.L</t>
        </is>
      </c>
      <c r="B569" s="4" t="inlineStr">
        <is>
          <t>3i Group Ord</t>
        </is>
      </c>
      <c r="C569" s="4" t="inlineStr"/>
      <c r="D569" s="4" t="inlineStr">
        <is>
          <t>UN</t>
        </is>
      </c>
      <c r="E569" s="4" t="inlineStr">
        <is>
          <t>Otros</t>
        </is>
      </c>
      <c r="F569" s="4" t="inlineStr"/>
      <c r="G569" s="4" t="inlineStr">
        <is>
          <t>LSE</t>
        </is>
      </c>
      <c r="H569" s="4" t="inlineStr">
        <is>
          <t>GBP</t>
        </is>
      </c>
      <c r="I569" s="5" t="n">
        <v>25102.645248</v>
      </c>
      <c r="J569" s="6">
        <f>INDEX(FX!$B:$B,MATCH(H569,FX!$A:$A,0))</f>
        <v/>
      </c>
      <c r="K569" s="5">
        <f>I569*J569</f>
        <v/>
      </c>
      <c r="L569" s="4">
        <f>IF(U569&lt;&gt;"",U569,IF(K569&gt;=Umbrales!$B$2,"Legendaria",IF(K569&gt;=Umbrales!$B$3,"Épica",IF(K569&gt;=Umbrales!$B$4,"Rara",IF(K569&gt;=Umbrales!$B$5,"Poco común","Común")))))</f>
        <v/>
      </c>
      <c r="M569" s="5" t="n"/>
      <c r="N569" s="5" t="n"/>
      <c r="O569" s="5">
        <f>IF(M569="","",M569*J569)</f>
        <v/>
      </c>
      <c r="P569" s="5">
        <f>IF(N569="","",N569*J569)</f>
        <v/>
      </c>
      <c r="Q569" s="7" t="n"/>
      <c r="R569" s="8" t="n">
        <v>4.585635</v>
      </c>
      <c r="S569" s="4" t="inlineStr">
        <is>
          <t>FTSE100</t>
        </is>
      </c>
      <c r="T569" s="9" t="inlineStr">
        <is>
          <t>SI</t>
        </is>
      </c>
      <c r="U569" s="9" t="inlineStr"/>
      <c r="V569" s="10">
        <f>Umbrales!$B$9*(K569/1000)^Umbrales!$B$10</f>
        <v/>
      </c>
    </row>
    <row r="570">
      <c r="A570" s="4" t="inlineStr">
        <is>
          <t>AXON</t>
        </is>
      </c>
      <c r="B570" s="4" t="inlineStr">
        <is>
          <t>Axon Enterprise, Inc.</t>
        </is>
      </c>
      <c r="C570" s="4" t="inlineStr">
        <is>
          <t>United States</t>
        </is>
      </c>
      <c r="D570" s="4" t="inlineStr">
        <is>
          <t>US</t>
        </is>
      </c>
      <c r="E570" s="4" t="inlineStr">
        <is>
          <t>Industria</t>
        </is>
      </c>
      <c r="F570" s="4" t="inlineStr">
        <is>
          <t>Aerospace &amp; Defense</t>
        </is>
      </c>
      <c r="G570" s="4" t="inlineStr">
        <is>
          <t>NMS</t>
        </is>
      </c>
      <c r="H570" s="4" t="inlineStr">
        <is>
          <t>USD</t>
        </is>
      </c>
      <c r="I570" s="5" t="n">
        <v>33178.986496</v>
      </c>
      <c r="J570" s="6">
        <f>INDEX(FX!$B:$B,MATCH(H570,FX!$A:$A,0))</f>
        <v/>
      </c>
      <c r="K570" s="5">
        <f>I570*J570</f>
        <v/>
      </c>
      <c r="L570" s="4">
        <f>IF(U570&lt;&gt;"",U570,IF(K570&gt;=Umbrales!$B$2,"Legendaria",IF(K570&gt;=Umbrales!$B$3,"Épica",IF(K570&gt;=Umbrales!$B$4,"Rara",IF(K570&gt;=Umbrales!$B$5,"Poco común","Común")))))</f>
        <v/>
      </c>
      <c r="M570" s="5" t="n">
        <v>3219.09888</v>
      </c>
      <c r="N570" s="5" t="n">
        <v>199.298</v>
      </c>
      <c r="O570" s="5">
        <f>IF(M570="","",M570*J570)</f>
        <v/>
      </c>
      <c r="P570" s="5">
        <f>IF(N570="","",N570*J570)</f>
        <v/>
      </c>
      <c r="Q570" s="7" t="n">
        <v>0</v>
      </c>
      <c r="R570" s="8" t="n">
        <v>171.60504</v>
      </c>
      <c r="S570" s="4" t="inlineStr">
        <is>
          <t>NASDAQ100, SP500</t>
        </is>
      </c>
      <c r="T570" s="9" t="inlineStr">
        <is>
          <t>SI</t>
        </is>
      </c>
      <c r="U570" s="9" t="inlineStr"/>
      <c r="V570" s="10">
        <f>Umbrales!$B$9*(K570/1000)^Umbrales!$B$10</f>
        <v/>
      </c>
    </row>
    <row r="571">
      <c r="A571" s="4" t="inlineStr">
        <is>
          <t>EXPN.L</t>
        </is>
      </c>
      <c r="B571" s="4" t="inlineStr">
        <is>
          <t>Experian plc</t>
        </is>
      </c>
      <c r="C571" s="4" t="inlineStr">
        <is>
          <t>Ireland</t>
        </is>
      </c>
      <c r="D571" s="4" t="inlineStr">
        <is>
          <t>IE</t>
        </is>
      </c>
      <c r="E571" s="4" t="inlineStr">
        <is>
          <t>Industria</t>
        </is>
      </c>
      <c r="F571" s="4" t="inlineStr">
        <is>
          <t>Consulting Services</t>
        </is>
      </c>
      <c r="G571" s="4" t="inlineStr">
        <is>
          <t>LSE</t>
        </is>
      </c>
      <c r="H571" s="4" t="inlineStr">
        <is>
          <t>GBP</t>
        </is>
      </c>
      <c r="I571" s="5" t="n">
        <v>24959.768576</v>
      </c>
      <c r="J571" s="6">
        <f>INDEX(FX!$B:$B,MATCH(H571,FX!$A:$A,0))</f>
        <v/>
      </c>
      <c r="K571" s="5">
        <f>I571*J571</f>
        <v/>
      </c>
      <c r="L571" s="4">
        <f>IF(U571&lt;&gt;"",U571,IF(K571&gt;=Umbrales!$B$2,"Legendaria",IF(K571&gt;=Umbrales!$B$3,"Épica",IF(K571&gt;=Umbrales!$B$4,"Rara",IF(K571&gt;=Umbrales!$B$5,"Poco común","Común")))))</f>
        <v/>
      </c>
      <c r="M571" s="5" t="n">
        <v>8445.000192</v>
      </c>
      <c r="N571" s="5" t="n">
        <v>1502</v>
      </c>
      <c r="O571" s="5">
        <f>IF(M571="","",M571*J571)</f>
        <v/>
      </c>
      <c r="P571" s="5">
        <f>IF(N571="","",N571*J571)</f>
        <v/>
      </c>
      <c r="Q571" s="7" t="n">
        <v>0.019</v>
      </c>
      <c r="R571" s="8" t="n">
        <v>23.545454</v>
      </c>
      <c r="S571" s="4" t="inlineStr">
        <is>
          <t>FTSE100</t>
        </is>
      </c>
      <c r="T571" s="9" t="inlineStr">
        <is>
          <t>SI</t>
        </is>
      </c>
      <c r="U571" s="9" t="inlineStr"/>
      <c r="V571" s="10">
        <f>Umbrales!$B$9*(K571/1000)^Umbrales!$B$10</f>
        <v/>
      </c>
    </row>
    <row r="572">
      <c r="A572" s="4" t="inlineStr">
        <is>
          <t>ADYEN.AS</t>
        </is>
      </c>
      <c r="B572" s="4" t="inlineStr">
        <is>
          <t>Adyen N.V.</t>
        </is>
      </c>
      <c r="C572" s="4" t="inlineStr">
        <is>
          <t>Netherlands</t>
        </is>
      </c>
      <c r="D572" s="4" t="inlineStr">
        <is>
          <t>NL</t>
        </is>
      </c>
      <c r="E572" s="4" t="inlineStr">
        <is>
          <t>Tecnología</t>
        </is>
      </c>
      <c r="F572" s="4" t="inlineStr">
        <is>
          <t>Software - Infrastructure</t>
        </is>
      </c>
      <c r="G572" s="4" t="inlineStr">
        <is>
          <t>AMS</t>
        </is>
      </c>
      <c r="H572" s="4" t="inlineStr">
        <is>
          <t>EUR</t>
        </is>
      </c>
      <c r="I572" s="5" t="n">
        <v>29290.719232</v>
      </c>
      <c r="J572" s="6">
        <f>INDEX(FX!$B:$B,MATCH(H572,FX!$A:$A,0))</f>
        <v/>
      </c>
      <c r="K572" s="5">
        <f>I572*J572</f>
        <v/>
      </c>
      <c r="L572" s="4">
        <f>IF(U572&lt;&gt;"",U572,IF(K572&gt;=Umbrales!$B$2,"Legendaria",IF(K572&gt;=Umbrales!$B$3,"Épica",IF(K572&gt;=Umbrales!$B$4,"Rara",IF(K572&gt;=Umbrales!$B$5,"Poco común","Común")))))</f>
        <v/>
      </c>
      <c r="M572" s="5" t="n">
        <v>2584.399872</v>
      </c>
      <c r="N572" s="5" t="n">
        <v>1125.625984</v>
      </c>
      <c r="O572" s="5">
        <f>IF(M572="","",M572*J572)</f>
        <v/>
      </c>
      <c r="P572" s="5">
        <f>IF(N572="","",N572*J572)</f>
        <v/>
      </c>
      <c r="Q572" s="7" t="n">
        <v>0</v>
      </c>
      <c r="R572" s="8" t="n">
        <v>26.079258</v>
      </c>
      <c r="S572" s="4" t="inlineStr">
        <is>
          <t>AEX, EUROSTOXX50</t>
        </is>
      </c>
      <c r="T572" s="9" t="inlineStr">
        <is>
          <t>SI</t>
        </is>
      </c>
      <c r="U572" s="9" t="inlineStr"/>
      <c r="V572" s="10">
        <f>Umbrales!$B$9*(K572/1000)^Umbrales!$B$10</f>
        <v/>
      </c>
    </row>
    <row r="573">
      <c r="A573" s="4" t="inlineStr">
        <is>
          <t>TKO</t>
        </is>
      </c>
      <c r="B573" s="4" t="inlineStr">
        <is>
          <t>TKO Group Holdings, Inc.</t>
        </is>
      </c>
      <c r="C573" s="4" t="inlineStr">
        <is>
          <t>United States</t>
        </is>
      </c>
      <c r="D573" s="4" t="inlineStr">
        <is>
          <t>US</t>
        </is>
      </c>
      <c r="E573" s="4" t="inlineStr">
        <is>
          <t>Comunicación</t>
        </is>
      </c>
      <c r="F573" s="4" t="inlineStr">
        <is>
          <t>Entertainment</t>
        </is>
      </c>
      <c r="G573" s="4" t="inlineStr">
        <is>
          <t>NYQ</t>
        </is>
      </c>
      <c r="H573" s="4" t="inlineStr">
        <is>
          <t>USD</t>
        </is>
      </c>
      <c r="I573" s="5" t="n">
        <v>32722.839552</v>
      </c>
      <c r="J573" s="6">
        <f>INDEX(FX!$B:$B,MATCH(H573,FX!$A:$A,0))</f>
        <v/>
      </c>
      <c r="K573" s="5">
        <f>I573*J573</f>
        <v/>
      </c>
      <c r="L573" s="4">
        <f>IF(U573&lt;&gt;"",U573,IF(K573&gt;=Umbrales!$B$2,"Legendaria",IF(K573&gt;=Umbrales!$B$3,"Épica",IF(K573&gt;=Umbrales!$B$4,"Rara",IF(K573&gt;=Umbrales!$B$5,"Poco común","Común")))))</f>
        <v/>
      </c>
      <c r="M573" s="5" t="n">
        <v>5301.862912</v>
      </c>
      <c r="N573" s="5" t="n">
        <v>229.556</v>
      </c>
      <c r="O573" s="5">
        <f>IF(M573="","",M573*J573)</f>
        <v/>
      </c>
      <c r="P573" s="5">
        <f>IF(N573="","",N573*J573)</f>
        <v/>
      </c>
      <c r="Q573" s="7" t="n">
        <v>0.0182</v>
      </c>
      <c r="R573" s="8" t="n">
        <v>60.45105</v>
      </c>
      <c r="S573" s="4" t="inlineStr">
        <is>
          <t>SP500</t>
        </is>
      </c>
      <c r="T573" s="9" t="inlineStr">
        <is>
          <t>SI</t>
        </is>
      </c>
      <c r="U573" s="9" t="inlineStr"/>
      <c r="V573" s="10">
        <f>Umbrales!$B$9*(K573/1000)^Umbrales!$B$10</f>
        <v/>
      </c>
    </row>
    <row r="574">
      <c r="A574" s="4" t="inlineStr">
        <is>
          <t>RMD.AX</t>
        </is>
      </c>
      <c r="B574" s="4" t="inlineStr">
        <is>
          <t>ResMed Inc.</t>
        </is>
      </c>
      <c r="C574" s="4" t="inlineStr">
        <is>
          <t>United States</t>
        </is>
      </c>
      <c r="D574" s="4" t="inlineStr">
        <is>
          <t>US</t>
        </is>
      </c>
      <c r="E574" s="4" t="inlineStr">
        <is>
          <t>Salud</t>
        </is>
      </c>
      <c r="F574" s="4" t="inlineStr">
        <is>
          <t>Medical Instruments &amp; Supplies</t>
        </is>
      </c>
      <c r="G574" s="4" t="inlineStr">
        <is>
          <t>ASX</t>
        </is>
      </c>
      <c r="H574" s="4" t="inlineStr">
        <is>
          <t>AUD</t>
        </is>
      </c>
      <c r="I574" s="5" t="n">
        <v>47240.72448</v>
      </c>
      <c r="J574" s="6">
        <f>INDEX(FX!$B:$B,MATCH(H574,FX!$A:$A,0))</f>
        <v/>
      </c>
      <c r="K574" s="5">
        <f>I574*J574</f>
        <v/>
      </c>
      <c r="L574" s="4">
        <f>IF(U574&lt;&gt;"",U574,IF(K574&gt;=Umbrales!$B$2,"Legendaria",IF(K574&gt;=Umbrales!$B$3,"Épica",IF(K574&gt;=Umbrales!$B$4,"Rara",IF(K574&gt;=Umbrales!$B$5,"Poco común","Común")))))</f>
        <v/>
      </c>
      <c r="M574" s="5" t="n">
        <v>5653.443072</v>
      </c>
      <c r="N574" s="5" t="n">
        <v>1523.293056</v>
      </c>
      <c r="O574" s="5">
        <f>IF(M574="","",M574*J574)</f>
        <v/>
      </c>
      <c r="P574" s="5">
        <f>IF(N574="","",N574*J574)</f>
        <v/>
      </c>
      <c r="Q574" s="7" t="n">
        <v>0.0112</v>
      </c>
      <c r="R574" s="8" t="n">
        <v>21.81169</v>
      </c>
      <c r="S574" s="4" t="inlineStr">
        <is>
          <t>ASX50</t>
        </is>
      </c>
      <c r="T574" s="9" t="inlineStr">
        <is>
          <t>SI</t>
        </is>
      </c>
      <c r="U574" s="9" t="inlineStr"/>
      <c r="V574" s="10">
        <f>Umbrales!$B$9*(K574/1000)^Umbrales!$B$10</f>
        <v/>
      </c>
    </row>
    <row r="575">
      <c r="A575" s="4" t="inlineStr">
        <is>
          <t>EQT</t>
        </is>
      </c>
      <c r="B575" s="4" t="inlineStr">
        <is>
          <t>EQT Corporation</t>
        </is>
      </c>
      <c r="C575" s="4" t="inlineStr">
        <is>
          <t>United States</t>
        </is>
      </c>
      <c r="D575" s="4" t="inlineStr">
        <is>
          <t>US</t>
        </is>
      </c>
      <c r="E575" s="4" t="inlineStr">
        <is>
          <t>Energía</t>
        </is>
      </c>
      <c r="F575" s="4" t="inlineStr">
        <is>
          <t>Oil &amp; Gas E&amp;P</t>
        </is>
      </c>
      <c r="G575" s="4" t="inlineStr">
        <is>
          <t>NYQ</t>
        </is>
      </c>
      <c r="H575" s="4" t="inlineStr">
        <is>
          <t>USD</t>
        </is>
      </c>
      <c r="I575" s="5" t="n">
        <v>32633.16992</v>
      </c>
      <c r="J575" s="6">
        <f>INDEX(FX!$B:$B,MATCH(H575,FX!$A:$A,0))</f>
        <v/>
      </c>
      <c r="K575" s="5">
        <f>I575*J575</f>
        <v/>
      </c>
      <c r="L575" s="4">
        <f>IF(U575&lt;&gt;"",U575,IF(K575&gt;=Umbrales!$B$2,"Legendaria",IF(K575&gt;=Umbrales!$B$3,"Épica",IF(K575&gt;=Umbrales!$B$4,"Rara",IF(K575&gt;=Umbrales!$B$5,"Poco común","Común")))))</f>
        <v/>
      </c>
      <c r="M575" s="5" t="n">
        <v>9293.919232</v>
      </c>
      <c r="N575" s="5" t="n">
        <v>2711.614976</v>
      </c>
      <c r="O575" s="5">
        <f>IF(M575="","",M575*J575)</f>
        <v/>
      </c>
      <c r="P575" s="5">
        <f>IF(N575="","",N575*J575)</f>
        <v/>
      </c>
      <c r="Q575" s="7" t="n">
        <v>0.0121</v>
      </c>
      <c r="R575" s="8" t="n">
        <v>12.480862</v>
      </c>
      <c r="S575" s="4" t="inlineStr">
        <is>
          <t>SP500</t>
        </is>
      </c>
      <c r="T575" s="9" t="inlineStr">
        <is>
          <t>SI</t>
        </is>
      </c>
      <c r="U575" s="9" t="inlineStr"/>
      <c r="V575" s="10">
        <f>Umbrales!$B$9*(K575/1000)^Umbrales!$B$10</f>
        <v/>
      </c>
    </row>
    <row r="576">
      <c r="A576" s="4" t="inlineStr">
        <is>
          <t>MTD</t>
        </is>
      </c>
      <c r="B576" s="4" t="inlineStr">
        <is>
          <t>Mettler-Toledo International Inc.</t>
        </is>
      </c>
      <c r="C576" s="4" t="inlineStr">
        <is>
          <t>Switzerland</t>
        </is>
      </c>
      <c r="D576" s="4" t="inlineStr">
        <is>
          <t>CH</t>
        </is>
      </c>
      <c r="E576" s="4" t="inlineStr">
        <is>
          <t>Salud</t>
        </is>
      </c>
      <c r="F576" s="4" t="inlineStr">
        <is>
          <t>Diagnostics &amp; Research</t>
        </is>
      </c>
      <c r="G576" s="4" t="inlineStr">
        <is>
          <t>NYQ</t>
        </is>
      </c>
      <c r="H576" s="4" t="inlineStr">
        <is>
          <t>USD</t>
        </is>
      </c>
      <c r="I576" s="5" t="n">
        <v>32628.936704</v>
      </c>
      <c r="J576" s="6">
        <f>INDEX(FX!$B:$B,MATCH(H576,FX!$A:$A,0))</f>
        <v/>
      </c>
      <c r="K576" s="5">
        <f>I576*J576</f>
        <v/>
      </c>
      <c r="L576" s="4">
        <f>IF(U576&lt;&gt;"",U576,IF(K576&gt;=Umbrales!$B$2,"Legendaria",IF(K576&gt;=Umbrales!$B$3,"Épica",IF(K576&gt;=Umbrales!$B$4,"Rara",IF(K576&gt;=Umbrales!$B$5,"Poco común","Común")))))</f>
        <v/>
      </c>
      <c r="M576" s="5" t="n">
        <v>4133.874944</v>
      </c>
      <c r="N576" s="5" t="n">
        <v>905.611008</v>
      </c>
      <c r="O576" s="5">
        <f>IF(M576="","",M576*J576)</f>
        <v/>
      </c>
      <c r="P576" s="5">
        <f>IF(N576="","",N576*J576)</f>
        <v/>
      </c>
      <c r="Q576" s="7" t="n">
        <v>0</v>
      </c>
      <c r="R576" s="8" t="n">
        <v>35.901012</v>
      </c>
      <c r="S576" s="4" t="inlineStr">
        <is>
          <t>SP500</t>
        </is>
      </c>
      <c r="T576" s="9" t="inlineStr">
        <is>
          <t>SI</t>
        </is>
      </c>
      <c r="U576" s="9" t="inlineStr"/>
      <c r="V576" s="10">
        <f>Umbrales!$B$9*(K576/1000)^Umbrales!$B$10</f>
        <v/>
      </c>
    </row>
    <row r="577">
      <c r="A577" s="4" t="inlineStr">
        <is>
          <t>IRM</t>
        </is>
      </c>
      <c r="B577" s="4" t="inlineStr">
        <is>
          <t>Iron Mountain Incorporated</t>
        </is>
      </c>
      <c r="C577" s="4" t="inlineStr">
        <is>
          <t>United States</t>
        </is>
      </c>
      <c r="D577" s="4" t="inlineStr">
        <is>
          <t>US</t>
        </is>
      </c>
      <c r="E577" s="4" t="inlineStr">
        <is>
          <t>Inmobiliario</t>
        </is>
      </c>
      <c r="F577" s="4" t="inlineStr">
        <is>
          <t>REIT - Specialty</t>
        </is>
      </c>
      <c r="G577" s="4" t="inlineStr">
        <is>
          <t>NYQ</t>
        </is>
      </c>
      <c r="H577" s="4" t="inlineStr">
        <is>
          <t>USD</t>
        </is>
      </c>
      <c r="I577" s="5" t="n">
        <v>32473.423872</v>
      </c>
      <c r="J577" s="6">
        <f>INDEX(FX!$B:$B,MATCH(H577,FX!$A:$A,0))</f>
        <v/>
      </c>
      <c r="K577" s="5">
        <f>I577*J577</f>
        <v/>
      </c>
      <c r="L577" s="4">
        <f>IF(U577&lt;&gt;"",U577,IF(K577&gt;=Umbrales!$B$2,"Legendaria",IF(K577&gt;=Umbrales!$B$3,"Épica",IF(K577&gt;=Umbrales!$B$4,"Rara",IF(K577&gt;=Umbrales!$B$5,"Poco común","Común")))))</f>
        <v/>
      </c>
      <c r="M577" s="5" t="n">
        <v>7562.470912</v>
      </c>
      <c r="N577" s="5" t="n">
        <v>418.655008</v>
      </c>
      <c r="O577" s="5">
        <f>IF(M577="","",M577*J577)</f>
        <v/>
      </c>
      <c r="P577" s="5">
        <f>IF(N577="","",N577*J577)</f>
        <v/>
      </c>
      <c r="Q577" s="7" t="n">
        <v>0.0302</v>
      </c>
      <c r="R577" s="8" t="n">
        <v>77.91428999999999</v>
      </c>
      <c r="S577" s="4" t="inlineStr">
        <is>
          <t>SP500</t>
        </is>
      </c>
      <c r="T577" s="9" t="inlineStr">
        <is>
          <t>SI</t>
        </is>
      </c>
      <c r="U577" s="9" t="inlineStr"/>
      <c r="V577" s="10">
        <f>Umbrales!$B$9*(K577/1000)^Umbrales!$B$10</f>
        <v/>
      </c>
    </row>
    <row r="578">
      <c r="A578" s="4" t="inlineStr">
        <is>
          <t>CBOE</t>
        </is>
      </c>
      <c r="B578" s="4" t="inlineStr">
        <is>
          <t>Cboe Global Markets, Inc.</t>
        </is>
      </c>
      <c r="C578" s="4" t="inlineStr">
        <is>
          <t>United States</t>
        </is>
      </c>
      <c r="D578" s="4" t="inlineStr">
        <is>
          <t>US</t>
        </is>
      </c>
      <c r="E578" s="4" t="inlineStr">
        <is>
          <t>Finanzas</t>
        </is>
      </c>
      <c r="F578" s="4" t="inlineStr">
        <is>
          <t>Financial Data &amp; Stock Exchanges</t>
        </is>
      </c>
      <c r="G578" s="4" t="inlineStr">
        <is>
          <t>BTS</t>
        </is>
      </c>
      <c r="H578" s="4" t="inlineStr">
        <is>
          <t>USD</t>
        </is>
      </c>
      <c r="I578" s="5" t="n">
        <v>32362.129408</v>
      </c>
      <c r="J578" s="6">
        <f>INDEX(FX!$B:$B,MATCH(H578,FX!$A:$A,0))</f>
        <v/>
      </c>
      <c r="K578" s="5">
        <f>I578*J578</f>
        <v/>
      </c>
      <c r="L578" s="4">
        <f>IF(U578&lt;&gt;"",U578,IF(K578&gt;=Umbrales!$B$2,"Legendaria",IF(K578&gt;=Umbrales!$B$3,"Épica",IF(K578&gt;=Umbrales!$B$4,"Rara",IF(K578&gt;=Umbrales!$B$5,"Poco común","Común")))))</f>
        <v/>
      </c>
      <c r="M578" s="5" t="n">
        <v>5061.300224</v>
      </c>
      <c r="N578" s="5" t="n">
        <v>1347.399936</v>
      </c>
      <c r="O578" s="5">
        <f>IF(M578="","",M578*J578)</f>
        <v/>
      </c>
      <c r="P578" s="5">
        <f>IF(N578="","",N578*J578)</f>
        <v/>
      </c>
      <c r="Q578" s="7" t="n">
        <v>0.0118</v>
      </c>
      <c r="R578" s="8" t="n">
        <v>23.494316</v>
      </c>
      <c r="S578" s="4" t="inlineStr">
        <is>
          <t>SP500</t>
        </is>
      </c>
      <c r="T578" s="9" t="inlineStr">
        <is>
          <t>SI</t>
        </is>
      </c>
      <c r="U578" s="9" t="inlineStr"/>
      <c r="V578" s="10">
        <f>Umbrales!$B$9*(K578/1000)^Umbrales!$B$10</f>
        <v/>
      </c>
    </row>
    <row r="579">
      <c r="A579" s="4" t="inlineStr">
        <is>
          <t>UAL</t>
        </is>
      </c>
      <c r="B579" s="4" t="inlineStr">
        <is>
          <t>United Airlines Holdings, Inc.</t>
        </is>
      </c>
      <c r="C579" s="4" t="inlineStr">
        <is>
          <t>United States</t>
        </is>
      </c>
      <c r="D579" s="4" t="inlineStr">
        <is>
          <t>US</t>
        </is>
      </c>
      <c r="E579" s="4" t="inlineStr">
        <is>
          <t>Industria</t>
        </is>
      </c>
      <c r="F579" s="4" t="inlineStr">
        <is>
          <t>Airlines</t>
        </is>
      </c>
      <c r="G579" s="4" t="inlineStr">
        <is>
          <t>NMS</t>
        </is>
      </c>
      <c r="H579" s="4" t="inlineStr">
        <is>
          <t>USD</t>
        </is>
      </c>
      <c r="I579" s="5" t="n">
        <v>32361.00096</v>
      </c>
      <c r="J579" s="6">
        <f>INDEX(FX!$B:$B,MATCH(H579,FX!$A:$A,0))</f>
        <v/>
      </c>
      <c r="K579" s="5">
        <f>I579*J579</f>
        <v/>
      </c>
      <c r="L579" s="4">
        <f>IF(U579&lt;&gt;"",U579,IF(K579&gt;=Umbrales!$B$2,"Legendaria",IF(K579&gt;=Umbrales!$B$3,"Épica",IF(K579&gt;=Umbrales!$B$4,"Rara",IF(K579&gt;=Umbrales!$B$5,"Poco común","Común")))))</f>
        <v/>
      </c>
      <c r="M579" s="5" t="n">
        <v>62902.001664</v>
      </c>
      <c r="N579" s="5" t="n">
        <v>3496</v>
      </c>
      <c r="O579" s="5">
        <f>IF(M579="","",M579*J579)</f>
        <v/>
      </c>
      <c r="P579" s="5">
        <f>IF(N579="","",N579*J579)</f>
        <v/>
      </c>
      <c r="Q579" s="7" t="n">
        <v>0</v>
      </c>
      <c r="R579" s="8" t="n">
        <v>9.736328</v>
      </c>
      <c r="S579" s="4" t="inlineStr">
        <is>
          <t>SP500</t>
        </is>
      </c>
      <c r="T579" s="9" t="inlineStr">
        <is>
          <t>SI</t>
        </is>
      </c>
      <c r="U579" s="9" t="inlineStr"/>
      <c r="V579" s="10">
        <f>Umbrales!$B$9*(K579/1000)^Umbrales!$B$10</f>
        <v/>
      </c>
    </row>
    <row r="580">
      <c r="A580" s="4" t="inlineStr">
        <is>
          <t>VMC</t>
        </is>
      </c>
      <c r="B580" s="4" t="inlineStr">
        <is>
          <t>Vulcan Materials Company</t>
        </is>
      </c>
      <c r="C580" s="4" t="inlineStr">
        <is>
          <t>United States</t>
        </is>
      </c>
      <c r="D580" s="4" t="inlineStr">
        <is>
          <t>US</t>
        </is>
      </c>
      <c r="E580" s="4" t="inlineStr">
        <is>
          <t>Materiales</t>
        </is>
      </c>
      <c r="F580" s="4" t="inlineStr">
        <is>
          <t>Building Materials</t>
        </is>
      </c>
      <c r="G580" s="4" t="inlineStr">
        <is>
          <t>NYQ</t>
        </is>
      </c>
      <c r="H580" s="4" t="inlineStr">
        <is>
          <t>USD</t>
        </is>
      </c>
      <c r="I580" s="5" t="n">
        <v>32261.218304</v>
      </c>
      <c r="J580" s="6">
        <f>INDEX(FX!$B:$B,MATCH(H580,FX!$A:$A,0))</f>
        <v/>
      </c>
      <c r="K580" s="5">
        <f>I580*J580</f>
        <v/>
      </c>
      <c r="L580" s="4">
        <f>IF(U580&lt;&gt;"",U580,IF(K580&gt;=Umbrales!$B$2,"Legendaria",IF(K580&gt;=Umbrales!$B$3,"Épica",IF(K580&gt;=Umbrales!$B$4,"Rara",IF(K580&gt;=Umbrales!$B$5,"Poco común","Común")))))</f>
        <v/>
      </c>
      <c r="M580" s="5" t="n">
        <v>8115.800064</v>
      </c>
      <c r="N580" s="5" t="n">
        <v>1117.100032</v>
      </c>
      <c r="O580" s="5">
        <f>IF(M580="","",M580*J580)</f>
        <v/>
      </c>
      <c r="P580" s="5">
        <f>IF(N580="","",N580*J580)</f>
        <v/>
      </c>
      <c r="Q580" s="7" t="n">
        <v>0.008500000000000001</v>
      </c>
      <c r="R580" s="8" t="n">
        <v>29.35967</v>
      </c>
      <c r="S580" s="4" t="inlineStr">
        <is>
          <t>SP500</t>
        </is>
      </c>
      <c r="T580" s="9" t="inlineStr">
        <is>
          <t>SI</t>
        </is>
      </c>
      <c r="U580" s="9" t="inlineStr"/>
      <c r="V580" s="10">
        <f>Umbrales!$B$9*(K580/1000)^Umbrales!$B$10</f>
        <v/>
      </c>
    </row>
    <row r="581">
      <c r="A581" s="4" t="inlineStr">
        <is>
          <t>NTPC.NS</t>
        </is>
      </c>
      <c r="B581" s="4" t="inlineStr">
        <is>
          <t>NTPC Limited</t>
        </is>
      </c>
      <c r="C581" s="4" t="inlineStr">
        <is>
          <t>India</t>
        </is>
      </c>
      <c r="D581" s="4" t="inlineStr">
        <is>
          <t>IN</t>
        </is>
      </c>
      <c r="E581" s="4" t="inlineStr">
        <is>
          <t>Servicios públicos</t>
        </is>
      </c>
      <c r="F581" s="4" t="inlineStr">
        <is>
          <t>Utilities - Regulated Electric</t>
        </is>
      </c>
      <c r="G581" s="4" t="inlineStr">
        <is>
          <t>NSI</t>
        </is>
      </c>
      <c r="H581" s="4" t="inlineStr">
        <is>
          <t>INR</t>
        </is>
      </c>
      <c r="I581" s="5" t="n">
        <v>3051056.00512</v>
      </c>
      <c r="J581" s="6">
        <f>INDEX(FX!$B:$B,MATCH(H581,FX!$A:$A,0))</f>
        <v/>
      </c>
      <c r="K581" s="5">
        <f>I581*J581</f>
        <v/>
      </c>
      <c r="L581" s="4">
        <f>IF(U581&lt;&gt;"",U581,IF(K581&gt;=Umbrales!$B$2,"Legendaria",IF(K581&gt;=Umbrales!$B$3,"Épica",IF(K581&gt;=Umbrales!$B$4,"Rara",IF(K581&gt;=Umbrales!$B$5,"Poco común","Común")))))</f>
        <v/>
      </c>
      <c r="M581" s="5" t="n">
        <v>1910612.426752</v>
      </c>
      <c r="N581" s="5" t="n">
        <v>277629.698048</v>
      </c>
      <c r="O581" s="5">
        <f>IF(M581="","",M581*J581)</f>
        <v/>
      </c>
      <c r="P581" s="5">
        <f>IF(N581="","",N581*J581)</f>
        <v/>
      </c>
      <c r="Q581" s="7" t="n">
        <v>0.0394</v>
      </c>
      <c r="R581" s="8" t="n">
        <v>10.99022</v>
      </c>
      <c r="S581" s="4" t="inlineStr">
        <is>
          <t>NIFTY50</t>
        </is>
      </c>
      <c r="T581" s="9" t="inlineStr">
        <is>
          <t>SI</t>
        </is>
      </c>
      <c r="U581" s="9" t="inlineStr"/>
      <c r="V581" s="10">
        <f>Umbrales!$B$9*(K581/1000)^Umbrales!$B$10</f>
        <v/>
      </c>
    </row>
    <row r="582">
      <c r="A582" s="4" t="inlineStr">
        <is>
          <t>TECK-B.TO</t>
        </is>
      </c>
      <c r="B582" s="4" t="inlineStr">
        <is>
          <t>Teck Resources Limited</t>
        </is>
      </c>
      <c r="C582" s="4" t="inlineStr">
        <is>
          <t>Canada</t>
        </is>
      </c>
      <c r="D582" s="4" t="inlineStr">
        <is>
          <t>CA</t>
        </is>
      </c>
      <c r="E582" s="4" t="inlineStr">
        <is>
          <t>Materiales</t>
        </is>
      </c>
      <c r="F582" s="4" t="inlineStr">
        <is>
          <t>Copper</t>
        </is>
      </c>
      <c r="G582" s="4" t="inlineStr">
        <is>
          <t>TOR</t>
        </is>
      </c>
      <c r="H582" s="4" t="inlineStr">
        <is>
          <t>CAD</t>
        </is>
      </c>
      <c r="I582" s="5" t="n">
        <v>45468.807168</v>
      </c>
      <c r="J582" s="6">
        <f>INDEX(FX!$B:$B,MATCH(H582,FX!$A:$A,0))</f>
        <v/>
      </c>
      <c r="K582" s="5">
        <f>I582*J582</f>
        <v/>
      </c>
      <c r="L582" s="4">
        <f>IF(U582&lt;&gt;"",U582,IF(K582&gt;=Umbrales!$B$2,"Legendaria",IF(K582&gt;=Umbrales!$B$3,"Épica",IF(K582&gt;=Umbrales!$B$4,"Rara",IF(K582&gt;=Umbrales!$B$5,"Poco común","Común")))))</f>
        <v/>
      </c>
      <c r="M582" s="5" t="n">
        <v>13991.000064</v>
      </c>
      <c r="N582" s="5" t="n">
        <v>2497.999872</v>
      </c>
      <c r="O582" s="5">
        <f>IF(M582="","",M582*J582)</f>
        <v/>
      </c>
      <c r="P582" s="5">
        <f>IF(N582="","",N582*J582)</f>
        <v/>
      </c>
      <c r="Q582" s="7" t="n">
        <v>0.0052</v>
      </c>
      <c r="R582" s="8" t="n">
        <v>18.837399</v>
      </c>
      <c r="S582" s="4" t="inlineStr">
        <is>
          <t>TSX60</t>
        </is>
      </c>
      <c r="T582" s="9" t="inlineStr">
        <is>
          <t>SI</t>
        </is>
      </c>
      <c r="U582" s="9" t="inlineStr"/>
      <c r="V582" s="10">
        <f>Umbrales!$B$9*(K582/1000)^Umbrales!$B$10</f>
        <v/>
      </c>
    </row>
    <row r="583">
      <c r="A583" s="4" t="inlineStr">
        <is>
          <t>FMG.AX</t>
        </is>
      </c>
      <c r="B583" s="4" t="inlineStr">
        <is>
          <t>Fortescue Ltd</t>
        </is>
      </c>
      <c r="C583" s="4" t="inlineStr">
        <is>
          <t>Australia</t>
        </is>
      </c>
      <c r="D583" s="4" t="inlineStr">
        <is>
          <t>AU</t>
        </is>
      </c>
      <c r="E583" s="4" t="inlineStr">
        <is>
          <t>Materiales</t>
        </is>
      </c>
      <c r="F583" s="4" t="inlineStr">
        <is>
          <t>Other Industrial Metals &amp; Mining</t>
        </is>
      </c>
      <c r="G583" s="4" t="inlineStr">
        <is>
          <t>ASX</t>
        </is>
      </c>
      <c r="H583" s="4" t="inlineStr">
        <is>
          <t>AUD</t>
        </is>
      </c>
      <c r="I583" s="5" t="n">
        <v>46246.055936</v>
      </c>
      <c r="J583" s="6">
        <f>INDEX(FX!$B:$B,MATCH(H583,FX!$A:$A,0))</f>
        <v/>
      </c>
      <c r="K583" s="5">
        <f>I583*J583</f>
        <v/>
      </c>
      <c r="L583" s="4">
        <f>IF(U583&lt;&gt;"",U583,IF(K583&gt;=Umbrales!$B$2,"Legendaria",IF(K583&gt;=Umbrales!$B$3,"Épica",IF(K583&gt;=Umbrales!$B$4,"Rara",IF(K583&gt;=Umbrales!$B$5,"Poco común","Común")))))</f>
        <v/>
      </c>
      <c r="M583" s="5" t="n">
        <v>16965.999616</v>
      </c>
      <c r="N583" s="5" t="n">
        <v>2870.000128</v>
      </c>
      <c r="O583" s="5">
        <f>IF(M583="","",M583*J583)</f>
        <v/>
      </c>
      <c r="P583" s="5">
        <f>IF(N583="","",N583*J583)</f>
        <v/>
      </c>
      <c r="Q583" s="7" t="n">
        <v>0.07049999999999999</v>
      </c>
      <c r="R583" s="8" t="n">
        <v>11.125926</v>
      </c>
      <c r="S583" s="4" t="inlineStr">
        <is>
          <t>ASX50</t>
        </is>
      </c>
      <c r="T583" s="9" t="inlineStr">
        <is>
          <t>SI</t>
        </is>
      </c>
      <c r="U583" s="9" t="inlineStr"/>
      <c r="V583" s="10">
        <f>Umbrales!$B$9*(K583/1000)^Umbrales!$B$10</f>
        <v/>
      </c>
    </row>
    <row r="584">
      <c r="A584" s="4" t="inlineStr">
        <is>
          <t>ALC.SW</t>
        </is>
      </c>
      <c r="B584" s="4" t="inlineStr">
        <is>
          <t>Alcon Inc.</t>
        </is>
      </c>
      <c r="C584" s="4" t="inlineStr">
        <is>
          <t>Switzerland</t>
        </is>
      </c>
      <c r="D584" s="4" t="inlineStr">
        <is>
          <t>CH</t>
        </is>
      </c>
      <c r="E584" s="4" t="inlineStr">
        <is>
          <t>Salud</t>
        </is>
      </c>
      <c r="F584" s="4" t="inlineStr">
        <is>
          <t>Medical Instruments &amp; Supplies</t>
        </is>
      </c>
      <c r="G584" s="4" t="inlineStr">
        <is>
          <t>EBS</t>
        </is>
      </c>
      <c r="H584" s="4" t="inlineStr">
        <is>
          <t>CHF</t>
        </is>
      </c>
      <c r="I584" s="5" t="n">
        <v>26490.318848</v>
      </c>
      <c r="J584" s="6">
        <f>INDEX(FX!$B:$B,MATCH(H584,FX!$A:$A,0))</f>
        <v/>
      </c>
      <c r="K584" s="5">
        <f>I584*J584</f>
        <v/>
      </c>
      <c r="L584" s="4">
        <f>IF(U584&lt;&gt;"",U584,IF(K584&gt;=Umbrales!$B$2,"Legendaria",IF(K584&gt;=Umbrales!$B$3,"Épica",IF(K584&gt;=Umbrales!$B$4,"Rara",IF(K584&gt;=Umbrales!$B$5,"Poco común","Común")))))</f>
        <v/>
      </c>
      <c r="M584" s="5" t="n">
        <v>10860.99968</v>
      </c>
      <c r="N584" s="5" t="n">
        <v>643</v>
      </c>
      <c r="O584" s="5">
        <f>IF(M584="","",M584*J584)</f>
        <v/>
      </c>
      <c r="P584" s="5">
        <f>IF(N584="","",N584*J584)</f>
        <v/>
      </c>
      <c r="Q584" s="7" t="n">
        <v>0.0052</v>
      </c>
      <c r="R584" s="8" t="n">
        <v>52.19048</v>
      </c>
      <c r="S584" s="4" t="inlineStr">
        <is>
          <t>SMI</t>
        </is>
      </c>
      <c r="T584" s="9" t="inlineStr">
        <is>
          <t>SI</t>
        </is>
      </c>
      <c r="U584" s="9" t="inlineStr"/>
      <c r="V584" s="10">
        <f>Umbrales!$B$9*(K584/1000)^Umbrales!$B$10</f>
        <v/>
      </c>
    </row>
    <row r="585">
      <c r="A585" s="4" t="inlineStr">
        <is>
          <t>AD.AS</t>
        </is>
      </c>
      <c r="B585" s="4" t="inlineStr">
        <is>
          <t>Koninklijke Ahold Delhaize N.V.</t>
        </is>
      </c>
      <c r="C585" s="4" t="inlineStr">
        <is>
          <t>Netherlands</t>
        </is>
      </c>
      <c r="D585" s="4" t="inlineStr">
        <is>
          <t>NL</t>
        </is>
      </c>
      <c r="E585" s="4" t="inlineStr">
        <is>
          <t>Consumo básico</t>
        </is>
      </c>
      <c r="F585" s="4" t="inlineStr">
        <is>
          <t>Grocery Stores</t>
        </is>
      </c>
      <c r="G585" s="4" t="inlineStr">
        <is>
          <t>AMS</t>
        </is>
      </c>
      <c r="H585" s="4" t="inlineStr">
        <is>
          <t>EUR</t>
        </is>
      </c>
      <c r="I585" s="5" t="n">
        <v>28399.077376</v>
      </c>
      <c r="J585" s="6">
        <f>INDEX(FX!$B:$B,MATCH(H585,FX!$A:$A,0))</f>
        <v/>
      </c>
      <c r="K585" s="5">
        <f>I585*J585</f>
        <v/>
      </c>
      <c r="L585" s="4">
        <f>IF(U585&lt;&gt;"",U585,IF(K585&gt;=Umbrales!$B$2,"Legendaria",IF(K585&gt;=Umbrales!$B$3,"Épica",IF(K585&gt;=Umbrales!$B$4,"Rara",IF(K585&gt;=Umbrales!$B$5,"Poco común","Común")))))</f>
        <v/>
      </c>
      <c r="M585" s="5" t="n">
        <v>91423.99795200001</v>
      </c>
      <c r="N585" s="5" t="n">
        <v>2238.000128</v>
      </c>
      <c r="O585" s="5">
        <f>IF(M585="","",M585*J585)</f>
        <v/>
      </c>
      <c r="P585" s="5">
        <f>IF(N585="","",N585*J585)</f>
        <v/>
      </c>
      <c r="Q585" s="7" t="n">
        <v>0.0392</v>
      </c>
      <c r="R585" s="8" t="n">
        <v>12.90873</v>
      </c>
      <c r="S585" s="4" t="inlineStr">
        <is>
          <t>AEX, EUROSTOXX50</t>
        </is>
      </c>
      <c r="T585" s="9" t="inlineStr">
        <is>
          <t>SI</t>
        </is>
      </c>
      <c r="U585" s="9" t="inlineStr"/>
      <c r="V585" s="10">
        <f>Umbrales!$B$9*(K585/1000)^Umbrales!$B$10</f>
        <v/>
      </c>
    </row>
    <row r="586">
      <c r="A586" s="4" t="inlineStr">
        <is>
          <t>NTGY.MC</t>
        </is>
      </c>
      <c r="B586" s="4" t="inlineStr">
        <is>
          <t>Naturgy Energy Group, S.A.</t>
        </is>
      </c>
      <c r="C586" s="4" t="inlineStr">
        <is>
          <t>Spain</t>
        </is>
      </c>
      <c r="D586" s="4" t="inlineStr">
        <is>
          <t>ES</t>
        </is>
      </c>
      <c r="E586" s="4" t="inlineStr">
        <is>
          <t>Servicios públicos</t>
        </is>
      </c>
      <c r="F586" s="4" t="inlineStr">
        <is>
          <t>Utilities - Regulated Gas</t>
        </is>
      </c>
      <c r="G586" s="4" t="inlineStr">
        <is>
          <t>MCE</t>
        </is>
      </c>
      <c r="H586" s="4" t="inlineStr">
        <is>
          <t>EUR</t>
        </is>
      </c>
      <c r="I586" s="5" t="n">
        <v>28384.698368</v>
      </c>
      <c r="J586" s="6">
        <f>INDEX(FX!$B:$B,MATCH(H586,FX!$A:$A,0))</f>
        <v/>
      </c>
      <c r="K586" s="5">
        <f>I586*J586</f>
        <v/>
      </c>
      <c r="L586" s="4">
        <f>IF(U586&lt;&gt;"",U586,IF(K586&gt;=Umbrales!$B$2,"Legendaria",IF(K586&gt;=Umbrales!$B$3,"Épica",IF(K586&gt;=Umbrales!$B$4,"Rara",IF(K586&gt;=Umbrales!$B$5,"Poco común","Común")))))</f>
        <v/>
      </c>
      <c r="M586" s="5" t="n">
        <v>19591.000064</v>
      </c>
      <c r="N586" s="5" t="n">
        <v>2091.000064</v>
      </c>
      <c r="O586" s="5">
        <f>IF(M586="","",M586*J586)</f>
        <v/>
      </c>
      <c r="P586" s="5">
        <f>IF(N586="","",N586*J586)</f>
        <v/>
      </c>
      <c r="Q586" s="7" t="n">
        <v>0.0786</v>
      </c>
      <c r="R586" s="8" t="n">
        <v>14.119815</v>
      </c>
      <c r="S586" s="4" t="inlineStr">
        <is>
          <t>IBEX35</t>
        </is>
      </c>
      <c r="T586" s="9" t="inlineStr">
        <is>
          <t>SI</t>
        </is>
      </c>
      <c r="U586" s="9" t="inlineStr"/>
      <c r="V586" s="10">
        <f>Umbrales!$B$9*(K586/1000)^Umbrales!$B$10</f>
        <v/>
      </c>
    </row>
    <row r="587">
      <c r="A587" s="4" t="inlineStr">
        <is>
          <t>EME</t>
        </is>
      </c>
      <c r="B587" s="4" t="inlineStr">
        <is>
          <t>EMCOR Group, Inc.</t>
        </is>
      </c>
      <c r="C587" s="4" t="inlineStr">
        <is>
          <t>United States</t>
        </is>
      </c>
      <c r="D587" s="4" t="inlineStr">
        <is>
          <t>US</t>
        </is>
      </c>
      <c r="E587" s="4" t="inlineStr">
        <is>
          <t>Industria</t>
        </is>
      </c>
      <c r="F587" s="4" t="inlineStr">
        <is>
          <t>Engineering &amp; Construction</t>
        </is>
      </c>
      <c r="G587" s="4" t="inlineStr">
        <is>
          <t>NYQ</t>
        </is>
      </c>
      <c r="H587" s="4" t="inlineStr">
        <is>
          <t>USD</t>
        </is>
      </c>
      <c r="I587" s="5" t="n">
        <v>31784.271872</v>
      </c>
      <c r="J587" s="6">
        <f>INDEX(FX!$B:$B,MATCH(H587,FX!$A:$A,0))</f>
        <v/>
      </c>
      <c r="K587" s="5">
        <f>I587*J587</f>
        <v/>
      </c>
      <c r="L587" s="4">
        <f>IF(U587&lt;&gt;"",U587,IF(K587&gt;=Umbrales!$B$2,"Legendaria",IF(K587&gt;=Umbrales!$B$3,"Épica",IF(K587&gt;=Umbrales!$B$4,"Rara",IF(K587&gt;=Umbrales!$B$5,"Poco común","Común")))))</f>
        <v/>
      </c>
      <c r="M587" s="5" t="n">
        <v>18597.77536</v>
      </c>
      <c r="N587" s="5" t="n">
        <v>1439.158016</v>
      </c>
      <c r="O587" s="5">
        <f>IF(M587="","",M587*J587)</f>
        <v/>
      </c>
      <c r="P587" s="5">
        <f>IF(N587="","",N587*J587)</f>
        <v/>
      </c>
      <c r="Q587" s="7" t="n">
        <v>0.0021</v>
      </c>
      <c r="R587" s="8" t="n">
        <v>23.357212</v>
      </c>
      <c r="S587" s="4" t="inlineStr">
        <is>
          <t>SP500</t>
        </is>
      </c>
      <c r="T587" s="9" t="inlineStr">
        <is>
          <t>SI</t>
        </is>
      </c>
      <c r="U587" s="9" t="inlineStr"/>
      <c r="V587" s="10">
        <f>Umbrales!$B$9*(K587/1000)^Umbrales!$B$10</f>
        <v/>
      </c>
    </row>
    <row r="588">
      <c r="A588" s="4" t="inlineStr">
        <is>
          <t>MTB</t>
        </is>
      </c>
      <c r="B588" s="4" t="inlineStr">
        <is>
          <t>M&amp;T Bank Corporation</t>
        </is>
      </c>
      <c r="C588" s="4" t="inlineStr">
        <is>
          <t>United States</t>
        </is>
      </c>
      <c r="D588" s="4" t="inlineStr">
        <is>
          <t>US</t>
        </is>
      </c>
      <c r="E588" s="4" t="inlineStr">
        <is>
          <t>Finanzas</t>
        </is>
      </c>
      <c r="F588" s="4" t="inlineStr">
        <is>
          <t>Banks - Regional</t>
        </is>
      </c>
      <c r="G588" s="4" t="inlineStr">
        <is>
          <t>NYQ</t>
        </is>
      </c>
      <c r="H588" s="4" t="inlineStr">
        <is>
          <t>USD</t>
        </is>
      </c>
      <c r="I588" s="5" t="n">
        <v>31769.311232</v>
      </c>
      <c r="J588" s="6">
        <f>INDEX(FX!$B:$B,MATCH(H588,FX!$A:$A,0))</f>
        <v/>
      </c>
      <c r="K588" s="5">
        <f>I588*J588</f>
        <v/>
      </c>
      <c r="L588" s="4">
        <f>IF(U588&lt;&gt;"",U588,IF(K588&gt;=Umbrales!$B$2,"Legendaria",IF(K588&gt;=Umbrales!$B$3,"Épica",IF(K588&gt;=Umbrales!$B$4,"Rara",IF(K588&gt;=Umbrales!$B$5,"Poco común","Común")))))</f>
        <v/>
      </c>
      <c r="M588" s="5" t="n">
        <v>9450.999808</v>
      </c>
      <c r="N588" s="5" t="n">
        <v>2873.999872</v>
      </c>
      <c r="O588" s="5">
        <f>IF(M588="","",M588*J588)</f>
        <v/>
      </c>
      <c r="P588" s="5">
        <f>IF(N588="","",N588*J588)</f>
        <v/>
      </c>
      <c r="Q588" s="7" t="n">
        <v>0.0275</v>
      </c>
      <c r="R588" s="8" t="n">
        <v>11.684435</v>
      </c>
      <c r="S588" s="4" t="inlineStr">
        <is>
          <t>SP500</t>
        </is>
      </c>
      <c r="T588" s="9" t="inlineStr">
        <is>
          <t>SI</t>
        </is>
      </c>
      <c r="U588" s="9" t="inlineStr"/>
      <c r="V588" s="10">
        <f>Umbrales!$B$9*(K588/1000)^Umbrales!$B$10</f>
        <v/>
      </c>
    </row>
    <row r="589">
      <c r="A589" s="4" t="inlineStr">
        <is>
          <t>0001.HK</t>
        </is>
      </c>
      <c r="B589" s="4" t="inlineStr">
        <is>
          <t>CK Hutchison Holdings Limited</t>
        </is>
      </c>
      <c r="C589" s="4" t="inlineStr">
        <is>
          <t>Hong Kong</t>
        </is>
      </c>
      <c r="D589" s="4" t="inlineStr">
        <is>
          <t>HK</t>
        </is>
      </c>
      <c r="E589" s="4" t="inlineStr">
        <is>
          <t>Industria</t>
        </is>
      </c>
      <c r="F589" s="4" t="inlineStr">
        <is>
          <t>Conglomerates</t>
        </is>
      </c>
      <c r="G589" s="4" t="inlineStr">
        <is>
          <t>HKG</t>
        </is>
      </c>
      <c r="H589" s="4" t="inlineStr">
        <is>
          <t>HKD</t>
        </is>
      </c>
      <c r="I589" s="5" t="n">
        <v>248952.881152</v>
      </c>
      <c r="J589" s="6">
        <f>INDEX(FX!$B:$B,MATCH(H589,FX!$A:$A,0))</f>
        <v/>
      </c>
      <c r="K589" s="5">
        <f>I589*J589</f>
        <v/>
      </c>
      <c r="L589" s="4">
        <f>IF(U589&lt;&gt;"",U589,IF(K589&gt;=Umbrales!$B$2,"Legendaria",IF(K589&gt;=Umbrales!$B$3,"Épica",IF(K589&gt;=Umbrales!$B$4,"Rara",IF(K589&gt;=Umbrales!$B$5,"Poco común","Común")))))</f>
        <v/>
      </c>
      <c r="M589" s="5" t="n">
        <v>277391.015936</v>
      </c>
      <c r="N589" s="5" t="n">
        <v>37789.999104</v>
      </c>
      <c r="O589" s="5">
        <f>IF(M589="","",M589*J589)</f>
        <v/>
      </c>
      <c r="P589" s="5">
        <f>IF(N589="","",N589*J589)</f>
        <v/>
      </c>
      <c r="Q589" s="7" t="n">
        <v>0.0354</v>
      </c>
      <c r="R589" s="8" t="n">
        <v>6.5856133</v>
      </c>
      <c r="S589" s="4" t="inlineStr">
        <is>
          <t>HANGSENG</t>
        </is>
      </c>
      <c r="T589" s="9" t="inlineStr">
        <is>
          <t>SI</t>
        </is>
      </c>
      <c r="U589" s="9" t="inlineStr"/>
      <c r="V589" s="10">
        <f>Umbrales!$B$9*(K589/1000)^Umbrales!$B$10</f>
        <v/>
      </c>
    </row>
    <row r="590">
      <c r="A590" s="4" t="inlineStr">
        <is>
          <t>EPI-A.ST</t>
        </is>
      </c>
      <c r="B590" s="4" t="inlineStr">
        <is>
          <t>Epiroc AB (publ)</t>
        </is>
      </c>
      <c r="C590" s="4" t="inlineStr">
        <is>
          <t>Sweden</t>
        </is>
      </c>
      <c r="D590" s="4" t="inlineStr">
        <is>
          <t>SE</t>
        </is>
      </c>
      <c r="E590" s="4" t="inlineStr">
        <is>
          <t>Industria</t>
        </is>
      </c>
      <c r="F590" s="4" t="inlineStr">
        <is>
          <t>Farm &amp; Heavy Construction Machinery</t>
        </is>
      </c>
      <c r="G590" s="4" t="inlineStr">
        <is>
          <t>STO</t>
        </is>
      </c>
      <c r="H590" s="4" t="inlineStr">
        <is>
          <t>SEK</t>
        </is>
      </c>
      <c r="I590" s="5" t="n">
        <v>315068.219392</v>
      </c>
      <c r="J590" s="6">
        <f>INDEX(FX!$B:$B,MATCH(H590,FX!$A:$A,0))</f>
        <v/>
      </c>
      <c r="K590" s="5">
        <f>I590*J590</f>
        <v/>
      </c>
      <c r="L590" s="4">
        <f>IF(U590&lt;&gt;"",U590,IF(K590&gt;=Umbrales!$B$2,"Legendaria",IF(K590&gt;=Umbrales!$B$3,"Épica",IF(K590&gt;=Umbrales!$B$4,"Rara",IF(K590&gt;=Umbrales!$B$5,"Poco común","Común")))))</f>
        <v/>
      </c>
      <c r="M590" s="5" t="n">
        <v>62385.000448</v>
      </c>
      <c r="N590" s="5" t="n">
        <v>8839.000064</v>
      </c>
      <c r="O590" s="5">
        <f>IF(M590="","",M590*J590)</f>
        <v/>
      </c>
      <c r="P590" s="5">
        <f>IF(N590="","",N590*J590)</f>
        <v/>
      </c>
      <c r="Q590" s="7" t="n">
        <v>0.0141</v>
      </c>
      <c r="R590" s="8" t="n">
        <v>35.57377</v>
      </c>
      <c r="S590" s="4" t="inlineStr">
        <is>
          <t>OMXS30</t>
        </is>
      </c>
      <c r="T590" s="9" t="inlineStr">
        <is>
          <t>SI</t>
        </is>
      </c>
      <c r="U590" s="9" t="inlineStr"/>
      <c r="V590" s="10">
        <f>Umbrales!$B$9*(K590/1000)^Umbrales!$B$10</f>
        <v/>
      </c>
    </row>
    <row r="591">
      <c r="A591" s="4" t="inlineStr">
        <is>
          <t>DXCM</t>
        </is>
      </c>
      <c r="B591" s="4" t="inlineStr">
        <is>
          <t>DexCom, Inc.</t>
        </is>
      </c>
      <c r="C591" s="4" t="inlineStr">
        <is>
          <t>United States</t>
        </is>
      </c>
      <c r="D591" s="4" t="inlineStr">
        <is>
          <t>US</t>
        </is>
      </c>
      <c r="E591" s="4" t="inlineStr">
        <is>
          <t>Salud</t>
        </is>
      </c>
      <c r="F591" s="4" t="inlineStr">
        <is>
          <t>Medical Devices</t>
        </is>
      </c>
      <c r="G591" s="4" t="inlineStr">
        <is>
          <t>NMS</t>
        </is>
      </c>
      <c r="H591" s="4" t="inlineStr">
        <is>
          <t>USD</t>
        </is>
      </c>
      <c r="I591" s="5" t="n">
        <v>31498.303488</v>
      </c>
      <c r="J591" s="6">
        <f>INDEX(FX!$B:$B,MATCH(H591,FX!$A:$A,0))</f>
        <v/>
      </c>
      <c r="K591" s="5">
        <f>I591*J591</f>
        <v/>
      </c>
      <c r="L591" s="4">
        <f>IF(U591&lt;&gt;"",U591,IF(K591&gt;=Umbrales!$B$2,"Legendaria",IF(K591&gt;=Umbrales!$B$3,"Épica",IF(K591&gt;=Umbrales!$B$4,"Rara",IF(K591&gt;=Umbrales!$B$5,"Poco común","Común")))))</f>
        <v/>
      </c>
      <c r="M591" s="5" t="n">
        <v>4969.200128</v>
      </c>
      <c r="N591" s="5" t="n">
        <v>999.699968</v>
      </c>
      <c r="O591" s="5">
        <f>IF(M591="","",M591*J591)</f>
        <v/>
      </c>
      <c r="P591" s="5">
        <f>IF(N591="","",N591*J591)</f>
        <v/>
      </c>
      <c r="Q591" s="7" t="n">
        <v>0</v>
      </c>
      <c r="R591" s="8" t="n">
        <v>33.79352</v>
      </c>
      <c r="S591" s="4" t="inlineStr">
        <is>
          <t>NASDAQ100, SP500</t>
        </is>
      </c>
      <c r="T591" s="9" t="inlineStr">
        <is>
          <t>SI</t>
        </is>
      </c>
      <c r="U591" s="9" t="inlineStr"/>
      <c r="V591" s="10">
        <f>Umbrales!$B$9*(K591/1000)^Umbrales!$B$10</f>
        <v/>
      </c>
    </row>
    <row r="592">
      <c r="A592" s="4" t="inlineStr">
        <is>
          <t>ETERNAL.NS</t>
        </is>
      </c>
      <c r="B592" s="4" t="inlineStr">
        <is>
          <t>Eternal Limited</t>
        </is>
      </c>
      <c r="C592" s="4" t="inlineStr">
        <is>
          <t>India</t>
        </is>
      </c>
      <c r="D592" s="4" t="inlineStr">
        <is>
          <t>IN</t>
        </is>
      </c>
      <c r="E592" s="4" t="inlineStr">
        <is>
          <t>Consumo cíclico</t>
        </is>
      </c>
      <c r="F592" s="4" t="inlineStr">
        <is>
          <t>Internet Retail</t>
        </is>
      </c>
      <c r="G592" s="4" t="inlineStr">
        <is>
          <t>NSI</t>
        </is>
      </c>
      <c r="H592" s="4" t="inlineStr">
        <is>
          <t>INR</t>
        </is>
      </c>
      <c r="I592" s="5" t="n">
        <v>2975726.043136</v>
      </c>
      <c r="J592" s="6">
        <f>INDEX(FX!$B:$B,MATCH(H592,FX!$A:$A,0))</f>
        <v/>
      </c>
      <c r="K592" s="5">
        <f>I592*J592</f>
        <v/>
      </c>
      <c r="L592" s="4">
        <f>IF(U592&lt;&gt;"",U592,IF(K592&gt;=Umbrales!$B$2,"Legendaria",IF(K592&gt;=Umbrales!$B$3,"Épica",IF(K592&gt;=Umbrales!$B$4,"Rara",IF(K592&gt;=Umbrales!$B$5,"Poco común","Común")))))</f>
        <v/>
      </c>
      <c r="M592" s="5" t="n">
        <v>674080.03072</v>
      </c>
      <c r="N592" s="5" t="n">
        <v>4329.999872</v>
      </c>
      <c r="O592" s="5">
        <f>IF(M592="","",M592*J592)</f>
        <v/>
      </c>
      <c r="P592" s="5">
        <f>IF(N592="","",N592*J592)</f>
        <v/>
      </c>
      <c r="Q592" s="7" t="n">
        <v>0</v>
      </c>
      <c r="R592" s="8" t="n">
        <v>687.2341</v>
      </c>
      <c r="S592" s="4" t="inlineStr">
        <is>
          <t>NIFTY50</t>
        </is>
      </c>
      <c r="T592" s="9" t="inlineStr">
        <is>
          <t>SI</t>
        </is>
      </c>
      <c r="U592" s="9" t="inlineStr"/>
      <c r="V592" s="10">
        <f>Umbrales!$B$9*(K592/1000)^Umbrales!$B$10</f>
        <v/>
      </c>
    </row>
    <row r="593">
      <c r="A593" s="4" t="inlineStr">
        <is>
          <t>UMG.AS</t>
        </is>
      </c>
      <c r="B593" s="4" t="inlineStr">
        <is>
          <t>Universal Music Group N.V.</t>
        </is>
      </c>
      <c r="C593" s="4" t="inlineStr">
        <is>
          <t>Netherlands</t>
        </is>
      </c>
      <c r="D593" s="4" t="inlineStr">
        <is>
          <t>NL</t>
        </is>
      </c>
      <c r="E593" s="4" t="inlineStr">
        <is>
          <t>Comunicación</t>
        </is>
      </c>
      <c r="F593" s="4" t="inlineStr">
        <is>
          <t>Entertainment</t>
        </is>
      </c>
      <c r="G593" s="4" t="inlineStr">
        <is>
          <t>AMS</t>
        </is>
      </c>
      <c r="H593" s="4" t="inlineStr">
        <is>
          <t>EUR</t>
        </is>
      </c>
      <c r="I593" s="5" t="n">
        <v>27827.308544</v>
      </c>
      <c r="J593" s="6">
        <f>INDEX(FX!$B:$B,MATCH(H593,FX!$A:$A,0))</f>
        <v/>
      </c>
      <c r="K593" s="5">
        <f>I593*J593</f>
        <v/>
      </c>
      <c r="L593" s="4">
        <f>IF(U593&lt;&gt;"",U593,IF(K593&gt;=Umbrales!$B$2,"Legendaria",IF(K593&gt;=Umbrales!$B$3,"Épica",IF(K593&gt;=Umbrales!$B$4,"Rara",IF(K593&gt;=Umbrales!$B$5,"Poco común","Común")))))</f>
        <v/>
      </c>
      <c r="M593" s="5" t="n">
        <v>12819.999744</v>
      </c>
      <c r="N593" s="5" t="n">
        <v>323</v>
      </c>
      <c r="O593" s="5">
        <f>IF(M593="","",M593*J593)</f>
        <v/>
      </c>
      <c r="P593" s="5">
        <f>IF(N593="","",N593*J593)</f>
        <v/>
      </c>
      <c r="Q593" s="7" t="n">
        <v>0.0339</v>
      </c>
      <c r="R593" s="8" t="n">
        <v>85.97221999999999</v>
      </c>
      <c r="S593" s="4" t="inlineStr">
        <is>
          <t>AEX</t>
        </is>
      </c>
      <c r="T593" s="9" t="inlineStr">
        <is>
          <t>SI</t>
        </is>
      </c>
      <c r="U593" s="9" t="inlineStr"/>
      <c r="V593" s="10">
        <f>Umbrales!$B$9*(K593/1000)^Umbrales!$B$10</f>
        <v/>
      </c>
    </row>
    <row r="594">
      <c r="A594" s="4" t="inlineStr">
        <is>
          <t>BPE.MI</t>
        </is>
      </c>
      <c r="B594" s="4" t="inlineStr">
        <is>
          <t>BPER Banca SpA</t>
        </is>
      </c>
      <c r="C594" s="4" t="inlineStr">
        <is>
          <t>Italy</t>
        </is>
      </c>
      <c r="D594" s="4" t="inlineStr">
        <is>
          <t>IT</t>
        </is>
      </c>
      <c r="E594" s="4" t="inlineStr">
        <is>
          <t>Finanzas</t>
        </is>
      </c>
      <c r="F594" s="4" t="inlineStr">
        <is>
          <t>Banks - Regional</t>
        </is>
      </c>
      <c r="G594" s="4" t="inlineStr">
        <is>
          <t>MIL</t>
        </is>
      </c>
      <c r="H594" s="4" t="inlineStr">
        <is>
          <t>EUR</t>
        </is>
      </c>
      <c r="I594" s="5" t="n">
        <v>27817.275392</v>
      </c>
      <c r="J594" s="6">
        <f>INDEX(FX!$B:$B,MATCH(H594,FX!$A:$A,0))</f>
        <v/>
      </c>
      <c r="K594" s="5">
        <f>I594*J594</f>
        <v/>
      </c>
      <c r="L594" s="4">
        <f>IF(U594&lt;&gt;"",U594,IF(K594&gt;=Umbrales!$B$2,"Legendaria",IF(K594&gt;=Umbrales!$B$3,"Épica",IF(K594&gt;=Umbrales!$B$4,"Rara",IF(K594&gt;=Umbrales!$B$5,"Poco común","Común")))))</f>
        <v/>
      </c>
      <c r="M594" s="5" t="n">
        <v>6950.585856</v>
      </c>
      <c r="N594" s="5" t="n">
        <v>2191.57888</v>
      </c>
      <c r="O594" s="5">
        <f>IF(M594="","",M594*J594)</f>
        <v/>
      </c>
      <c r="P594" s="5">
        <f>IF(N594="","",N594*J594)</f>
        <v/>
      </c>
      <c r="Q594" s="7" t="n">
        <v>0.0481</v>
      </c>
      <c r="R594" s="8" t="n">
        <v>12.1109085</v>
      </c>
      <c r="S594" s="4" t="inlineStr">
        <is>
          <t>FTSEMIB</t>
        </is>
      </c>
      <c r="T594" s="9" t="inlineStr">
        <is>
          <t>SI</t>
        </is>
      </c>
      <c r="U594" s="9" t="inlineStr"/>
      <c r="V594" s="10">
        <f>Umbrales!$B$9*(K594/1000)^Umbrales!$B$10</f>
        <v/>
      </c>
    </row>
    <row r="595">
      <c r="A595" s="4" t="inlineStr">
        <is>
          <t>GEHC</t>
        </is>
      </c>
      <c r="B595" s="4" t="inlineStr">
        <is>
          <t>GE HealthCare Technologies Inc.</t>
        </is>
      </c>
      <c r="C595" s="4" t="inlineStr">
        <is>
          <t>United States</t>
        </is>
      </c>
      <c r="D595" s="4" t="inlineStr">
        <is>
          <t>US</t>
        </is>
      </c>
      <c r="E595" s="4" t="inlineStr">
        <is>
          <t>Salud</t>
        </is>
      </c>
      <c r="F595" s="4" t="inlineStr">
        <is>
          <t>Medical Devices</t>
        </is>
      </c>
      <c r="G595" s="4" t="inlineStr">
        <is>
          <t>NMS</t>
        </is>
      </c>
      <c r="H595" s="4" t="inlineStr">
        <is>
          <t>USD</t>
        </is>
      </c>
      <c r="I595" s="5" t="n">
        <v>31146.440704</v>
      </c>
      <c r="J595" s="6">
        <f>INDEX(FX!$B:$B,MATCH(H595,FX!$A:$A,0))</f>
        <v/>
      </c>
      <c r="K595" s="5">
        <f>I595*J595</f>
        <v/>
      </c>
      <c r="L595" s="4">
        <f>IF(U595&lt;&gt;"",U595,IF(K595&gt;=Umbrales!$B$2,"Legendaria",IF(K595&gt;=Umbrales!$B$3,"Épica",IF(K595&gt;=Umbrales!$B$4,"Rara",IF(K595&gt;=Umbrales!$B$5,"Poco común","Común")))))</f>
        <v/>
      </c>
      <c r="M595" s="5" t="n">
        <v>21265.999872</v>
      </c>
      <c r="N595" s="5" t="n">
        <v>1984.999936</v>
      </c>
      <c r="O595" s="5">
        <f>IF(M595="","",M595*J595)</f>
        <v/>
      </c>
      <c r="P595" s="5">
        <f>IF(N595="","",N595*J595)</f>
        <v/>
      </c>
      <c r="Q595" s="7" t="n">
        <v>0.0023</v>
      </c>
      <c r="R595" s="8" t="n">
        <v>15.812934</v>
      </c>
      <c r="S595" s="4" t="inlineStr">
        <is>
          <t>NASDAQ100, SP500</t>
        </is>
      </c>
      <c r="T595" s="9" t="inlineStr">
        <is>
          <t>SI</t>
        </is>
      </c>
      <c r="U595" s="9" t="inlineStr"/>
      <c r="V595" s="10">
        <f>Umbrales!$B$9*(K595/1000)^Umbrales!$B$10</f>
        <v/>
      </c>
    </row>
    <row r="596">
      <c r="A596" s="4" t="inlineStr">
        <is>
          <t>ZTS</t>
        </is>
      </c>
      <c r="B596" s="4" t="inlineStr">
        <is>
          <t>Zoetis Inc.</t>
        </is>
      </c>
      <c r="C596" s="4" t="inlineStr">
        <is>
          <t>United States</t>
        </is>
      </c>
      <c r="D596" s="4" t="inlineStr">
        <is>
          <t>US</t>
        </is>
      </c>
      <c r="E596" s="4" t="inlineStr">
        <is>
          <t>Salud</t>
        </is>
      </c>
      <c r="F596" s="4" t="inlineStr">
        <is>
          <t>Drug Manufacturers - Specialty &amp; Generic</t>
        </is>
      </c>
      <c r="G596" s="4" t="inlineStr">
        <is>
          <t>NYQ</t>
        </is>
      </c>
      <c r="H596" s="4" t="inlineStr">
        <is>
          <t>USD</t>
        </is>
      </c>
      <c r="I596" s="5" t="n">
        <v>31111.606272</v>
      </c>
      <c r="J596" s="6">
        <f>INDEX(FX!$B:$B,MATCH(H596,FX!$A:$A,0))</f>
        <v/>
      </c>
      <c r="K596" s="5">
        <f>I596*J596</f>
        <v/>
      </c>
      <c r="L596" s="4">
        <f>IF(U596&lt;&gt;"",U596,IF(K596&gt;=Umbrales!$B$2,"Legendaria",IF(K596&gt;=Umbrales!$B$3,"Épica",IF(K596&gt;=Umbrales!$B$4,"Rara",IF(K596&gt;=Umbrales!$B$5,"Poco común","Común")))))</f>
        <v/>
      </c>
      <c r="M596" s="5" t="n">
        <v>9525.000192</v>
      </c>
      <c r="N596" s="5" t="n">
        <v>2636.999936</v>
      </c>
      <c r="O596" s="5">
        <f>IF(M596="","",M596*J596)</f>
        <v/>
      </c>
      <c r="P596" s="5">
        <f>IF(N596="","",N596*J596)</f>
        <v/>
      </c>
      <c r="Q596" s="7" t="n">
        <v>0.0285</v>
      </c>
      <c r="R596" s="8" t="n">
        <v>12.383224</v>
      </c>
      <c r="S596" s="4" t="inlineStr">
        <is>
          <t>SP500</t>
        </is>
      </c>
      <c r="T596" s="9" t="inlineStr">
        <is>
          <t>SI</t>
        </is>
      </c>
      <c r="U596" s="9" t="inlineStr"/>
      <c r="V596" s="10">
        <f>Umbrales!$B$9*(K596/1000)^Umbrales!$B$10</f>
        <v/>
      </c>
    </row>
    <row r="597">
      <c r="A597" s="4" t="inlineStr">
        <is>
          <t>LDO.MI</t>
        </is>
      </c>
      <c r="B597" s="4" t="inlineStr">
        <is>
          <t>Leonardo S.p.a.</t>
        </is>
      </c>
      <c r="C597" s="4" t="inlineStr">
        <is>
          <t>Italy</t>
        </is>
      </c>
      <c r="D597" s="4" t="inlineStr">
        <is>
          <t>IT</t>
        </is>
      </c>
      <c r="E597" s="4" t="inlineStr">
        <is>
          <t>Industria</t>
        </is>
      </c>
      <c r="F597" s="4" t="inlineStr">
        <is>
          <t>Aerospace &amp; Defense</t>
        </is>
      </c>
      <c r="G597" s="4" t="inlineStr">
        <is>
          <t>MIL</t>
        </is>
      </c>
      <c r="H597" s="4" t="inlineStr">
        <is>
          <t>EUR</t>
        </is>
      </c>
      <c r="I597" s="5" t="n">
        <v>27674.738688</v>
      </c>
      <c r="J597" s="6">
        <f>INDEX(FX!$B:$B,MATCH(H597,FX!$A:$A,0))</f>
        <v/>
      </c>
      <c r="K597" s="5">
        <f>I597*J597</f>
        <v/>
      </c>
      <c r="L597" s="4">
        <f>IF(U597&lt;&gt;"",U597,IF(K597&gt;=Umbrales!$B$2,"Legendaria",IF(K597&gt;=Umbrales!$B$3,"Épica",IF(K597&gt;=Umbrales!$B$4,"Rara",IF(K597&gt;=Umbrales!$B$5,"Poco común","Común")))))</f>
        <v/>
      </c>
      <c r="M597" s="5" t="n">
        <v>20586.999808</v>
      </c>
      <c r="N597" s="5" t="n">
        <v>1126</v>
      </c>
      <c r="O597" s="5">
        <f>IF(M597="","",M597*J597)</f>
        <v/>
      </c>
      <c r="P597" s="5">
        <f>IF(N597="","",N597*J597)</f>
        <v/>
      </c>
      <c r="Q597" s="7" t="n">
        <v>0.0134</v>
      </c>
      <c r="R597" s="8" t="n">
        <v>23.635468</v>
      </c>
      <c r="S597" s="4" t="inlineStr">
        <is>
          <t>FTSEMIB</t>
        </is>
      </c>
      <c r="T597" s="9" t="inlineStr">
        <is>
          <t>SI</t>
        </is>
      </c>
      <c r="U597" s="9" t="inlineStr"/>
      <c r="V597" s="10">
        <f>Umbrales!$B$9*(K597/1000)^Umbrales!$B$10</f>
        <v/>
      </c>
    </row>
    <row r="598">
      <c r="A598" s="4" t="inlineStr">
        <is>
          <t>HBAN</t>
        </is>
      </c>
      <c r="B598" s="4" t="inlineStr">
        <is>
          <t>Huntington Bancshares Incorporated</t>
        </is>
      </c>
      <c r="C598" s="4" t="inlineStr">
        <is>
          <t>United States</t>
        </is>
      </c>
      <c r="D598" s="4" t="inlineStr">
        <is>
          <t>US</t>
        </is>
      </c>
      <c r="E598" s="4" t="inlineStr">
        <is>
          <t>Finanzas</t>
        </is>
      </c>
      <c r="F598" s="4" t="inlineStr">
        <is>
          <t>Banks - Regional</t>
        </is>
      </c>
      <c r="G598" s="4" t="inlineStr">
        <is>
          <t>NMS</t>
        </is>
      </c>
      <c r="H598" s="4" t="inlineStr">
        <is>
          <t>USD</t>
        </is>
      </c>
      <c r="I598" s="5" t="n">
        <v>30983.061504</v>
      </c>
      <c r="J598" s="6">
        <f>INDEX(FX!$B:$B,MATCH(H598,FX!$A:$A,0))</f>
        <v/>
      </c>
      <c r="K598" s="5">
        <f>I598*J598</f>
        <v/>
      </c>
      <c r="L598" s="4">
        <f>IF(U598&lt;&gt;"",U598,IF(K598&gt;=Umbrales!$B$2,"Legendaria",IF(K598&gt;=Umbrales!$B$3,"Épica",IF(K598&gt;=Umbrales!$B$4,"Rara",IF(K598&gt;=Umbrales!$B$5,"Poco común","Común")))))</f>
        <v/>
      </c>
      <c r="M598" s="5" t="n">
        <v>9176.999936</v>
      </c>
      <c r="N598" s="5" t="n">
        <v>2246.000128</v>
      </c>
      <c r="O598" s="5">
        <f>IF(M598="","",M598*J598)</f>
        <v/>
      </c>
      <c r="P598" s="5">
        <f>IF(N598="","",N598*J598)</f>
        <v/>
      </c>
      <c r="Q598" s="7" t="n">
        <v>0.0407</v>
      </c>
      <c r="R598" s="8" t="n">
        <v>11.796154</v>
      </c>
      <c r="S598" s="4" t="inlineStr">
        <is>
          <t>SP500</t>
        </is>
      </c>
      <c r="T598" s="9" t="inlineStr">
        <is>
          <t>SI</t>
        </is>
      </c>
      <c r="U598" s="9" t="inlineStr"/>
      <c r="V598" s="10">
        <f>Umbrales!$B$9*(K598/1000)^Umbrales!$B$10</f>
        <v/>
      </c>
    </row>
    <row r="599">
      <c r="A599" s="4" t="inlineStr">
        <is>
          <t>SLHN.SW</t>
        </is>
      </c>
      <c r="B599" s="4" t="inlineStr">
        <is>
          <t>Swiss Life Holding AG</t>
        </is>
      </c>
      <c r="C599" s="4" t="inlineStr">
        <is>
          <t>Switzerland</t>
        </is>
      </c>
      <c r="D599" s="4" t="inlineStr">
        <is>
          <t>CH</t>
        </is>
      </c>
      <c r="E599" s="4" t="inlineStr">
        <is>
          <t>Finanzas</t>
        </is>
      </c>
      <c r="F599" s="4" t="inlineStr">
        <is>
          <t>Insurance - Diversified</t>
        </is>
      </c>
      <c r="G599" s="4" t="inlineStr">
        <is>
          <t>EBS</t>
        </is>
      </c>
      <c r="H599" s="4" t="inlineStr">
        <is>
          <t>CHF</t>
        </is>
      </c>
      <c r="I599" s="5" t="n">
        <v>25670.733824</v>
      </c>
      <c r="J599" s="6">
        <f>INDEX(FX!$B:$B,MATCH(H599,FX!$A:$A,0))</f>
        <v/>
      </c>
      <c r="K599" s="5">
        <f>I599*J599</f>
        <v/>
      </c>
      <c r="L599" s="4">
        <f>IF(U599&lt;&gt;"",U599,IF(K599&gt;=Umbrales!$B$2,"Legendaria",IF(K599&gt;=Umbrales!$B$3,"Épica",IF(K599&gt;=Umbrales!$B$4,"Rara",IF(K599&gt;=Umbrales!$B$5,"Poco común","Común")))))</f>
        <v/>
      </c>
      <c r="M599" s="5" t="n">
        <v>11905.999872</v>
      </c>
      <c r="N599" s="5" t="n">
        <v>1288.999936</v>
      </c>
      <c r="O599" s="5">
        <f>IF(M599="","",M599*J599)</f>
        <v/>
      </c>
      <c r="P599" s="5">
        <f>IF(N599="","",N599*J599)</f>
        <v/>
      </c>
      <c r="Q599" s="7" t="n">
        <v>0.04019999999999999</v>
      </c>
      <c r="R599" s="8" t="n">
        <v>20.004356</v>
      </c>
      <c r="S599" s="4" t="inlineStr">
        <is>
          <t>SMI</t>
        </is>
      </c>
      <c r="T599" s="9" t="inlineStr">
        <is>
          <t>SI</t>
        </is>
      </c>
      <c r="U599" s="9" t="inlineStr"/>
      <c r="V599" s="10">
        <f>Umbrales!$B$9*(K599/1000)^Umbrales!$B$10</f>
        <v/>
      </c>
    </row>
    <row r="600">
      <c r="A600" s="4" t="inlineStr">
        <is>
          <t>IFC.TO</t>
        </is>
      </c>
      <c r="B600" s="4" t="inlineStr">
        <is>
          <t>Intact Financial Corporation</t>
        </is>
      </c>
      <c r="C600" s="4" t="inlineStr">
        <is>
          <t>Canada</t>
        </is>
      </c>
      <c r="D600" s="4" t="inlineStr">
        <is>
          <t>CA</t>
        </is>
      </c>
      <c r="E600" s="4" t="inlineStr">
        <is>
          <t>Finanzas</t>
        </is>
      </c>
      <c r="F600" s="4" t="inlineStr">
        <is>
          <t>Insurance - Property &amp; Casualty</t>
        </is>
      </c>
      <c r="G600" s="4" t="inlineStr">
        <is>
          <t>TOR</t>
        </is>
      </c>
      <c r="H600" s="4" t="inlineStr">
        <is>
          <t>CAD</t>
        </is>
      </c>
      <c r="I600" s="5" t="n">
        <v>43924.97152</v>
      </c>
      <c r="J600" s="6">
        <f>INDEX(FX!$B:$B,MATCH(H600,FX!$A:$A,0))</f>
        <v/>
      </c>
      <c r="K600" s="5">
        <f>I600*J600</f>
        <v/>
      </c>
      <c r="L600" s="4">
        <f>IF(U600&lt;&gt;"",U600,IF(K600&gt;=Umbrales!$B$2,"Legendaria",IF(K600&gt;=Umbrales!$B$3,"Épica",IF(K600&gt;=Umbrales!$B$4,"Rara",IF(K600&gt;=Umbrales!$B$5,"Poco común","Común")))))</f>
        <v/>
      </c>
      <c r="M600" s="5" t="n">
        <v>26585.99936</v>
      </c>
      <c r="N600" s="5" t="n">
        <v>3199.000064</v>
      </c>
      <c r="O600" s="5">
        <f>IF(M600="","",M600*J600)</f>
        <v/>
      </c>
      <c r="P600" s="5">
        <f>IF(N600="","",N600*J600)</f>
        <v/>
      </c>
      <c r="Q600" s="7" t="n">
        <v>0.024</v>
      </c>
      <c r="R600" s="8" t="n">
        <v>13.811007</v>
      </c>
      <c r="S600" s="4" t="inlineStr">
        <is>
          <t>TSX60</t>
        </is>
      </c>
      <c r="T600" s="9" t="inlineStr">
        <is>
          <t>SI</t>
        </is>
      </c>
      <c r="U600" s="9" t="inlineStr"/>
      <c r="V600" s="10">
        <f>Umbrales!$B$9*(K600/1000)^Umbrales!$B$10</f>
        <v/>
      </c>
    </row>
    <row r="601">
      <c r="A601" s="4" t="inlineStr">
        <is>
          <t>JSWSTEEL.NS</t>
        </is>
      </c>
      <c r="B601" s="4" t="inlineStr">
        <is>
          <t>JSW Steel Limited</t>
        </is>
      </c>
      <c r="C601" s="4" t="inlineStr">
        <is>
          <t>India</t>
        </is>
      </c>
      <c r="D601" s="4" t="inlineStr">
        <is>
          <t>IN</t>
        </is>
      </c>
      <c r="E601" s="4" t="inlineStr">
        <is>
          <t>Materiales</t>
        </is>
      </c>
      <c r="F601" s="4" t="inlineStr">
        <is>
          <t>Steel</t>
        </is>
      </c>
      <c r="G601" s="4" t="inlineStr">
        <is>
          <t>NSI</t>
        </is>
      </c>
      <c r="H601" s="4" t="inlineStr">
        <is>
          <t>INR</t>
        </is>
      </c>
      <c r="I601" s="5" t="n">
        <v>2930150.211584</v>
      </c>
      <c r="J601" s="6">
        <f>INDEX(FX!$B:$B,MATCH(H601,FX!$A:$A,0))</f>
        <v/>
      </c>
      <c r="K601" s="5">
        <f>I601*J601</f>
        <v/>
      </c>
      <c r="L601" s="4">
        <f>IF(U601&lt;&gt;"",U601,IF(K601&gt;=Umbrales!$B$2,"Legendaria",IF(K601&gt;=Umbrales!$B$3,"Épica",IF(K601&gt;=Umbrales!$B$4,"Rara",IF(K601&gt;=Umbrales!$B$5,"Poco común","Común")))))</f>
        <v/>
      </c>
      <c r="M601" s="5" t="n">
        <v>1896870.05184</v>
      </c>
      <c r="N601" s="5" t="n">
        <v>247830.003712</v>
      </c>
      <c r="O601" s="5">
        <f>IF(M601="","",M601*J601)</f>
        <v/>
      </c>
      <c r="P601" s="5">
        <f>IF(N601="","",N601*J601)</f>
        <v/>
      </c>
      <c r="Q601" s="7" t="n">
        <v>0.006</v>
      </c>
      <c r="R601" s="8" t="n">
        <v>11.844105</v>
      </c>
      <c r="S601" s="4" t="inlineStr">
        <is>
          <t>NIFTY50</t>
        </is>
      </c>
      <c r="T601" s="9" t="inlineStr">
        <is>
          <t>SI</t>
        </is>
      </c>
      <c r="U601" s="9" t="inlineStr"/>
      <c r="V601" s="10">
        <f>Umbrales!$B$9*(K601/1000)^Umbrales!$B$10</f>
        <v/>
      </c>
    </row>
    <row r="602">
      <c r="A602" s="4" t="inlineStr">
        <is>
          <t>ADS.DE</t>
        </is>
      </c>
      <c r="B602" s="4" t="inlineStr">
        <is>
          <t>adidas AG</t>
        </is>
      </c>
      <c r="C602" s="4" t="inlineStr">
        <is>
          <t>Germany</t>
        </is>
      </c>
      <c r="D602" s="4" t="inlineStr">
        <is>
          <t>DE</t>
        </is>
      </c>
      <c r="E602" s="4" t="inlineStr">
        <is>
          <t>Consumo cíclico</t>
        </is>
      </c>
      <c r="F602" s="4" t="inlineStr">
        <is>
          <t>Footwear &amp; Accessories</t>
        </is>
      </c>
      <c r="G602" s="4" t="inlineStr">
        <is>
          <t>GER</t>
        </is>
      </c>
      <c r="H602" s="4" t="inlineStr">
        <is>
          <t>EUR</t>
        </is>
      </c>
      <c r="I602" s="5" t="n">
        <v>27327.315968</v>
      </c>
      <c r="J602" s="6">
        <f>INDEX(FX!$B:$B,MATCH(H602,FX!$A:$A,0))</f>
        <v/>
      </c>
      <c r="K602" s="5">
        <f>I602*J602</f>
        <v/>
      </c>
      <c r="L602" s="4">
        <f>IF(U602&lt;&gt;"",U602,IF(K602&gt;=Umbrales!$B$2,"Legendaria",IF(K602&gt;=Umbrales!$B$3,"Épica",IF(K602&gt;=Umbrales!$B$4,"Rara",IF(K602&gt;=Umbrales!$B$5,"Poco común","Común")))))</f>
        <v/>
      </c>
      <c r="M602" s="5" t="n">
        <v>26040.999936</v>
      </c>
      <c r="N602" s="5" t="n">
        <v>1380.999936</v>
      </c>
      <c r="O602" s="5">
        <f>IF(M602="","",M602*J602)</f>
        <v/>
      </c>
      <c r="P602" s="5">
        <f>IF(N602="","",N602*J602)</f>
        <v/>
      </c>
      <c r="Q602" s="7" t="n">
        <v>0.0191</v>
      </c>
      <c r="R602" s="8" t="n">
        <v>19.153376</v>
      </c>
      <c r="S602" s="4" t="inlineStr">
        <is>
          <t>DAX40, EUROSTOXX50</t>
        </is>
      </c>
      <c r="T602" s="9" t="inlineStr">
        <is>
          <t>SI</t>
        </is>
      </c>
      <c r="U602" s="9" t="inlineStr"/>
      <c r="V602" s="10">
        <f>Umbrales!$B$9*(K602/1000)^Umbrales!$B$10</f>
        <v/>
      </c>
    </row>
    <row r="603">
      <c r="A603" s="4" t="inlineStr">
        <is>
          <t>SHB-A.ST</t>
        </is>
      </c>
      <c r="B603" s="4" t="inlineStr">
        <is>
          <t>Svenska Handelsbanken AB (publ)</t>
        </is>
      </c>
      <c r="C603" s="4" t="inlineStr">
        <is>
          <t>Sweden</t>
        </is>
      </c>
      <c r="D603" s="4" t="inlineStr">
        <is>
          <t>SE</t>
        </is>
      </c>
      <c r="E603" s="4" t="inlineStr">
        <is>
          <t>Finanzas</t>
        </is>
      </c>
      <c r="F603" s="4" t="inlineStr">
        <is>
          <t>Banks - Diversified</t>
        </is>
      </c>
      <c r="G603" s="4" t="inlineStr">
        <is>
          <t>STO</t>
        </is>
      </c>
      <c r="H603" s="4" t="inlineStr">
        <is>
          <t>SEK</t>
        </is>
      </c>
      <c r="I603" s="5" t="n">
        <v>304624.205824</v>
      </c>
      <c r="J603" s="6">
        <f>INDEX(FX!$B:$B,MATCH(H603,FX!$A:$A,0))</f>
        <v/>
      </c>
      <c r="K603" s="5">
        <f>I603*J603</f>
        <v/>
      </c>
      <c r="L603" s="4">
        <f>IF(U603&lt;&gt;"",U603,IF(K603&gt;=Umbrales!$B$2,"Legendaria",IF(K603&gt;=Umbrales!$B$3,"Épica",IF(K603&gt;=Umbrales!$B$4,"Rara",IF(K603&gt;=Umbrales!$B$5,"Poco común","Común")))))</f>
        <v/>
      </c>
      <c r="M603" s="5" t="n">
        <v>55193.001984</v>
      </c>
      <c r="N603" s="5" t="n">
        <v>23768.999936</v>
      </c>
      <c r="O603" s="5">
        <f>IF(M603="","",M603*J603)</f>
        <v/>
      </c>
      <c r="P603" s="5">
        <f>IF(N603="","",N603*J603)</f>
        <v/>
      </c>
      <c r="Q603" s="7" t="n">
        <v>0.0522</v>
      </c>
      <c r="R603" s="8" t="n">
        <v>12.67306</v>
      </c>
      <c r="S603" s="4" t="inlineStr">
        <is>
          <t>OMXS30</t>
        </is>
      </c>
      <c r="T603" s="9" t="inlineStr">
        <is>
          <t>SI</t>
        </is>
      </c>
      <c r="U603" s="9" t="inlineStr"/>
      <c r="V603" s="10">
        <f>Umbrales!$B$9*(K603/1000)^Umbrales!$B$10</f>
        <v/>
      </c>
    </row>
    <row r="604">
      <c r="A604" s="4" t="inlineStr">
        <is>
          <t>EXR</t>
        </is>
      </c>
      <c r="B604" s="4" t="inlineStr">
        <is>
          <t>Extra Space Storage Inc.</t>
        </is>
      </c>
      <c r="C604" s="4" t="inlineStr">
        <is>
          <t>United States</t>
        </is>
      </c>
      <c r="D604" s="4" t="inlineStr">
        <is>
          <t>US</t>
        </is>
      </c>
      <c r="E604" s="4" t="inlineStr">
        <is>
          <t>Inmobiliario</t>
        </is>
      </c>
      <c r="F604" s="4" t="inlineStr">
        <is>
          <t>REIT - Industrial</t>
        </is>
      </c>
      <c r="G604" s="4" t="inlineStr">
        <is>
          <t>NYQ</t>
        </is>
      </c>
      <c r="H604" s="4" t="inlineStr">
        <is>
          <t>USD</t>
        </is>
      </c>
      <c r="I604" s="5" t="n">
        <v>30344.394752</v>
      </c>
      <c r="J604" s="6">
        <f>INDEX(FX!$B:$B,MATCH(H604,FX!$A:$A,0))</f>
        <v/>
      </c>
      <c r="K604" s="5">
        <f>I604*J604</f>
        <v/>
      </c>
      <c r="L604" s="4">
        <f>IF(U604&lt;&gt;"",U604,IF(K604&gt;=Umbrales!$B$2,"Legendaria",IF(K604&gt;=Umbrales!$B$3,"Épica",IF(K604&gt;=Umbrales!$B$4,"Rara",IF(K604&gt;=Umbrales!$B$5,"Poco común","Común")))))</f>
        <v/>
      </c>
      <c r="M604" s="5" t="n">
        <v>3511.115008</v>
      </c>
      <c r="N604" s="5" t="n">
        <v>956.073984</v>
      </c>
      <c r="O604" s="5">
        <f>IF(M604="","",M604*J604)</f>
        <v/>
      </c>
      <c r="P604" s="5">
        <f>IF(N604="","",N604*J604)</f>
        <v/>
      </c>
      <c r="Q604" s="7" t="n">
        <v>0.04849999999999999</v>
      </c>
      <c r="R604" s="8" t="n">
        <v>30.284142</v>
      </c>
      <c r="S604" s="4" t="inlineStr">
        <is>
          <t>SP500</t>
        </is>
      </c>
      <c r="T604" s="9" t="inlineStr">
        <is>
          <t>SI</t>
        </is>
      </c>
      <c r="U604" s="9" t="inlineStr"/>
      <c r="V604" s="10">
        <f>Umbrales!$B$9*(K604/1000)^Umbrales!$B$10</f>
        <v/>
      </c>
    </row>
    <row r="605">
      <c r="A605" s="4" t="inlineStr">
        <is>
          <t>IR</t>
        </is>
      </c>
      <c r="B605" s="4" t="inlineStr">
        <is>
          <t>Ingersoll Rand Inc.</t>
        </is>
      </c>
      <c r="C605" s="4" t="inlineStr">
        <is>
          <t>United States</t>
        </is>
      </c>
      <c r="D605" s="4" t="inlineStr">
        <is>
          <t>US</t>
        </is>
      </c>
      <c r="E605" s="4" t="inlineStr">
        <is>
          <t>Industria</t>
        </is>
      </c>
      <c r="F605" s="4" t="inlineStr">
        <is>
          <t>Specialty Industrial Machinery</t>
        </is>
      </c>
      <c r="G605" s="4" t="inlineStr">
        <is>
          <t>NYQ</t>
        </is>
      </c>
      <c r="H605" s="4" t="inlineStr">
        <is>
          <t>USD</t>
        </is>
      </c>
      <c r="I605" s="5" t="n">
        <v>30165.016576</v>
      </c>
      <c r="J605" s="6">
        <f>INDEX(FX!$B:$B,MATCH(H605,FX!$A:$A,0))</f>
        <v/>
      </c>
      <c r="K605" s="5">
        <f>I605*J605</f>
        <v/>
      </c>
      <c r="L605" s="4">
        <f>IF(U605&lt;&gt;"",U605,IF(K605&gt;=Umbrales!$B$2,"Legendaria",IF(K605&gt;=Umbrales!$B$3,"Épica",IF(K605&gt;=Umbrales!$B$4,"Rara",IF(K605&gt;=Umbrales!$B$5,"Poco común","Común")))))</f>
        <v/>
      </c>
      <c r="M605" s="5" t="n">
        <v>7942.199808</v>
      </c>
      <c r="N605" s="5" t="n">
        <v>959.1000320000001</v>
      </c>
      <c r="O605" s="5">
        <f>IF(M605="","",M605*J605)</f>
        <v/>
      </c>
      <c r="P605" s="5">
        <f>IF(N605="","",N605*J605)</f>
        <v/>
      </c>
      <c r="Q605" s="7" t="n">
        <v>0.001</v>
      </c>
      <c r="R605" s="8" t="n">
        <v>32.39375</v>
      </c>
      <c r="S605" s="4" t="inlineStr">
        <is>
          <t>SP500</t>
        </is>
      </c>
      <c r="T605" s="9" t="inlineStr">
        <is>
          <t>SI</t>
        </is>
      </c>
      <c r="U605" s="9" t="inlineStr"/>
      <c r="V605" s="10">
        <f>Umbrales!$B$9*(K605/1000)^Umbrales!$B$10</f>
        <v/>
      </c>
    </row>
    <row r="606">
      <c r="A606" s="4" t="inlineStr">
        <is>
          <t>RJF</t>
        </is>
      </c>
      <c r="B606" s="4" t="inlineStr">
        <is>
          <t>Raymond James Financial, Inc.</t>
        </is>
      </c>
      <c r="C606" s="4" t="inlineStr">
        <is>
          <t>United States</t>
        </is>
      </c>
      <c r="D606" s="4" t="inlineStr">
        <is>
          <t>US</t>
        </is>
      </c>
      <c r="E606" s="4" t="inlineStr">
        <is>
          <t>Finanzas</t>
        </is>
      </c>
      <c r="F606" s="4" t="inlineStr">
        <is>
          <t>Asset Management</t>
        </is>
      </c>
      <c r="G606" s="4" t="inlineStr">
        <is>
          <t>NYQ</t>
        </is>
      </c>
      <c r="H606" s="4" t="inlineStr">
        <is>
          <t>USD</t>
        </is>
      </c>
      <c r="I606" s="5" t="n">
        <v>30081.52576</v>
      </c>
      <c r="J606" s="6">
        <f>INDEX(FX!$B:$B,MATCH(H606,FX!$A:$A,0))</f>
        <v/>
      </c>
      <c r="K606" s="5">
        <f>I606*J606</f>
        <v/>
      </c>
      <c r="L606" s="4">
        <f>IF(U606&lt;&gt;"",U606,IF(K606&gt;=Umbrales!$B$2,"Legendaria",IF(K606&gt;=Umbrales!$B$3,"Épica",IF(K606&gt;=Umbrales!$B$4,"Rara",IF(K606&gt;=Umbrales!$B$5,"Poco común","Común")))))</f>
        <v/>
      </c>
      <c r="M606" s="5" t="n">
        <v>15239.999488</v>
      </c>
      <c r="N606" s="5" t="n">
        <v>2299.000064</v>
      </c>
      <c r="O606" s="5">
        <f>IF(M606="","",M606*J606)</f>
        <v/>
      </c>
      <c r="P606" s="5">
        <f>IF(N606="","",N606*J606)</f>
        <v/>
      </c>
      <c r="Q606" s="7" t="n">
        <v>0.0138</v>
      </c>
      <c r="R606" s="8" t="n">
        <v>13.586447</v>
      </c>
      <c r="S606" s="4" t="inlineStr">
        <is>
          <t>SP500</t>
        </is>
      </c>
      <c r="T606" s="9" t="inlineStr">
        <is>
          <t>SI</t>
        </is>
      </c>
      <c r="U606" s="9" t="inlineStr"/>
      <c r="V606" s="10">
        <f>Umbrales!$B$9*(K606/1000)^Umbrales!$B$10</f>
        <v/>
      </c>
    </row>
    <row r="607">
      <c r="A607" s="4" t="inlineStr">
        <is>
          <t>BAJAJ-AUTO.NS</t>
        </is>
      </c>
      <c r="B607" s="4" t="inlineStr">
        <is>
          <t>Bajaj Auto Limited</t>
        </is>
      </c>
      <c r="C607" s="4" t="inlineStr">
        <is>
          <t>India</t>
        </is>
      </c>
      <c r="D607" s="4" t="inlineStr">
        <is>
          <t>IN</t>
        </is>
      </c>
      <c r="E607" s="4" t="inlineStr">
        <is>
          <t>Consumo cíclico</t>
        </is>
      </c>
      <c r="F607" s="4" t="inlineStr">
        <is>
          <t>Auto Manufacturers</t>
        </is>
      </c>
      <c r="G607" s="4" t="inlineStr">
        <is>
          <t>NSI</t>
        </is>
      </c>
      <c r="H607" s="4" t="inlineStr">
        <is>
          <t>INR</t>
        </is>
      </c>
      <c r="I607" s="5" t="n">
        <v>2851489.71008</v>
      </c>
      <c r="J607" s="6">
        <f>INDEX(FX!$B:$B,MATCH(H607,FX!$A:$A,0))</f>
        <v/>
      </c>
      <c r="K607" s="5">
        <f>I607*J607</f>
        <v/>
      </c>
      <c r="L607" s="4">
        <f>IF(U607&lt;&gt;"",U607,IF(K607&gt;=Umbrales!$B$2,"Legendaria",IF(K607&gt;=Umbrales!$B$3,"Épica",IF(K607&gt;=Umbrales!$B$4,"Rara",IF(K607&gt;=Umbrales!$B$5,"Poco común","Común")))))</f>
        <v/>
      </c>
      <c r="M607" s="5" t="n">
        <v>723617.71008</v>
      </c>
      <c r="N607" s="5" t="n">
        <v>117593.997312</v>
      </c>
      <c r="O607" s="5">
        <f>IF(M607="","",M607*J607)</f>
        <v/>
      </c>
      <c r="P607" s="5">
        <f>IF(N607="","",N607*J607)</f>
        <v/>
      </c>
      <c r="Q607" s="7" t="n">
        <v>0.0146</v>
      </c>
      <c r="R607" s="8" t="n">
        <v>24.696789</v>
      </c>
      <c r="S607" s="4" t="inlineStr">
        <is>
          <t>NIFTY50</t>
        </is>
      </c>
      <c r="T607" s="9" t="inlineStr">
        <is>
          <t>SI</t>
        </is>
      </c>
      <c r="U607" s="9" t="inlineStr"/>
      <c r="V607" s="10">
        <f>Umbrales!$B$9*(K607/1000)^Umbrales!$B$10</f>
        <v/>
      </c>
    </row>
    <row r="608">
      <c r="A608" s="4" t="inlineStr">
        <is>
          <t>RDDT</t>
        </is>
      </c>
      <c r="B608" s="4" t="inlineStr">
        <is>
          <t>Reddit, Inc.</t>
        </is>
      </c>
      <c r="C608" s="4" t="inlineStr">
        <is>
          <t>United States</t>
        </is>
      </c>
      <c r="D608" s="4" t="inlineStr">
        <is>
          <t>US</t>
        </is>
      </c>
      <c r="E608" s="4" t="inlineStr">
        <is>
          <t>Comunicación</t>
        </is>
      </c>
      <c r="F608" s="4" t="inlineStr">
        <is>
          <t>Internet Content &amp; Information</t>
        </is>
      </c>
      <c r="G608" s="4" t="inlineStr">
        <is>
          <t>NYQ</t>
        </is>
      </c>
      <c r="H608" s="4" t="inlineStr">
        <is>
          <t>USD</t>
        </is>
      </c>
      <c r="I608" s="5" t="n">
        <v>29906.11456</v>
      </c>
      <c r="J608" s="6">
        <f>INDEX(FX!$B:$B,MATCH(H608,FX!$A:$A,0))</f>
        <v/>
      </c>
      <c r="K608" s="5">
        <f>I608*J608</f>
        <v/>
      </c>
      <c r="L608" s="4">
        <f>IF(U608&lt;&gt;"",U608,IF(K608&gt;=Umbrales!$B$2,"Legendaria",IF(K608&gt;=Umbrales!$B$3,"Épica",IF(K608&gt;=Umbrales!$B$4,"Rara",IF(K608&gt;=Umbrales!$B$5,"Poco común","Común")))))</f>
        <v/>
      </c>
      <c r="M608" s="5" t="n">
        <v>2778.83392</v>
      </c>
      <c r="N608" s="5" t="n">
        <v>871.094976</v>
      </c>
      <c r="O608" s="5">
        <f>IF(M608="","",M608*J608)</f>
        <v/>
      </c>
      <c r="P608" s="5">
        <f>IF(N608="","",N608*J608)</f>
        <v/>
      </c>
      <c r="Q608" s="7" t="n">
        <v>0</v>
      </c>
      <c r="R608" s="8" t="n">
        <v>37.81995</v>
      </c>
      <c r="S608" s="4" t="inlineStr">
        <is>
          <t>SP500</t>
        </is>
      </c>
      <c r="T608" s="9" t="inlineStr">
        <is>
          <t>SI</t>
        </is>
      </c>
      <c r="U608" s="9" t="inlineStr"/>
      <c r="V608" s="10">
        <f>Umbrales!$B$9*(K608/1000)^Umbrales!$B$10</f>
        <v/>
      </c>
    </row>
    <row r="609">
      <c r="A609" s="4" t="inlineStr">
        <is>
          <t>0669.HK</t>
        </is>
      </c>
      <c r="B609" s="4" t="inlineStr">
        <is>
          <t>Techtronic Industries Company Limited</t>
        </is>
      </c>
      <c r="C609" s="4" t="inlineStr">
        <is>
          <t>Hong Kong</t>
        </is>
      </c>
      <c r="D609" s="4" t="inlineStr">
        <is>
          <t>HK</t>
        </is>
      </c>
      <c r="E609" s="4" t="inlineStr">
        <is>
          <t>Industria</t>
        </is>
      </c>
      <c r="F609" s="4" t="inlineStr">
        <is>
          <t>Tools &amp; Accessories</t>
        </is>
      </c>
      <c r="G609" s="4" t="inlineStr">
        <is>
          <t>HKG</t>
        </is>
      </c>
      <c r="H609" s="4" t="inlineStr">
        <is>
          <t>HKD</t>
        </is>
      </c>
      <c r="I609" s="5" t="n">
        <v>233804.742656</v>
      </c>
      <c r="J609" s="6">
        <f>INDEX(FX!$B:$B,MATCH(H609,FX!$A:$A,0))</f>
        <v/>
      </c>
      <c r="K609" s="5">
        <f>I609*J609</f>
        <v/>
      </c>
      <c r="L609" s="4">
        <f>IF(U609&lt;&gt;"",U609,IF(K609&gt;=Umbrales!$B$2,"Legendaria",IF(K609&gt;=Umbrales!$B$3,"Épica",IF(K609&gt;=Umbrales!$B$4,"Rara",IF(K609&gt;=Umbrales!$B$5,"Poco común","Común")))))</f>
        <v/>
      </c>
      <c r="M609" s="5" t="n">
        <v>15718.05696</v>
      </c>
      <c r="N609" s="5" t="n">
        <v>1308.361984</v>
      </c>
      <c r="O609" s="5">
        <f>IF(M609="","",M609*J609)</f>
        <v/>
      </c>
      <c r="P609" s="5">
        <f>IF(N609="","",N609*J609)</f>
        <v/>
      </c>
      <c r="Q609" s="7" t="n">
        <v>0.0231</v>
      </c>
      <c r="R609" s="8" t="n">
        <v>22.956991</v>
      </c>
      <c r="S609" s="4" t="inlineStr">
        <is>
          <t>HANGSENG</t>
        </is>
      </c>
      <c r="T609" s="9" t="inlineStr">
        <is>
          <t>SI</t>
        </is>
      </c>
      <c r="U609" s="9" t="inlineStr"/>
      <c r="V609" s="10">
        <f>Umbrales!$B$9*(K609/1000)^Umbrales!$B$10</f>
        <v/>
      </c>
    </row>
    <row r="610">
      <c r="A610" s="4" t="inlineStr">
        <is>
          <t>NTRS</t>
        </is>
      </c>
      <c r="B610" s="4" t="inlineStr">
        <is>
          <t>Northern Trust Corporation</t>
        </is>
      </c>
      <c r="C610" s="4" t="inlineStr">
        <is>
          <t>United States</t>
        </is>
      </c>
      <c r="D610" s="4" t="inlineStr">
        <is>
          <t>US</t>
        </is>
      </c>
      <c r="E610" s="4" t="inlineStr">
        <is>
          <t>Finanzas</t>
        </is>
      </c>
      <c r="F610" s="4" t="inlineStr">
        <is>
          <t>Asset Management</t>
        </is>
      </c>
      <c r="G610" s="4" t="inlineStr">
        <is>
          <t>NMS</t>
        </is>
      </c>
      <c r="H610" s="4" t="inlineStr">
        <is>
          <t>USD</t>
        </is>
      </c>
      <c r="I610" s="5" t="n">
        <v>29737.609216</v>
      </c>
      <c r="J610" s="6">
        <f>INDEX(FX!$B:$B,MATCH(H610,FX!$A:$A,0))</f>
        <v/>
      </c>
      <c r="K610" s="5">
        <f>I610*J610</f>
        <v/>
      </c>
      <c r="L610" s="4">
        <f>IF(U610&lt;&gt;"",U610,IF(K610&gt;=Umbrales!$B$2,"Legendaria",IF(K610&gt;=Umbrales!$B$3,"Épica",IF(K610&gt;=Umbrales!$B$4,"Rara",IF(K610&gt;=Umbrales!$B$5,"Poco común","Común")))))</f>
        <v/>
      </c>
      <c r="M610" s="5" t="n">
        <v>9085.500416000001</v>
      </c>
      <c r="N610" s="5" t="n">
        <v>2181.299968</v>
      </c>
      <c r="O610" s="5">
        <f>IF(M610="","",M610*J610)</f>
        <v/>
      </c>
      <c r="P610" s="5">
        <f>IF(N610="","",N610*J610)</f>
        <v/>
      </c>
      <c r="Q610" s="7" t="n">
        <v>0.0196</v>
      </c>
      <c r="R610" s="8" t="n">
        <v>14.371351</v>
      </c>
      <c r="S610" s="4" t="inlineStr">
        <is>
          <t>SP500</t>
        </is>
      </c>
      <c r="T610" s="9" t="inlineStr">
        <is>
          <t>SI</t>
        </is>
      </c>
      <c r="U610" s="9" t="inlineStr"/>
      <c r="V610" s="10">
        <f>Umbrales!$B$9*(K610/1000)^Umbrales!$B$10</f>
        <v/>
      </c>
    </row>
    <row r="611">
      <c r="A611" s="4" t="inlineStr">
        <is>
          <t>ONGC.NS</t>
        </is>
      </c>
      <c r="B611" s="4" t="inlineStr">
        <is>
          <t>Oil and Natural Gas Corporation Limited</t>
        </is>
      </c>
      <c r="C611" s="4" t="inlineStr">
        <is>
          <t>India</t>
        </is>
      </c>
      <c r="D611" s="4" t="inlineStr">
        <is>
          <t>IN</t>
        </is>
      </c>
      <c r="E611" s="4" t="inlineStr">
        <is>
          <t>Energía</t>
        </is>
      </c>
      <c r="F611" s="4" t="inlineStr">
        <is>
          <t>Oil &amp; Gas Integrated</t>
        </is>
      </c>
      <c r="G611" s="4" t="inlineStr">
        <is>
          <t>NSI</t>
        </is>
      </c>
      <c r="H611" s="4" t="inlineStr">
        <is>
          <t>INR</t>
        </is>
      </c>
      <c r="I611" s="5" t="n">
        <v>2826033.954816</v>
      </c>
      <c r="J611" s="6">
        <f>INDEX(FX!$B:$B,MATCH(H611,FX!$A:$A,0))</f>
        <v/>
      </c>
      <c r="K611" s="5">
        <f>I611*J611</f>
        <v/>
      </c>
      <c r="L611" s="4">
        <f>IF(U611&lt;&gt;"",U611,IF(K611&gt;=Umbrales!$B$2,"Legendaria",IF(K611&gt;=Umbrales!$B$3,"Épica",IF(K611&gt;=Umbrales!$B$4,"Rara",IF(K611&gt;=Umbrales!$B$5,"Poco común","Común")))))</f>
        <v/>
      </c>
      <c r="M611" s="5" t="n">
        <v>7041283.260416</v>
      </c>
      <c r="N611" s="5" t="n">
        <v>435192.397824</v>
      </c>
      <c r="O611" s="5">
        <f>IF(M611="","",M611*J611)</f>
        <v/>
      </c>
      <c r="P611" s="5">
        <f>IF(N611="","",N611*J611)</f>
        <v/>
      </c>
      <c r="Q611" s="7" t="n">
        <v>0.0643</v>
      </c>
      <c r="R611" s="8" t="n">
        <v>6.492486</v>
      </c>
      <c r="S611" s="4" t="inlineStr">
        <is>
          <t>NIFTY50</t>
        </is>
      </c>
      <c r="T611" s="9" t="inlineStr">
        <is>
          <t>SI</t>
        </is>
      </c>
      <c r="U611" s="9" t="inlineStr"/>
      <c r="V611" s="10">
        <f>Umbrales!$B$9*(K611/1000)^Umbrales!$B$10</f>
        <v/>
      </c>
    </row>
    <row r="612">
      <c r="A612" s="4" t="inlineStr">
        <is>
          <t>DSFIR.AS</t>
        </is>
      </c>
      <c r="B612" s="4" t="inlineStr">
        <is>
          <t>DSM-Firmenich AG</t>
        </is>
      </c>
      <c r="C612" s="4" t="inlineStr">
        <is>
          <t>Switzerland</t>
        </is>
      </c>
      <c r="D612" s="4" t="inlineStr">
        <is>
          <t>CH</t>
        </is>
      </c>
      <c r="E612" s="4" t="inlineStr">
        <is>
          <t>Materiales</t>
        </is>
      </c>
      <c r="F612" s="4" t="inlineStr">
        <is>
          <t>Specialty Chemicals</t>
        </is>
      </c>
      <c r="G612" s="4" t="inlineStr">
        <is>
          <t>AMS</t>
        </is>
      </c>
      <c r="H612" s="4" t="inlineStr">
        <is>
          <t>EUR</t>
        </is>
      </c>
      <c r="I612" s="5" t="n">
        <v>26476.539904</v>
      </c>
      <c r="J612" s="6">
        <f>INDEX(FX!$B:$B,MATCH(H612,FX!$A:$A,0))</f>
        <v/>
      </c>
      <c r="K612" s="5">
        <f>I612*J612</f>
        <v/>
      </c>
      <c r="L612" s="4">
        <f>IF(U612&lt;&gt;"",U612,IF(K612&gt;=Umbrales!$B$2,"Legendaria",IF(K612&gt;=Umbrales!$B$3,"Épica",IF(K612&gt;=Umbrales!$B$4,"Rara",IF(K612&gt;=Umbrales!$B$5,"Poco común","Común")))))</f>
        <v/>
      </c>
      <c r="M612" s="5" t="n">
        <v>9054.999551999999</v>
      </c>
      <c r="N612" s="5" t="n">
        <v>324</v>
      </c>
      <c r="O612" s="5">
        <f>IF(M612="","",M612*J612)</f>
        <v/>
      </c>
      <c r="P612" s="5">
        <f>IF(N612="","",N612*J612)</f>
        <v/>
      </c>
      <c r="Q612" s="7" t="n">
        <v>0.0241</v>
      </c>
      <c r="R612" s="8" t="n"/>
      <c r="S612" s="4" t="inlineStr">
        <is>
          <t>AEX</t>
        </is>
      </c>
      <c r="T612" s="9" t="inlineStr">
        <is>
          <t>SI</t>
        </is>
      </c>
      <c r="U612" s="9" t="inlineStr"/>
      <c r="V612" s="10">
        <f>Umbrales!$B$9*(K612/1000)^Umbrales!$B$10</f>
        <v/>
      </c>
    </row>
    <row r="613">
      <c r="A613" s="4" t="inlineStr">
        <is>
          <t>JBL</t>
        </is>
      </c>
      <c r="B613" s="4" t="inlineStr">
        <is>
          <t>Jabil Inc.</t>
        </is>
      </c>
      <c r="C613" s="4" t="inlineStr">
        <is>
          <t>United States</t>
        </is>
      </c>
      <c r="D613" s="4" t="inlineStr">
        <is>
          <t>US</t>
        </is>
      </c>
      <c r="E613" s="4" t="inlineStr">
        <is>
          <t>Tecnología</t>
        </is>
      </c>
      <c r="F613" s="4" t="inlineStr">
        <is>
          <t>Electronic Components</t>
        </is>
      </c>
      <c r="G613" s="4" t="inlineStr">
        <is>
          <t>NYQ</t>
        </is>
      </c>
      <c r="H613" s="4" t="inlineStr">
        <is>
          <t>USD</t>
        </is>
      </c>
      <c r="I613" s="5" t="n">
        <v>29637.726208</v>
      </c>
      <c r="J613" s="6">
        <f>INDEX(FX!$B:$B,MATCH(H613,FX!$A:$A,0))</f>
        <v/>
      </c>
      <c r="K613" s="5">
        <f>I613*J613</f>
        <v/>
      </c>
      <c r="L613" s="4">
        <f>IF(U613&lt;&gt;"",U613,IF(K613&gt;=Umbrales!$B$2,"Legendaria",IF(K613&gt;=Umbrales!$B$3,"Épica",IF(K613&gt;=Umbrales!$B$4,"Rara",IF(K613&gt;=Umbrales!$B$5,"Poco común","Común")))))</f>
        <v/>
      </c>
      <c r="M613" s="5" t="n">
        <v>35953.999872</v>
      </c>
      <c r="N613" s="5" t="n">
        <v>1042</v>
      </c>
      <c r="O613" s="5">
        <f>IF(M613="","",M613*J613)</f>
        <v/>
      </c>
      <c r="P613" s="5">
        <f>IF(N613="","",N613*J613)</f>
        <v/>
      </c>
      <c r="Q613" s="7" t="n">
        <v>0.001</v>
      </c>
      <c r="R613" s="8" t="n">
        <v>31.356714</v>
      </c>
      <c r="S613" s="4" t="inlineStr">
        <is>
          <t>SP500</t>
        </is>
      </c>
      <c r="T613" s="9" t="inlineStr">
        <is>
          <t>SI</t>
        </is>
      </c>
      <c r="U613" s="9" t="inlineStr"/>
      <c r="V613" s="10">
        <f>Umbrales!$B$9*(K613/1000)^Umbrales!$B$10</f>
        <v/>
      </c>
    </row>
    <row r="614">
      <c r="A614" s="4" t="inlineStr">
        <is>
          <t>DG</t>
        </is>
      </c>
      <c r="B614" s="4" t="inlineStr">
        <is>
          <t>Dollar General Corporation</t>
        </is>
      </c>
      <c r="C614" s="4" t="inlineStr">
        <is>
          <t>United States</t>
        </is>
      </c>
      <c r="D614" s="4" t="inlineStr">
        <is>
          <t>US</t>
        </is>
      </c>
      <c r="E614" s="4" t="inlineStr">
        <is>
          <t>Consumo básico</t>
        </is>
      </c>
      <c r="F614" s="4" t="inlineStr">
        <is>
          <t>Discount Stores</t>
        </is>
      </c>
      <c r="G614" s="4" t="inlineStr">
        <is>
          <t>NYQ</t>
        </is>
      </c>
      <c r="H614" s="4" t="inlineStr">
        <is>
          <t>USD</t>
        </is>
      </c>
      <c r="I614" s="5" t="n">
        <v>29600.1536</v>
      </c>
      <c r="J614" s="6">
        <f>INDEX(FX!$B:$B,MATCH(H614,FX!$A:$A,0))</f>
        <v/>
      </c>
      <c r="K614" s="5">
        <f>I614*J614</f>
        <v/>
      </c>
      <c r="L614" s="4">
        <f>IF(U614&lt;&gt;"",U614,IF(K614&gt;=Umbrales!$B$2,"Legendaria",IF(K614&gt;=Umbrales!$B$3,"Épica",IF(K614&gt;=Umbrales!$B$4,"Rara",IF(K614&gt;=Umbrales!$B$5,"Poco común","Común")))))</f>
        <v/>
      </c>
      <c r="M614" s="5" t="n">
        <v>43637.997568</v>
      </c>
      <c r="N614" s="5" t="n">
        <v>1703.39904</v>
      </c>
      <c r="O614" s="5">
        <f>IF(M614="","",M614*J614)</f>
        <v/>
      </c>
      <c r="P614" s="5">
        <f>IF(N614="","",N614*J614)</f>
        <v/>
      </c>
      <c r="Q614" s="7" t="n">
        <v>0.0189</v>
      </c>
      <c r="R614" s="8" t="n">
        <v>16.77125</v>
      </c>
      <c r="S614" s="4" t="inlineStr">
        <is>
          <t>SP500</t>
        </is>
      </c>
      <c r="T614" s="9" t="inlineStr">
        <is>
          <t>SI</t>
        </is>
      </c>
      <c r="U614" s="9" t="inlineStr"/>
      <c r="V614" s="10">
        <f>Umbrales!$B$9*(K614/1000)^Umbrales!$B$10</f>
        <v/>
      </c>
    </row>
    <row r="615">
      <c r="A615" s="4" t="inlineStr">
        <is>
          <t>KER.PA</t>
        </is>
      </c>
      <c r="B615" s="4" t="inlineStr">
        <is>
          <t>Kering SA</t>
        </is>
      </c>
      <c r="C615" s="4" t="inlineStr">
        <is>
          <t>France</t>
        </is>
      </c>
      <c r="D615" s="4" t="inlineStr">
        <is>
          <t>FR</t>
        </is>
      </c>
      <c r="E615" s="4" t="inlineStr">
        <is>
          <t>Consumo cíclico</t>
        </is>
      </c>
      <c r="F615" s="4" t="inlineStr">
        <is>
          <t>Luxury Goods</t>
        </is>
      </c>
      <c r="G615" s="4" t="inlineStr">
        <is>
          <t>PAR</t>
        </is>
      </c>
      <c r="H615" s="4" t="inlineStr">
        <is>
          <t>EUR</t>
        </is>
      </c>
      <c r="I615" s="5" t="n">
        <v>26393.546752</v>
      </c>
      <c r="J615" s="6">
        <f>INDEX(FX!$B:$B,MATCH(H615,FX!$A:$A,0))</f>
        <v/>
      </c>
      <c r="K615" s="5">
        <f>I615*J615</f>
        <v/>
      </c>
      <c r="L615" s="4">
        <f>IF(U615&lt;&gt;"",U615,IF(K615&gt;=Umbrales!$B$2,"Legendaria",IF(K615&gt;=Umbrales!$B$3,"Épica",IF(K615&gt;=Umbrales!$B$4,"Rara",IF(K615&gt;=Umbrales!$B$5,"Poco común","Común")))))</f>
        <v/>
      </c>
      <c r="M615" s="5" t="n">
        <v>14456.000512</v>
      </c>
      <c r="N615" s="5" t="n">
        <v>-322</v>
      </c>
      <c r="O615" s="5">
        <f>IF(M615="","",M615*J615)</f>
        <v/>
      </c>
      <c r="P615" s="5">
        <f>IF(N615="","",N615*J615)</f>
        <v/>
      </c>
      <c r="Q615" s="7" t="n">
        <v>0.0143</v>
      </c>
      <c r="R615" s="8" t="n"/>
      <c r="S615" s="4" t="inlineStr">
        <is>
          <t>CAC40, EUROSTOXX50</t>
        </is>
      </c>
      <c r="T615" s="9" t="inlineStr">
        <is>
          <t>SI</t>
        </is>
      </c>
      <c r="U615" s="9" t="inlineStr"/>
      <c r="V615" s="10">
        <f>Umbrales!$B$9*(K615/1000)^Umbrales!$B$10</f>
        <v/>
      </c>
    </row>
    <row r="616">
      <c r="A616" s="4" t="inlineStr">
        <is>
          <t>CTSH</t>
        </is>
      </c>
      <c r="B616" s="4" t="inlineStr">
        <is>
          <t>Cognizant Technology Solutions Corporation</t>
        </is>
      </c>
      <c r="C616" s="4" t="inlineStr">
        <is>
          <t>United States</t>
        </is>
      </c>
      <c r="D616" s="4" t="inlineStr">
        <is>
          <t>US</t>
        </is>
      </c>
      <c r="E616" s="4" t="inlineStr">
        <is>
          <t>Tecnología</t>
        </is>
      </c>
      <c r="F616" s="4" t="inlineStr">
        <is>
          <t>Information Technology Services</t>
        </is>
      </c>
      <c r="G616" s="4" t="inlineStr">
        <is>
          <t>NMS</t>
        </is>
      </c>
      <c r="H616" s="4" t="inlineStr">
        <is>
          <t>USD</t>
        </is>
      </c>
      <c r="I616" s="5" t="n">
        <v>29548.310528</v>
      </c>
      <c r="J616" s="6">
        <f>INDEX(FX!$B:$B,MATCH(H616,FX!$A:$A,0))</f>
        <v/>
      </c>
      <c r="K616" s="5">
        <f>I616*J616</f>
        <v/>
      </c>
      <c r="L616" s="4">
        <f>IF(U616&lt;&gt;"",U616,IF(K616&gt;=Umbrales!$B$2,"Legendaria",IF(K616&gt;=Umbrales!$B$3,"Épica",IF(K616&gt;=Umbrales!$B$4,"Rara",IF(K616&gt;=Umbrales!$B$5,"Poco común","Común")))))</f>
        <v/>
      </c>
      <c r="M616" s="5" t="n">
        <v>21642.000384</v>
      </c>
      <c r="N616" s="5" t="n">
        <v>2220</v>
      </c>
      <c r="O616" s="5">
        <f>IF(M616="","",M616*J616)</f>
        <v/>
      </c>
      <c r="P616" s="5">
        <f>IF(N616="","",N616*J616)</f>
        <v/>
      </c>
      <c r="Q616" s="7" t="n">
        <v>0.0215</v>
      </c>
      <c r="R616" s="8" t="n">
        <v>13.434408</v>
      </c>
      <c r="S616" s="4" t="inlineStr">
        <is>
          <t>NASDAQ100, SP500</t>
        </is>
      </c>
      <c r="T616" s="9" t="inlineStr">
        <is>
          <t>SI</t>
        </is>
      </c>
      <c r="U616" s="9" t="inlineStr"/>
      <c r="V616" s="10">
        <f>Umbrales!$B$9*(K616/1000)^Umbrales!$B$10</f>
        <v/>
      </c>
    </row>
    <row r="617">
      <c r="A617" s="4" t="inlineStr">
        <is>
          <t>TCL.AX</t>
        </is>
      </c>
      <c r="B617" s="4" t="inlineStr">
        <is>
          <t>Transurban Group</t>
        </is>
      </c>
      <c r="C617" s="4" t="inlineStr">
        <is>
          <t>Australia</t>
        </is>
      </c>
      <c r="D617" s="4" t="inlineStr">
        <is>
          <t>AU</t>
        </is>
      </c>
      <c r="E617" s="4" t="inlineStr">
        <is>
          <t>Industria</t>
        </is>
      </c>
      <c r="F617" s="4" t="inlineStr">
        <is>
          <t>Infrastructure Operations</t>
        </is>
      </c>
      <c r="G617" s="4" t="inlineStr">
        <is>
          <t>ASX</t>
        </is>
      </c>
      <c r="H617" s="4" t="inlineStr">
        <is>
          <t>AUD</t>
        </is>
      </c>
      <c r="I617" s="5" t="n">
        <v>42408.30464</v>
      </c>
      <c r="J617" s="6">
        <f>INDEX(FX!$B:$B,MATCH(H617,FX!$A:$A,0))</f>
        <v/>
      </c>
      <c r="K617" s="5">
        <f>I617*J617</f>
        <v/>
      </c>
      <c r="L617" s="4">
        <f>IF(U617&lt;&gt;"",U617,IF(K617&gt;=Umbrales!$B$2,"Legendaria",IF(K617&gt;=Umbrales!$B$3,"Épica",IF(K617&gt;=Umbrales!$B$4,"Rara",IF(K617&gt;=Umbrales!$B$5,"Poco común","Común")))))</f>
        <v/>
      </c>
      <c r="M617" s="5" t="n">
        <v>3895.000064</v>
      </c>
      <c r="N617" s="5" t="n">
        <v>366</v>
      </c>
      <c r="O617" s="5">
        <f>IF(M617="","",M617*J617)</f>
        <v/>
      </c>
      <c r="P617" s="5">
        <f>IF(N617="","",N617*J617)</f>
        <v/>
      </c>
      <c r="Q617" s="7" t="n">
        <v>0.0525</v>
      </c>
      <c r="R617" s="8" t="n">
        <v>113.25</v>
      </c>
      <c r="S617" s="4" t="inlineStr">
        <is>
          <t>ASX50</t>
        </is>
      </c>
      <c r="T617" s="9" t="inlineStr">
        <is>
          <t>SI</t>
        </is>
      </c>
      <c r="U617" s="9" t="inlineStr"/>
      <c r="V617" s="10">
        <f>Umbrales!$B$9*(K617/1000)^Umbrales!$B$10</f>
        <v/>
      </c>
    </row>
    <row r="618">
      <c r="A618" s="4" t="inlineStr">
        <is>
          <t>PRU.L</t>
        </is>
      </c>
      <c r="B618" s="4" t="inlineStr">
        <is>
          <t>Prudential plc</t>
        </is>
      </c>
      <c r="C618" s="4" t="inlineStr">
        <is>
          <t>Hong Kong</t>
        </is>
      </c>
      <c r="D618" s="4" t="inlineStr">
        <is>
          <t>HK</t>
        </is>
      </c>
      <c r="E618" s="4" t="inlineStr">
        <is>
          <t>Finanzas</t>
        </is>
      </c>
      <c r="F618" s="4" t="inlineStr">
        <is>
          <t>Insurance - Life</t>
        </is>
      </c>
      <c r="G618" s="4" t="inlineStr">
        <is>
          <t>LSE</t>
        </is>
      </c>
      <c r="H618" s="4" t="inlineStr">
        <is>
          <t>GBP</t>
        </is>
      </c>
      <c r="I618" s="5" t="n">
        <v>22124.120064</v>
      </c>
      <c r="J618" s="6">
        <f>INDEX(FX!$B:$B,MATCH(H618,FX!$A:$A,0))</f>
        <v/>
      </c>
      <c r="K618" s="5">
        <f>I618*J618</f>
        <v/>
      </c>
      <c r="L618" s="4">
        <f>IF(U618&lt;&gt;"",U618,IF(K618&gt;=Umbrales!$B$2,"Legendaria",IF(K618&gt;=Umbrales!$B$3,"Épica",IF(K618&gt;=Umbrales!$B$4,"Rara",IF(K618&gt;=Umbrales!$B$5,"Poco común","Común")))))</f>
        <v/>
      </c>
      <c r="M618" s="5" t="n">
        <v>14309.000192</v>
      </c>
      <c r="N618" s="5" t="n">
        <v>3648</v>
      </c>
      <c r="O618" s="5">
        <f>IF(M618="","",M618*J618)</f>
        <v/>
      </c>
      <c r="P618" s="5">
        <f>IF(N618="","",N618*J618)</f>
        <v/>
      </c>
      <c r="Q618" s="7" t="n">
        <v>0.0231</v>
      </c>
      <c r="R618" s="8" t="n">
        <v>8.496226</v>
      </c>
      <c r="S618" s="4" t="inlineStr">
        <is>
          <t>FTSE100</t>
        </is>
      </c>
      <c r="T618" s="9" t="inlineStr">
        <is>
          <t>SI</t>
        </is>
      </c>
      <c r="U618" s="9" t="inlineStr"/>
      <c r="V618" s="10">
        <f>Umbrales!$B$9*(K618/1000)^Umbrales!$B$10</f>
        <v/>
      </c>
    </row>
    <row r="619">
      <c r="A619" s="4" t="inlineStr">
        <is>
          <t>BEL.NS</t>
        </is>
      </c>
      <c r="B619" s="4" t="inlineStr">
        <is>
          <t>Bharat Electronics Limited</t>
        </is>
      </c>
      <c r="C619" s="4" t="inlineStr">
        <is>
          <t>India</t>
        </is>
      </c>
      <c r="D619" s="4" t="inlineStr">
        <is>
          <t>IN</t>
        </is>
      </c>
      <c r="E619" s="4" t="inlineStr">
        <is>
          <t>Industria</t>
        </is>
      </c>
      <c r="F619" s="4" t="inlineStr">
        <is>
          <t>Aerospace &amp; Defense</t>
        </is>
      </c>
      <c r="G619" s="4" t="inlineStr">
        <is>
          <t>NSI</t>
        </is>
      </c>
      <c r="H619" s="4" t="inlineStr">
        <is>
          <t>INR</t>
        </is>
      </c>
      <c r="I619" s="5" t="n">
        <v>2780639.789056</v>
      </c>
      <c r="J619" s="6">
        <f>INDEX(FX!$B:$B,MATCH(H619,FX!$A:$A,0))</f>
        <v/>
      </c>
      <c r="K619" s="5">
        <f>I619*J619</f>
        <v/>
      </c>
      <c r="L619" s="4">
        <f>IF(U619&lt;&gt;"",U619,IF(K619&gt;=Umbrales!$B$2,"Legendaria",IF(K619&gt;=Umbrales!$B$3,"Épica",IF(K619&gt;=Umbrales!$B$4,"Rara",IF(K619&gt;=Umbrales!$B$5,"Poco común","Común")))))</f>
        <v/>
      </c>
      <c r="M619" s="5" t="n">
        <v>287173.50912</v>
      </c>
      <c r="N619" s="5" t="n">
        <v>61464.301568</v>
      </c>
      <c r="O619" s="5">
        <f>IF(M619="","",M619*J619)</f>
        <v/>
      </c>
      <c r="P619" s="5">
        <f>IF(N619="","",N619*J619)</f>
        <v/>
      </c>
      <c r="Q619" s="7" t="n">
        <v>0.006500000000000001</v>
      </c>
      <c r="R619" s="8" t="n">
        <v>45.285717</v>
      </c>
      <c r="S619" s="4" t="inlineStr">
        <is>
          <t>NIFTY50</t>
        </is>
      </c>
      <c r="T619" s="9" t="inlineStr">
        <is>
          <t>SI</t>
        </is>
      </c>
      <c r="U619" s="9" t="inlineStr"/>
      <c r="V619" s="10">
        <f>Umbrales!$B$9*(K619/1000)^Umbrales!$B$10</f>
        <v/>
      </c>
    </row>
    <row r="620">
      <c r="A620" s="4" t="inlineStr">
        <is>
          <t>WSM</t>
        </is>
      </c>
      <c r="B620" s="4" t="inlineStr">
        <is>
          <t>Williams-Sonoma, Inc.</t>
        </is>
      </c>
      <c r="C620" s="4" t="inlineStr">
        <is>
          <t>United States</t>
        </is>
      </c>
      <c r="D620" s="4" t="inlineStr">
        <is>
          <t>US</t>
        </is>
      </c>
      <c r="E620" s="4" t="inlineStr">
        <is>
          <t>Consumo cíclico</t>
        </is>
      </c>
      <c r="F620" s="4" t="inlineStr">
        <is>
          <t>Specialty Retail</t>
        </is>
      </c>
      <c r="G620" s="4" t="inlineStr">
        <is>
          <t>NYQ</t>
        </is>
      </c>
      <c r="H620" s="4" t="inlineStr">
        <is>
          <t>USD</t>
        </is>
      </c>
      <c r="I620" s="5" t="n">
        <v>29216.475136</v>
      </c>
      <c r="J620" s="6">
        <f>INDEX(FX!$B:$B,MATCH(H620,FX!$A:$A,0))</f>
        <v/>
      </c>
      <c r="K620" s="5">
        <f>I620*J620</f>
        <v/>
      </c>
      <c r="L620" s="4">
        <f>IF(U620&lt;&gt;"",U620,IF(K620&gt;=Umbrales!$B$2,"Legendaria",IF(K620&gt;=Umbrales!$B$3,"Épica",IF(K620&gt;=Umbrales!$B$4,"Rara",IF(K620&gt;=Umbrales!$B$5,"Poco común","Común")))))</f>
        <v/>
      </c>
      <c r="M620" s="5" t="n">
        <v>8005.15584</v>
      </c>
      <c r="N620" s="5" t="n">
        <v>1179.083008</v>
      </c>
      <c r="O620" s="5">
        <f>IF(M620="","",M620*J620)</f>
        <v/>
      </c>
      <c r="P620" s="5">
        <f>IF(N620="","",N620*J620)</f>
        <v/>
      </c>
      <c r="Q620" s="7" t="n">
        <v>0.0127</v>
      </c>
      <c r="R620" s="8" t="n">
        <v>25.186295</v>
      </c>
      <c r="S620" s="4" t="inlineStr">
        <is>
          <t>SP500</t>
        </is>
      </c>
      <c r="T620" s="9" t="inlineStr">
        <is>
          <t>SI</t>
        </is>
      </c>
      <c r="U620" s="9" t="inlineStr"/>
      <c r="V620" s="10">
        <f>Umbrales!$B$9*(K620/1000)^Umbrales!$B$10</f>
        <v/>
      </c>
    </row>
    <row r="621">
      <c r="A621" s="4" t="inlineStr">
        <is>
          <t>BAJAJFINSV.NS</t>
        </is>
      </c>
      <c r="B621" s="4" t="inlineStr">
        <is>
          <t>Bajaj Finserv Ltd.</t>
        </is>
      </c>
      <c r="C621" s="4" t="inlineStr">
        <is>
          <t>India</t>
        </is>
      </c>
      <c r="D621" s="4" t="inlineStr">
        <is>
          <t>IN</t>
        </is>
      </c>
      <c r="E621" s="4" t="inlineStr">
        <is>
          <t>Finanzas</t>
        </is>
      </c>
      <c r="F621" s="4" t="inlineStr">
        <is>
          <t>Financial Conglomerates</t>
        </is>
      </c>
      <c r="G621" s="4" t="inlineStr">
        <is>
          <t>NSI</t>
        </is>
      </c>
      <c r="H621" s="4" t="inlineStr">
        <is>
          <t>INR</t>
        </is>
      </c>
      <c r="I621" s="5" t="n">
        <v>2771623.870464</v>
      </c>
      <c r="J621" s="6">
        <f>INDEX(FX!$B:$B,MATCH(H621,FX!$A:$A,0))</f>
        <v/>
      </c>
      <c r="K621" s="5">
        <f>I621*J621</f>
        <v/>
      </c>
      <c r="L621" s="4">
        <f>IF(U621&lt;&gt;"",U621,IF(K621&gt;=Umbrales!$B$2,"Legendaria",IF(K621&gt;=Umbrales!$B$3,"Épica",IF(K621&gt;=Umbrales!$B$4,"Rara",IF(K621&gt;=Umbrales!$B$5,"Poco común","Común")))))</f>
        <v/>
      </c>
      <c r="M621" s="5" t="n">
        <v>1567607.35744</v>
      </c>
      <c r="N621" s="5" t="n">
        <v>101442.699264</v>
      </c>
      <c r="O621" s="5">
        <f>IF(M621="","",M621*J621)</f>
        <v/>
      </c>
      <c r="P621" s="5">
        <f>IF(N621="","",N621*J621)</f>
        <v/>
      </c>
      <c r="Q621" s="7" t="n">
        <v>0.0008</v>
      </c>
      <c r="R621" s="8" t="n">
        <v>27.496428</v>
      </c>
      <c r="S621" s="4" t="inlineStr">
        <is>
          <t>NIFTY50</t>
        </is>
      </c>
      <c r="T621" s="9" t="inlineStr">
        <is>
          <t>SI</t>
        </is>
      </c>
      <c r="U621" s="9" t="inlineStr"/>
      <c r="V621" s="10">
        <f>Umbrales!$B$9*(K621/1000)^Umbrales!$B$10</f>
        <v/>
      </c>
    </row>
    <row r="622">
      <c r="A622" s="4" t="inlineStr">
        <is>
          <t>BIP-UN.TO</t>
        </is>
      </c>
      <c r="B622" s="4" t="inlineStr">
        <is>
          <t>Brookfield Infrastructure Partners L.P.</t>
        </is>
      </c>
      <c r="C622" s="4" t="inlineStr">
        <is>
          <t>Bermuda</t>
        </is>
      </c>
      <c r="D622" s="4" t="inlineStr">
        <is>
          <t>BM</t>
        </is>
      </c>
      <c r="E622" s="4" t="inlineStr">
        <is>
          <t>Servicios públicos</t>
        </is>
      </c>
      <c r="F622" s="4" t="inlineStr">
        <is>
          <t>Utilities - Diversified</t>
        </is>
      </c>
      <c r="G622" s="4" t="inlineStr">
        <is>
          <t>TOR</t>
        </is>
      </c>
      <c r="H622" s="4" t="inlineStr">
        <is>
          <t>CAD</t>
        </is>
      </c>
      <c r="I622" s="5" t="n">
        <v>41182.814208</v>
      </c>
      <c r="J622" s="6">
        <f>INDEX(FX!$B:$B,MATCH(H622,FX!$A:$A,0))</f>
        <v/>
      </c>
      <c r="K622" s="5">
        <f>I622*J622</f>
        <v/>
      </c>
      <c r="L622" s="4">
        <f>IF(U622&lt;&gt;"",U622,IF(K622&gt;=Umbrales!$B$2,"Legendaria",IF(K622&gt;=Umbrales!$B$3,"Épica",IF(K622&gt;=Umbrales!$B$4,"Rara",IF(K622&gt;=Umbrales!$B$5,"Poco común","Común")))))</f>
        <v/>
      </c>
      <c r="M622" s="5" t="n">
        <v>25062.00064</v>
      </c>
      <c r="N622" s="5" t="n">
        <v>286</v>
      </c>
      <c r="O622" s="5">
        <f>IF(M622="","",M622*J622)</f>
        <v/>
      </c>
      <c r="P622" s="5">
        <f>IF(N622="","",N622*J622)</f>
        <v/>
      </c>
      <c r="Q622" s="7" t="n">
        <v>0.05</v>
      </c>
      <c r="R622" s="8" t="n">
        <v>60.47674</v>
      </c>
      <c r="S622" s="4" t="inlineStr">
        <is>
          <t>TSX60</t>
        </is>
      </c>
      <c r="T622" s="9" t="inlineStr">
        <is>
          <t>SI</t>
        </is>
      </c>
      <c r="U622" s="9" t="inlineStr"/>
      <c r="V622" s="10">
        <f>Umbrales!$B$9*(K622/1000)^Umbrales!$B$10</f>
        <v/>
      </c>
    </row>
    <row r="623">
      <c r="A623" s="4" t="inlineStr">
        <is>
          <t>WTW</t>
        </is>
      </c>
      <c r="B623" s="4" t="inlineStr">
        <is>
          <t>Willis Towers Watson Public Limited Company</t>
        </is>
      </c>
      <c r="C623" s="4" t="inlineStr">
        <is>
          <t>United Kingdom</t>
        </is>
      </c>
      <c r="D623" s="4" t="inlineStr">
        <is>
          <t>GB</t>
        </is>
      </c>
      <c r="E623" s="4" t="inlineStr">
        <is>
          <t>Finanzas</t>
        </is>
      </c>
      <c r="F623" s="4" t="inlineStr">
        <is>
          <t>Insurance Brokers</t>
        </is>
      </c>
      <c r="G623" s="4" t="inlineStr">
        <is>
          <t>NMS</t>
        </is>
      </c>
      <c r="H623" s="4" t="inlineStr">
        <is>
          <t>USD</t>
        </is>
      </c>
      <c r="I623" s="5" t="n">
        <v>28997.404672</v>
      </c>
      <c r="J623" s="6">
        <f>INDEX(FX!$B:$B,MATCH(H623,FX!$A:$A,0))</f>
        <v/>
      </c>
      <c r="K623" s="5">
        <f>I623*J623</f>
        <v/>
      </c>
      <c r="L623" s="4">
        <f>IF(U623&lt;&gt;"",U623,IF(K623&gt;=Umbrales!$B$2,"Legendaria",IF(K623&gt;=Umbrales!$B$3,"Épica",IF(K623&gt;=Umbrales!$B$4,"Rara",IF(K623&gt;=Umbrales!$B$5,"Poco común","Común")))))</f>
        <v/>
      </c>
      <c r="M623" s="5" t="n">
        <v>10101.999616</v>
      </c>
      <c r="N623" s="5" t="n">
        <v>1564.999936</v>
      </c>
      <c r="O623" s="5">
        <f>IF(M623="","",M623*J623)</f>
        <v/>
      </c>
      <c r="P623" s="5">
        <f>IF(N623="","",N623*J623)</f>
        <v/>
      </c>
      <c r="Q623" s="7" t="n">
        <v>0.0129</v>
      </c>
      <c r="R623" s="8" t="n">
        <v>19.321165</v>
      </c>
      <c r="S623" s="4" t="inlineStr">
        <is>
          <t>SP500</t>
        </is>
      </c>
      <c r="T623" s="9" t="inlineStr">
        <is>
          <t>SI</t>
        </is>
      </c>
      <c r="U623" s="9" t="inlineStr"/>
      <c r="V623" s="10">
        <f>Umbrales!$B$9*(K623/1000)^Umbrales!$B$10</f>
        <v/>
      </c>
    </row>
    <row r="624">
      <c r="A624" s="4" t="inlineStr">
        <is>
          <t>AEE</t>
        </is>
      </c>
      <c r="B624" s="4" t="inlineStr">
        <is>
          <t>Ameren Corporation</t>
        </is>
      </c>
      <c r="C624" s="4" t="inlineStr">
        <is>
          <t>United States</t>
        </is>
      </c>
      <c r="D624" s="4" t="inlineStr">
        <is>
          <t>US</t>
        </is>
      </c>
      <c r="E624" s="4" t="inlineStr">
        <is>
          <t>Servicios públicos</t>
        </is>
      </c>
      <c r="F624" s="4" t="inlineStr">
        <is>
          <t>Utilities - Regulated Electric</t>
        </is>
      </c>
      <c r="G624" s="4" t="inlineStr">
        <is>
          <t>NYQ</t>
        </is>
      </c>
      <c r="H624" s="4" t="inlineStr">
        <is>
          <t>USD</t>
        </is>
      </c>
      <c r="I624" s="5" t="n">
        <v>28894.158848</v>
      </c>
      <c r="J624" s="6">
        <f>INDEX(FX!$B:$B,MATCH(H624,FX!$A:$A,0))</f>
        <v/>
      </c>
      <c r="K624" s="5">
        <f>I624*J624</f>
        <v/>
      </c>
      <c r="L624" s="4">
        <f>IF(U624&lt;&gt;"",U624,IF(K624&gt;=Umbrales!$B$2,"Legendaria",IF(K624&gt;=Umbrales!$B$3,"Épica",IF(K624&gt;=Umbrales!$B$4,"Rara",IF(K624&gt;=Umbrales!$B$5,"Poco común","Común")))))</f>
        <v/>
      </c>
      <c r="M624" s="5" t="n">
        <v>8410.999808</v>
      </c>
      <c r="N624" s="5" t="n">
        <v>1563.000064</v>
      </c>
      <c r="O624" s="5">
        <f>IF(M624="","",M624*J624)</f>
        <v/>
      </c>
      <c r="P624" s="5">
        <f>IF(N624="","",N624*J624)</f>
        <v/>
      </c>
      <c r="Q624" s="7" t="n">
        <v>0.0288</v>
      </c>
      <c r="R624" s="8" t="n">
        <v>18.342724</v>
      </c>
      <c r="S624" s="4" t="inlineStr">
        <is>
          <t>SP500</t>
        </is>
      </c>
      <c r="T624" s="9" t="inlineStr">
        <is>
          <t>SI</t>
        </is>
      </c>
      <c r="U624" s="9" t="inlineStr"/>
      <c r="V624" s="10">
        <f>Umbrales!$B$9*(K624/1000)^Umbrales!$B$10</f>
        <v/>
      </c>
    </row>
    <row r="625">
      <c r="A625" s="4" t="inlineStr">
        <is>
          <t>TEN.MI</t>
        </is>
      </c>
      <c r="B625" s="4" t="inlineStr">
        <is>
          <t>Tenaris S.A.</t>
        </is>
      </c>
      <c r="C625" s="4" t="inlineStr">
        <is>
          <t>Luxembourg</t>
        </is>
      </c>
      <c r="D625" s="4" t="inlineStr">
        <is>
          <t>LU</t>
        </is>
      </c>
      <c r="E625" s="4" t="inlineStr">
        <is>
          <t>Energía</t>
        </is>
      </c>
      <c r="F625" s="4" t="inlineStr">
        <is>
          <t>Oil &amp; Gas Equipment &amp; Services</t>
        </is>
      </c>
      <c r="G625" s="4" t="inlineStr">
        <is>
          <t>MIL</t>
        </is>
      </c>
      <c r="H625" s="4" t="inlineStr">
        <is>
          <t>EUR</t>
        </is>
      </c>
      <c r="I625" s="5" t="n">
        <v>25766.006784</v>
      </c>
      <c r="J625" s="6">
        <f>INDEX(FX!$B:$B,MATCH(H625,FX!$A:$A,0))</f>
        <v/>
      </c>
      <c r="K625" s="5">
        <f>I625*J625</f>
        <v/>
      </c>
      <c r="L625" s="4">
        <f>IF(U625&lt;&gt;"",U625,IF(K625&gt;=Umbrales!$B$2,"Legendaria",IF(K625&gt;=Umbrales!$B$3,"Épica",IF(K625&gt;=Umbrales!$B$4,"Rara",IF(K625&gt;=Umbrales!$B$5,"Poco común","Común")))))</f>
        <v/>
      </c>
      <c r="M625" s="5" t="n">
        <v>12040.356864</v>
      </c>
      <c r="N625" s="5" t="n">
        <v>1912.397056</v>
      </c>
      <c r="O625" s="5">
        <f>IF(M625="","",M625*J625)</f>
        <v/>
      </c>
      <c r="P625" s="5">
        <f>IF(N625="","",N625*J625)</f>
        <v/>
      </c>
      <c r="Q625" s="7" t="n">
        <v>0.0295</v>
      </c>
      <c r="R625" s="8" t="n">
        <v>15.850932</v>
      </c>
      <c r="S625" s="4" t="inlineStr">
        <is>
          <t>FTSEMIB</t>
        </is>
      </c>
      <c r="T625" s="9" t="inlineStr">
        <is>
          <t>SI</t>
        </is>
      </c>
      <c r="U625" s="9" t="inlineStr"/>
      <c r="V625" s="10">
        <f>Umbrales!$B$9*(K625/1000)^Umbrales!$B$10</f>
        <v/>
      </c>
    </row>
    <row r="626">
      <c r="A626" s="4" t="inlineStr">
        <is>
          <t>PUB.PA</t>
        </is>
      </c>
      <c r="B626" s="4" t="inlineStr">
        <is>
          <t>Publicis Groupe S.A.</t>
        </is>
      </c>
      <c r="C626" s="4" t="inlineStr">
        <is>
          <t>France</t>
        </is>
      </c>
      <c r="D626" s="4" t="inlineStr">
        <is>
          <t>FR</t>
        </is>
      </c>
      <c r="E626" s="4" t="inlineStr">
        <is>
          <t>Comunicación</t>
        </is>
      </c>
      <c r="F626" s="4" t="inlineStr">
        <is>
          <t>Advertising Agencies</t>
        </is>
      </c>
      <c r="G626" s="4" t="inlineStr">
        <is>
          <t>PAR</t>
        </is>
      </c>
      <c r="H626" s="4" t="inlineStr">
        <is>
          <t>EUR</t>
        </is>
      </c>
      <c r="I626" s="5" t="n">
        <v>25733.756928</v>
      </c>
      <c r="J626" s="6">
        <f>INDEX(FX!$B:$B,MATCH(H626,FX!$A:$A,0))</f>
        <v/>
      </c>
      <c r="K626" s="5">
        <f>I626*J626</f>
        <v/>
      </c>
      <c r="L626" s="4">
        <f>IF(U626&lt;&gt;"",U626,IF(K626&gt;=Umbrales!$B$2,"Legendaria",IF(K626&gt;=Umbrales!$B$3,"Épica",IF(K626&gt;=Umbrales!$B$4,"Rara",IF(K626&gt;=Umbrales!$B$5,"Poco común","Común")))))</f>
        <v/>
      </c>
      <c r="M626" s="5" t="n">
        <v>17649.999872</v>
      </c>
      <c r="N626" s="5" t="n">
        <v>1622</v>
      </c>
      <c r="O626" s="5">
        <f>IF(M626="","",M626*J626)</f>
        <v/>
      </c>
      <c r="P626" s="5">
        <f>IF(N626="","",N626*J626)</f>
        <v/>
      </c>
      <c r="Q626" s="7" t="n">
        <v>0.0371</v>
      </c>
      <c r="R626" s="8" t="n">
        <v>16.051403</v>
      </c>
      <c r="S626" s="4" t="inlineStr">
        <is>
          <t>CAC40</t>
        </is>
      </c>
      <c r="T626" s="9" t="inlineStr">
        <is>
          <t>SI</t>
        </is>
      </c>
      <c r="U626" s="9" t="inlineStr"/>
      <c r="V626" s="10">
        <f>Umbrales!$B$9*(K626/1000)^Umbrales!$B$10</f>
        <v/>
      </c>
    </row>
    <row r="627">
      <c r="A627" s="4" t="inlineStr">
        <is>
          <t>ON</t>
        </is>
      </c>
      <c r="B627" s="4" t="inlineStr">
        <is>
          <t>ON Semiconductor Corporation</t>
        </is>
      </c>
      <c r="C627" s="4" t="inlineStr">
        <is>
          <t>United States</t>
        </is>
      </c>
      <c r="D627" s="4" t="inlineStr">
        <is>
          <t>US</t>
        </is>
      </c>
      <c r="E627" s="4" t="inlineStr">
        <is>
          <t>Tecnología</t>
        </is>
      </c>
      <c r="F627" s="4" t="inlineStr">
        <is>
          <t>Semiconductors</t>
        </is>
      </c>
      <c r="G627" s="4" t="inlineStr">
        <is>
          <t>NMS</t>
        </is>
      </c>
      <c r="H627" s="4" t="inlineStr">
        <is>
          <t>USD</t>
        </is>
      </c>
      <c r="I627" s="5" t="n">
        <v>28560.41472</v>
      </c>
      <c r="J627" s="6">
        <f>INDEX(FX!$B:$B,MATCH(H627,FX!$A:$A,0))</f>
        <v/>
      </c>
      <c r="K627" s="5">
        <f>I627*J627</f>
        <v/>
      </c>
      <c r="L627" s="4">
        <f>IF(U627&lt;&gt;"",U627,IF(K627&gt;=Umbrales!$B$2,"Legendaria",IF(K627&gt;=Umbrales!$B$3,"Épica",IF(K627&gt;=Umbrales!$B$4,"Rara",IF(K627&gt;=Umbrales!$B$5,"Poco común","Común")))))</f>
        <v/>
      </c>
      <c r="M627" s="5" t="n">
        <v>6197.799936</v>
      </c>
      <c r="N627" s="5" t="n">
        <v>630.2</v>
      </c>
      <c r="O627" s="5">
        <f>IF(M627="","",M627*J627)</f>
        <v/>
      </c>
      <c r="P627" s="5">
        <f>IF(N627="","",N627*J627)</f>
        <v/>
      </c>
      <c r="Q627" s="7" t="n">
        <v>0</v>
      </c>
      <c r="R627" s="8" t="n">
        <v>47.329033</v>
      </c>
      <c r="S627" s="4" t="inlineStr">
        <is>
          <t>NASDAQ100, SP500</t>
        </is>
      </c>
      <c r="T627" s="9" t="inlineStr">
        <is>
          <t>SI</t>
        </is>
      </c>
      <c r="U627" s="9" t="inlineStr"/>
      <c r="V627" s="10">
        <f>Umbrales!$B$9*(K627/1000)^Umbrales!$B$10</f>
        <v/>
      </c>
    </row>
    <row r="628">
      <c r="A628" s="4" t="inlineStr">
        <is>
          <t>TDY</t>
        </is>
      </c>
      <c r="B628" s="4" t="inlineStr">
        <is>
          <t>Teledyne Technologies Incorporated</t>
        </is>
      </c>
      <c r="C628" s="4" t="inlineStr">
        <is>
          <t>United States</t>
        </is>
      </c>
      <c r="D628" s="4" t="inlineStr">
        <is>
          <t>US</t>
        </is>
      </c>
      <c r="E628" s="4" t="inlineStr">
        <is>
          <t>Tecnología</t>
        </is>
      </c>
      <c r="F628" s="4" t="inlineStr">
        <is>
          <t>Scientific &amp; Technical Instruments</t>
        </is>
      </c>
      <c r="G628" s="4" t="inlineStr">
        <is>
          <t>NYQ</t>
        </is>
      </c>
      <c r="H628" s="4" t="inlineStr">
        <is>
          <t>USD</t>
        </is>
      </c>
      <c r="I628" s="5" t="n">
        <v>28493.113344</v>
      </c>
      <c r="J628" s="6">
        <f>INDEX(FX!$B:$B,MATCH(H628,FX!$A:$A,0))</f>
        <v/>
      </c>
      <c r="K628" s="5">
        <f>I628*J628</f>
        <v/>
      </c>
      <c r="L628" s="4">
        <f>IF(U628&lt;&gt;"",U628,IF(K628&gt;=Umbrales!$B$2,"Legendaria",IF(K628&gt;=Umbrales!$B$3,"Épica",IF(K628&gt;=Umbrales!$B$4,"Rara",IF(K628&gt;=Umbrales!$B$5,"Poco común","Común")))))</f>
        <v/>
      </c>
      <c r="M628" s="5" t="n">
        <v>6374.4</v>
      </c>
      <c r="N628" s="5" t="n">
        <v>974.8</v>
      </c>
      <c r="O628" s="5">
        <f>IF(M628="","",M628*J628)</f>
        <v/>
      </c>
      <c r="P628" s="5">
        <f>IF(N628="","",N628*J628)</f>
        <v/>
      </c>
      <c r="Q628" s="7" t="n">
        <v>0</v>
      </c>
      <c r="R628" s="8" t="n">
        <v>29.869596</v>
      </c>
      <c r="S628" s="4" t="inlineStr">
        <is>
          <t>SP500</t>
        </is>
      </c>
      <c r="T628" s="9" t="inlineStr">
        <is>
          <t>SI</t>
        </is>
      </c>
      <c r="U628" s="9" t="inlineStr"/>
      <c r="V628" s="10">
        <f>Umbrales!$B$9*(K628/1000)^Umbrales!$B$10</f>
        <v/>
      </c>
    </row>
    <row r="629">
      <c r="A629" s="4" t="inlineStr">
        <is>
          <t>WN.TO</t>
        </is>
      </c>
      <c r="B629" s="4" t="inlineStr">
        <is>
          <t>George Weston Limited</t>
        </is>
      </c>
      <c r="C629" s="4" t="inlineStr">
        <is>
          <t>Canada</t>
        </is>
      </c>
      <c r="D629" s="4" t="inlineStr">
        <is>
          <t>CA</t>
        </is>
      </c>
      <c r="E629" s="4" t="inlineStr">
        <is>
          <t>Consumo básico</t>
        </is>
      </c>
      <c r="F629" s="4" t="inlineStr">
        <is>
          <t>Grocery Stores</t>
        </is>
      </c>
      <c r="G629" s="4" t="inlineStr">
        <is>
          <t>TOR</t>
        </is>
      </c>
      <c r="H629" s="4" t="inlineStr">
        <is>
          <t>CAD</t>
        </is>
      </c>
      <c r="I629" s="5" t="n">
        <v>40386.9696</v>
      </c>
      <c r="J629" s="6">
        <f>INDEX(FX!$B:$B,MATCH(H629,FX!$A:$A,0))</f>
        <v/>
      </c>
      <c r="K629" s="5">
        <f>I629*J629</f>
        <v/>
      </c>
      <c r="L629" s="4">
        <f>IF(U629&lt;&gt;"",U629,IF(K629&gt;=Umbrales!$B$2,"Legendaria",IF(K629&gt;=Umbrales!$B$3,"Épica",IF(K629&gt;=Umbrales!$B$4,"Rara",IF(K629&gt;=Umbrales!$B$5,"Poco común","Común")))))</f>
        <v/>
      </c>
      <c r="M629" s="5" t="n">
        <v>65689.001984</v>
      </c>
      <c r="N629" s="5" t="n">
        <v>865</v>
      </c>
      <c r="O629" s="5">
        <f>IF(M629="","",M629*J629)</f>
        <v/>
      </c>
      <c r="P629" s="5">
        <f>IF(N629="","",N629*J629)</f>
        <v/>
      </c>
      <c r="Q629" s="7" t="n">
        <v>0.0125</v>
      </c>
      <c r="R629" s="8" t="n">
        <v>42.98805</v>
      </c>
      <c r="S629" s="4" t="inlineStr">
        <is>
          <t>TSX60</t>
        </is>
      </c>
      <c r="T629" s="9" t="inlineStr">
        <is>
          <t>SI</t>
        </is>
      </c>
      <c r="U629" s="9" t="inlineStr"/>
      <c r="V629" s="10">
        <f>Umbrales!$B$9*(K629/1000)^Umbrales!$B$10</f>
        <v/>
      </c>
    </row>
    <row r="630">
      <c r="A630" s="4" t="inlineStr">
        <is>
          <t>IMB.L</t>
        </is>
      </c>
      <c r="B630" s="4" t="inlineStr">
        <is>
          <t>Imperial Brands PLC</t>
        </is>
      </c>
      <c r="C630" s="4" t="inlineStr">
        <is>
          <t>United Kingdom</t>
        </is>
      </c>
      <c r="D630" s="4" t="inlineStr">
        <is>
          <t>GB</t>
        </is>
      </c>
      <c r="E630" s="4" t="inlineStr">
        <is>
          <t>Consumo básico</t>
        </is>
      </c>
      <c r="F630" s="4" t="inlineStr">
        <is>
          <t>Tobacco</t>
        </is>
      </c>
      <c r="G630" s="4" t="inlineStr">
        <is>
          <t>LSE</t>
        </is>
      </c>
      <c r="H630" s="4" t="inlineStr">
        <is>
          <t>GBP</t>
        </is>
      </c>
      <c r="I630" s="5" t="n">
        <v>21400.51456</v>
      </c>
      <c r="J630" s="6">
        <f>INDEX(FX!$B:$B,MATCH(H630,FX!$A:$A,0))</f>
        <v/>
      </c>
      <c r="K630" s="5">
        <f>I630*J630</f>
        <v/>
      </c>
      <c r="L630" s="4">
        <f>IF(U630&lt;&gt;"",U630,IF(K630&gt;=Umbrales!$B$2,"Legendaria",IF(K630&gt;=Umbrales!$B$3,"Épica",IF(K630&gt;=Umbrales!$B$4,"Rara",IF(K630&gt;=Umbrales!$B$5,"Poco común","Común")))))</f>
        <v/>
      </c>
      <c r="M630" s="5" t="n">
        <v>19406.000128</v>
      </c>
      <c r="N630" s="5" t="n">
        <v>1738</v>
      </c>
      <c r="O630" s="5">
        <f>IF(M630="","",M630*J630)</f>
        <v/>
      </c>
      <c r="P630" s="5">
        <f>IF(N630="","",N630*J630)</f>
        <v/>
      </c>
      <c r="Q630" s="7" t="n">
        <v>0.0613</v>
      </c>
      <c r="R630" s="8" t="n">
        <v>13.138248</v>
      </c>
      <c r="S630" s="4" t="inlineStr">
        <is>
          <t>FTSE100</t>
        </is>
      </c>
      <c r="T630" s="9" t="inlineStr">
        <is>
          <t>SI</t>
        </is>
      </c>
      <c r="U630" s="9" t="inlineStr"/>
      <c r="V630" s="10">
        <f>Umbrales!$B$9*(K630/1000)^Umbrales!$B$10</f>
        <v/>
      </c>
    </row>
    <row r="631">
      <c r="A631" s="4" t="inlineStr">
        <is>
          <t>AV.L</t>
        </is>
      </c>
      <c r="B631" s="4" t="inlineStr">
        <is>
          <t>Aviva plc</t>
        </is>
      </c>
      <c r="C631" s="4" t="inlineStr">
        <is>
          <t>United Kingdom</t>
        </is>
      </c>
      <c r="D631" s="4" t="inlineStr">
        <is>
          <t>GB</t>
        </is>
      </c>
      <c r="E631" s="4" t="inlineStr">
        <is>
          <t>Finanzas</t>
        </is>
      </c>
      <c r="F631" s="4" t="inlineStr">
        <is>
          <t>Insurance - Diversified</t>
        </is>
      </c>
      <c r="G631" s="4" t="inlineStr">
        <is>
          <t>LSE</t>
        </is>
      </c>
      <c r="H631" s="4" t="inlineStr">
        <is>
          <t>GBP</t>
        </is>
      </c>
      <c r="I631" s="5" t="n">
        <v>21242.43968</v>
      </c>
      <c r="J631" s="6">
        <f>INDEX(FX!$B:$B,MATCH(H631,FX!$A:$A,0))</f>
        <v/>
      </c>
      <c r="K631" s="5">
        <f>I631*J631</f>
        <v/>
      </c>
      <c r="L631" s="4">
        <f>IF(U631&lt;&gt;"",U631,IF(K631&gt;=Umbrales!$B$2,"Legendaria",IF(K631&gt;=Umbrales!$B$3,"Épica",IF(K631&gt;=Umbrales!$B$4,"Rara",IF(K631&gt;=Umbrales!$B$5,"Poco común","Común")))))</f>
        <v/>
      </c>
      <c r="M631" s="5" t="n">
        <v>30772.000768</v>
      </c>
      <c r="N631" s="5" t="n">
        <v>559</v>
      </c>
      <c r="O631" s="5">
        <f>IF(M631="","",M631*J631)</f>
        <v/>
      </c>
      <c r="P631" s="5">
        <f>IF(N631="","",N631*J631)</f>
        <v/>
      </c>
      <c r="Q631" s="7" t="n">
        <v>0.0581</v>
      </c>
      <c r="R631" s="8" t="n">
        <v>41.77647</v>
      </c>
      <c r="S631" s="4" t="inlineStr">
        <is>
          <t>FTSE100</t>
        </is>
      </c>
      <c r="T631" s="9" t="inlineStr">
        <is>
          <t>SI</t>
        </is>
      </c>
      <c r="U631" s="9" t="inlineStr"/>
      <c r="V631" s="10">
        <f>Umbrales!$B$9*(K631/1000)^Umbrales!$B$10</f>
        <v/>
      </c>
    </row>
    <row r="632">
      <c r="A632" s="4" t="inlineStr">
        <is>
          <t>FTS.TO</t>
        </is>
      </c>
      <c r="B632" s="4" t="inlineStr">
        <is>
          <t>Fortis Inc.</t>
        </is>
      </c>
      <c r="C632" s="4" t="inlineStr">
        <is>
          <t>Canada</t>
        </is>
      </c>
      <c r="D632" s="4" t="inlineStr">
        <is>
          <t>CA</t>
        </is>
      </c>
      <c r="E632" s="4" t="inlineStr">
        <is>
          <t>Servicios públicos</t>
        </is>
      </c>
      <c r="F632" s="4" t="inlineStr">
        <is>
          <t>Utilities - Regulated Electric</t>
        </is>
      </c>
      <c r="G632" s="4" t="inlineStr">
        <is>
          <t>TOR</t>
        </is>
      </c>
      <c r="H632" s="4" t="inlineStr">
        <is>
          <t>CAD</t>
        </is>
      </c>
      <c r="I632" s="5" t="n">
        <v>39824.654336</v>
      </c>
      <c r="J632" s="6">
        <f>INDEX(FX!$B:$B,MATCH(H632,FX!$A:$A,0))</f>
        <v/>
      </c>
      <c r="K632" s="5">
        <f>I632*J632</f>
        <v/>
      </c>
      <c r="L632" s="4">
        <f>IF(U632&lt;&gt;"",U632,IF(K632&gt;=Umbrales!$B$2,"Legendaria",IF(K632&gt;=Umbrales!$B$3,"Épica",IF(K632&gt;=Umbrales!$B$4,"Rara",IF(K632&gt;=Umbrales!$B$5,"Poco común","Común")))))</f>
        <v/>
      </c>
      <c r="M632" s="5" t="n">
        <v>12350.999552</v>
      </c>
      <c r="N632" s="5" t="n">
        <v>1728</v>
      </c>
      <c r="O632" s="5">
        <f>IF(M632="","",M632*J632)</f>
        <v/>
      </c>
      <c r="P632" s="5">
        <f>IF(N632="","",N632*J632)</f>
        <v/>
      </c>
      <c r="Q632" s="7" t="n">
        <v>0.0333</v>
      </c>
      <c r="R632" s="8" t="n">
        <v>22.594202</v>
      </c>
      <c r="S632" s="4" t="inlineStr">
        <is>
          <t>TSX60</t>
        </is>
      </c>
      <c r="T632" s="9" t="inlineStr">
        <is>
          <t>SI</t>
        </is>
      </c>
      <c r="U632" s="9" t="inlineStr"/>
      <c r="V632" s="10">
        <f>Umbrales!$B$9*(K632/1000)^Umbrales!$B$10</f>
        <v/>
      </c>
    </row>
    <row r="633">
      <c r="A633" s="4" t="inlineStr">
        <is>
          <t>HEI.DE</t>
        </is>
      </c>
      <c r="B633" s="4" t="inlineStr">
        <is>
          <t>Heidelberg Materials AG</t>
        </is>
      </c>
      <c r="C633" s="4" t="inlineStr">
        <is>
          <t>Germany</t>
        </is>
      </c>
      <c r="D633" s="4" t="inlineStr">
        <is>
          <t>DE</t>
        </is>
      </c>
      <c r="E633" s="4" t="inlineStr">
        <is>
          <t>Materiales</t>
        </is>
      </c>
      <c r="F633" s="4" t="inlineStr">
        <is>
          <t>Building Materials</t>
        </is>
      </c>
      <c r="G633" s="4" t="inlineStr">
        <is>
          <t>GER</t>
        </is>
      </c>
      <c r="H633" s="4" t="inlineStr">
        <is>
          <t>EUR</t>
        </is>
      </c>
      <c r="I633" s="5" t="n">
        <v>24972.660736</v>
      </c>
      <c r="J633" s="6">
        <f>INDEX(FX!$B:$B,MATCH(H633,FX!$A:$A,0))</f>
        <v/>
      </c>
      <c r="K633" s="5">
        <f>I633*J633</f>
        <v/>
      </c>
      <c r="L633" s="4">
        <f>IF(U633&lt;&gt;"",U633,IF(K633&gt;=Umbrales!$B$2,"Legendaria",IF(K633&gt;=Umbrales!$B$3,"Épica",IF(K633&gt;=Umbrales!$B$4,"Rara",IF(K633&gt;=Umbrales!$B$5,"Poco común","Común")))))</f>
        <v/>
      </c>
      <c r="M633" s="5" t="n">
        <v>21734.100992</v>
      </c>
      <c r="N633" s="5" t="n">
        <v>2033.900032</v>
      </c>
      <c r="O633" s="5">
        <f>IF(M633="","",M633*J633)</f>
        <v/>
      </c>
      <c r="P633" s="5">
        <f>IF(N633="","",N633*J633)</f>
        <v/>
      </c>
      <c r="Q633" s="7" t="n">
        <v>0.0254</v>
      </c>
      <c r="R633" s="8" t="n">
        <v>12.352174</v>
      </c>
      <c r="S633" s="4" t="inlineStr">
        <is>
          <t>DAX40</t>
        </is>
      </c>
      <c r="T633" s="9" t="inlineStr">
        <is>
          <t>SI</t>
        </is>
      </c>
      <c r="U633" s="9" t="inlineStr"/>
      <c r="V633" s="10">
        <f>Umbrales!$B$9*(K633/1000)^Umbrales!$B$10</f>
        <v/>
      </c>
    </row>
    <row r="634">
      <c r="A634" s="4" t="inlineStr">
        <is>
          <t>HEXA-B.ST</t>
        </is>
      </c>
      <c r="B634" s="4" t="inlineStr">
        <is>
          <t>Hexagon AB (publ)</t>
        </is>
      </c>
      <c r="C634" s="4" t="inlineStr">
        <is>
          <t>Sweden</t>
        </is>
      </c>
      <c r="D634" s="4" t="inlineStr">
        <is>
          <t>SE</t>
        </is>
      </c>
      <c r="E634" s="4" t="inlineStr">
        <is>
          <t>Tecnología</t>
        </is>
      </c>
      <c r="F634" s="4" t="inlineStr">
        <is>
          <t>Scientific &amp; Technical Instruments</t>
        </is>
      </c>
      <c r="G634" s="4" t="inlineStr">
        <is>
          <t>STO</t>
        </is>
      </c>
      <c r="H634" s="4" t="inlineStr">
        <is>
          <t>SEK</t>
        </is>
      </c>
      <c r="I634" s="5" t="n">
        <v>278638.42816</v>
      </c>
      <c r="J634" s="6">
        <f>INDEX(FX!$B:$B,MATCH(H634,FX!$A:$A,0))</f>
        <v/>
      </c>
      <c r="K634" s="5">
        <f>I634*J634</f>
        <v/>
      </c>
      <c r="L634" s="4">
        <f>IF(U634&lt;&gt;"",U634,IF(K634&gt;=Umbrales!$B$2,"Legendaria",IF(K634&gt;=Umbrales!$B$3,"Épica",IF(K634&gt;=Umbrales!$B$4,"Rara",IF(K634&gt;=Umbrales!$B$5,"Poco común","Común")))))</f>
        <v/>
      </c>
      <c r="M634" s="5" t="n">
        <v>5467.10016</v>
      </c>
      <c r="N634" s="5" t="n">
        <v>2130.099968</v>
      </c>
      <c r="O634" s="5">
        <f>IF(M634="","",M634*J634)</f>
        <v/>
      </c>
      <c r="P634" s="5">
        <f>IF(N634="","",N634*J634)</f>
        <v/>
      </c>
      <c r="Q634" s="7" t="n">
        <v>0.0145</v>
      </c>
      <c r="R634" s="8" t="n">
        <v>12.767528</v>
      </c>
      <c r="S634" s="4" t="inlineStr">
        <is>
          <t>OMXS30</t>
        </is>
      </c>
      <c r="T634" s="9" t="inlineStr">
        <is>
          <t>SI</t>
        </is>
      </c>
      <c r="U634" s="9" t="inlineStr"/>
      <c r="V634" s="10">
        <f>Umbrales!$B$9*(K634/1000)^Umbrales!$B$10</f>
        <v/>
      </c>
    </row>
    <row r="635">
      <c r="A635" s="4" t="inlineStr">
        <is>
          <t>PPL.TO</t>
        </is>
      </c>
      <c r="B635" s="4" t="inlineStr">
        <is>
          <t>Pembina Pipeline Corporation</t>
        </is>
      </c>
      <c r="C635" s="4" t="inlineStr">
        <is>
          <t>Canada</t>
        </is>
      </c>
      <c r="D635" s="4" t="inlineStr">
        <is>
          <t>CA</t>
        </is>
      </c>
      <c r="E635" s="4" t="inlineStr">
        <is>
          <t>Energía</t>
        </is>
      </c>
      <c r="F635" s="4" t="inlineStr">
        <is>
          <t>Oil &amp; Gas Midstream</t>
        </is>
      </c>
      <c r="G635" s="4" t="inlineStr">
        <is>
          <t>TOR</t>
        </is>
      </c>
      <c r="H635" s="4" t="inlineStr">
        <is>
          <t>CAD</t>
        </is>
      </c>
      <c r="I635" s="5" t="n">
        <v>39667.867648</v>
      </c>
      <c r="J635" s="6">
        <f>INDEX(FX!$B:$B,MATCH(H635,FX!$A:$A,0))</f>
        <v/>
      </c>
      <c r="K635" s="5">
        <f>I635*J635</f>
        <v/>
      </c>
      <c r="L635" s="4">
        <f>IF(U635&lt;&gt;"",U635,IF(K635&gt;=Umbrales!$B$2,"Legendaria",IF(K635&gt;=Umbrales!$B$3,"Épica",IF(K635&gt;=Umbrales!$B$4,"Rara",IF(K635&gt;=Umbrales!$B$5,"Poco común","Común")))))</f>
        <v/>
      </c>
      <c r="M635" s="5" t="n">
        <v>7961.999872</v>
      </c>
      <c r="N635" s="5" t="n">
        <v>1652</v>
      </c>
      <c r="O635" s="5">
        <f>IF(M635="","",M635*J635)</f>
        <v/>
      </c>
      <c r="P635" s="5">
        <f>IF(N635="","",N635*J635)</f>
        <v/>
      </c>
      <c r="Q635" s="7" t="n">
        <v>0.0425</v>
      </c>
      <c r="R635" s="8" t="n">
        <v>24.017607</v>
      </c>
      <c r="S635" s="4" t="inlineStr">
        <is>
          <t>TSX60</t>
        </is>
      </c>
      <c r="T635" s="9" t="inlineStr">
        <is>
          <t>SI</t>
        </is>
      </c>
      <c r="U635" s="9" t="inlineStr"/>
      <c r="V635" s="10">
        <f>Umbrales!$B$9*(K635/1000)^Umbrales!$B$10</f>
        <v/>
      </c>
    </row>
    <row r="636">
      <c r="A636" s="4" t="inlineStr">
        <is>
          <t>WRB</t>
        </is>
      </c>
      <c r="B636" s="4" t="inlineStr">
        <is>
          <t>W. R. Berkley Corporation</t>
        </is>
      </c>
      <c r="C636" s="4" t="inlineStr">
        <is>
          <t>United States</t>
        </is>
      </c>
      <c r="D636" s="4" t="inlineStr">
        <is>
          <t>US</t>
        </is>
      </c>
      <c r="E636" s="4" t="inlineStr">
        <is>
          <t>Finanzas</t>
        </is>
      </c>
      <c r="F636" s="4" t="inlineStr">
        <is>
          <t>Insurance - Property &amp; Casualty</t>
        </is>
      </c>
      <c r="G636" s="4" t="inlineStr">
        <is>
          <t>NYQ</t>
        </is>
      </c>
      <c r="H636" s="4" t="inlineStr">
        <is>
          <t>USD</t>
        </is>
      </c>
      <c r="I636" s="5" t="n">
        <v>27905.171456</v>
      </c>
      <c r="J636" s="6">
        <f>INDEX(FX!$B:$B,MATCH(H636,FX!$A:$A,0))</f>
        <v/>
      </c>
      <c r="K636" s="5">
        <f>I636*J636</f>
        <v/>
      </c>
      <c r="L636" s="4">
        <f>IF(U636&lt;&gt;"",U636,IF(K636&gt;=Umbrales!$B$2,"Legendaria",IF(K636&gt;=Umbrales!$B$3,"Épica",IF(K636&gt;=Umbrales!$B$4,"Rara",IF(K636&gt;=Umbrales!$B$5,"Poco común","Común")))))</f>
        <v/>
      </c>
      <c r="M636" s="5" t="n">
        <v>14896.1024</v>
      </c>
      <c r="N636" s="5" t="n">
        <v>1928.020992</v>
      </c>
      <c r="O636" s="5">
        <f>IF(M636="","",M636*J636)</f>
        <v/>
      </c>
      <c r="P636" s="5">
        <f>IF(N636="","",N636*J636)</f>
        <v/>
      </c>
      <c r="Q636" s="7" t="n">
        <v>0.0054</v>
      </c>
      <c r="R636" s="8" t="n">
        <v>15.435318</v>
      </c>
      <c r="S636" s="4" t="inlineStr">
        <is>
          <t>SP500</t>
        </is>
      </c>
      <c r="T636" s="9" t="inlineStr">
        <is>
          <t>SI</t>
        </is>
      </c>
      <c r="U636" s="9" t="inlineStr"/>
      <c r="V636" s="10">
        <f>Umbrales!$B$9*(K636/1000)^Umbrales!$B$10</f>
        <v/>
      </c>
    </row>
    <row r="637">
      <c r="A637" s="4" t="inlineStr">
        <is>
          <t>ATO</t>
        </is>
      </c>
      <c r="B637" s="4" t="inlineStr">
        <is>
          <t>Atmos Energy Corporation</t>
        </is>
      </c>
      <c r="C637" s="4" t="inlineStr">
        <is>
          <t>United States</t>
        </is>
      </c>
      <c r="D637" s="4" t="inlineStr">
        <is>
          <t>US</t>
        </is>
      </c>
      <c r="E637" s="4" t="inlineStr">
        <is>
          <t>Servicios públicos</t>
        </is>
      </c>
      <c r="F637" s="4" t="inlineStr">
        <is>
          <t>Utilities - Regulated Gas</t>
        </is>
      </c>
      <c r="G637" s="4" t="inlineStr">
        <is>
          <t>NYQ</t>
        </is>
      </c>
      <c r="H637" s="4" t="inlineStr">
        <is>
          <t>USD</t>
        </is>
      </c>
      <c r="I637" s="5" t="n">
        <v>27728.488448</v>
      </c>
      <c r="J637" s="6">
        <f>INDEX(FX!$B:$B,MATCH(H637,FX!$A:$A,0))</f>
        <v/>
      </c>
      <c r="K637" s="5">
        <f>I637*J637</f>
        <v/>
      </c>
      <c r="L637" s="4">
        <f>IF(U637&lt;&gt;"",U637,IF(K637&gt;=Umbrales!$B$2,"Legendaria",IF(K637&gt;=Umbrales!$B$3,"Épica",IF(K637&gt;=Umbrales!$B$4,"Rara",IF(K637&gt;=Umbrales!$B$5,"Poco común","Común")))))</f>
        <v/>
      </c>
      <c r="M637" s="5" t="n">
        <v>4921.52576</v>
      </c>
      <c r="N637" s="5" t="n">
        <v>1402.008064</v>
      </c>
      <c r="O637" s="5">
        <f>IF(M637="","",M637*J637)</f>
        <v/>
      </c>
      <c r="P637" s="5">
        <f>IF(N637="","",N637*J637)</f>
        <v/>
      </c>
      <c r="Q637" s="7" t="n">
        <v>0.0245</v>
      </c>
      <c r="R637" s="8" t="n">
        <v>19.510702</v>
      </c>
      <c r="S637" s="4" t="inlineStr">
        <is>
          <t>SP500</t>
        </is>
      </c>
      <c r="T637" s="9" t="inlineStr">
        <is>
          <t>SI</t>
        </is>
      </c>
      <c r="U637" s="9" t="inlineStr"/>
      <c r="V637" s="10">
        <f>Umbrales!$B$9*(K637/1000)^Umbrales!$B$10</f>
        <v/>
      </c>
    </row>
    <row r="638">
      <c r="A638" s="4" t="inlineStr">
        <is>
          <t>FRE.DE</t>
        </is>
      </c>
      <c r="B638" s="4" t="inlineStr">
        <is>
          <t>Fresenius SE &amp; Co. KGaA</t>
        </is>
      </c>
      <c r="C638" s="4" t="inlineStr">
        <is>
          <t>Germany</t>
        </is>
      </c>
      <c r="D638" s="4" t="inlineStr">
        <is>
          <t>DE</t>
        </is>
      </c>
      <c r="E638" s="4" t="inlineStr">
        <is>
          <t>Salud</t>
        </is>
      </c>
      <c r="F638" s="4" t="inlineStr">
        <is>
          <t>Medical Care Facilities</t>
        </is>
      </c>
      <c r="G638" s="4" t="inlineStr">
        <is>
          <t>GER</t>
        </is>
      </c>
      <c r="H638" s="4" t="inlineStr">
        <is>
          <t>EUR</t>
        </is>
      </c>
      <c r="I638" s="5" t="n">
        <v>24709.218304</v>
      </c>
      <c r="J638" s="6">
        <f>INDEX(FX!$B:$B,MATCH(H638,FX!$A:$A,0))</f>
        <v/>
      </c>
      <c r="K638" s="5">
        <f>I638*J638</f>
        <v/>
      </c>
      <c r="L638" s="4">
        <f>IF(U638&lt;&gt;"",U638,IF(K638&gt;=Umbrales!$B$2,"Legendaria",IF(K638&gt;=Umbrales!$B$3,"Épica",IF(K638&gt;=Umbrales!$B$4,"Rara",IF(K638&gt;=Umbrales!$B$5,"Poco común","Común")))))</f>
        <v/>
      </c>
      <c r="M638" s="5" t="n">
        <v>23281.000448</v>
      </c>
      <c r="N638" s="5" t="n">
        <v>1563.000064</v>
      </c>
      <c r="O638" s="5">
        <f>IF(M638="","",M638*J638)</f>
        <v/>
      </c>
      <c r="P638" s="5">
        <f>IF(N638="","",N638*J638)</f>
        <v/>
      </c>
      <c r="Q638" s="7" t="n">
        <v>0.0243</v>
      </c>
      <c r="R638" s="8" t="n">
        <v>16.18819</v>
      </c>
      <c r="S638" s="4" t="inlineStr">
        <is>
          <t>DAX40</t>
        </is>
      </c>
      <c r="T638" s="9" t="inlineStr">
        <is>
          <t>SI</t>
        </is>
      </c>
      <c r="U638" s="9" t="inlineStr"/>
      <c r="V638" s="10">
        <f>Umbrales!$B$9*(K638/1000)^Umbrales!$B$10</f>
        <v/>
      </c>
    </row>
    <row r="639">
      <c r="A639" s="4" t="inlineStr">
        <is>
          <t>VRSN</t>
        </is>
      </c>
      <c r="B639" s="4" t="inlineStr">
        <is>
          <t>VeriSign, Inc.</t>
        </is>
      </c>
      <c r="C639" s="4" t="inlineStr">
        <is>
          <t>United States</t>
        </is>
      </c>
      <c r="D639" s="4" t="inlineStr">
        <is>
          <t>US</t>
        </is>
      </c>
      <c r="E639" s="4" t="inlineStr">
        <is>
          <t>Tecnología</t>
        </is>
      </c>
      <c r="F639" s="4" t="inlineStr">
        <is>
          <t>Software - Infrastructure</t>
        </is>
      </c>
      <c r="G639" s="4" t="inlineStr">
        <is>
          <t>NMS</t>
        </is>
      </c>
      <c r="H639" s="4" t="inlineStr">
        <is>
          <t>USD</t>
        </is>
      </c>
      <c r="I639" s="5" t="n">
        <v>27576.518656</v>
      </c>
      <c r="J639" s="6">
        <f>INDEX(FX!$B:$B,MATCH(H639,FX!$A:$A,0))</f>
        <v/>
      </c>
      <c r="K639" s="5">
        <f>I639*J639</f>
        <v/>
      </c>
      <c r="L639" s="4">
        <f>IF(U639&lt;&gt;"",U639,IF(K639&gt;=Umbrales!$B$2,"Legendaria",IF(K639&gt;=Umbrales!$B$3,"Épica",IF(K639&gt;=Umbrales!$B$4,"Rara",IF(K639&gt;=Umbrales!$B$5,"Poco común","Común")))))</f>
        <v/>
      </c>
      <c r="M639" s="5" t="n">
        <v>1707.900032</v>
      </c>
      <c r="N639" s="5" t="n">
        <v>850</v>
      </c>
      <c r="O639" s="5">
        <f>IF(M639="","",M639*J639)</f>
        <v/>
      </c>
      <c r="P639" s="5">
        <f>IF(N639="","",N639*J639)</f>
        <v/>
      </c>
      <c r="Q639" s="7" t="n">
        <v>0.0107</v>
      </c>
      <c r="R639" s="8" t="n">
        <v>33.121605</v>
      </c>
      <c r="S639" s="4" t="inlineStr">
        <is>
          <t>SP500</t>
        </is>
      </c>
      <c r="T639" s="9" t="inlineStr">
        <is>
          <t>SI</t>
        </is>
      </c>
      <c r="U639" s="9" t="inlineStr"/>
      <c r="V639" s="10">
        <f>Umbrales!$B$9*(K639/1000)^Umbrales!$B$10</f>
        <v/>
      </c>
    </row>
    <row r="640">
      <c r="A640" s="4" t="inlineStr">
        <is>
          <t>K.TO</t>
        </is>
      </c>
      <c r="B640" s="4" t="inlineStr">
        <is>
          <t>Kinross Gold Corporation</t>
        </is>
      </c>
      <c r="C640" s="4" t="inlineStr">
        <is>
          <t>Canada</t>
        </is>
      </c>
      <c r="D640" s="4" t="inlineStr">
        <is>
          <t>CA</t>
        </is>
      </c>
      <c r="E640" s="4" t="inlineStr">
        <is>
          <t>Materiales</t>
        </is>
      </c>
      <c r="F640" s="4" t="inlineStr">
        <is>
          <t>Gold</t>
        </is>
      </c>
      <c r="G640" s="4" t="inlineStr">
        <is>
          <t>TOR</t>
        </is>
      </c>
      <c r="H640" s="4" t="inlineStr">
        <is>
          <t>CAD</t>
        </is>
      </c>
      <c r="I640" s="5" t="n">
        <v>39086.63296</v>
      </c>
      <c r="J640" s="6">
        <f>INDEX(FX!$B:$B,MATCH(H640,FX!$A:$A,0))</f>
        <v/>
      </c>
      <c r="K640" s="5">
        <f>I640*J640</f>
        <v/>
      </c>
      <c r="L640" s="4">
        <f>IF(U640&lt;&gt;"",U640,IF(K640&gt;=Umbrales!$B$2,"Legendaria",IF(K640&gt;=Umbrales!$B$3,"Épica",IF(K640&gt;=Umbrales!$B$4,"Rara",IF(K640&gt;=Umbrales!$B$5,"Poco común","Común")))))</f>
        <v/>
      </c>
      <c r="M640" s="5" t="n">
        <v>8470.900224000001</v>
      </c>
      <c r="N640" s="5" t="n">
        <v>3178.599936</v>
      </c>
      <c r="O640" s="5">
        <f>IF(M640="","",M640*J640)</f>
        <v/>
      </c>
      <c r="P640" s="5">
        <f>IF(N640="","",N640*J640)</f>
        <v/>
      </c>
      <c r="Q640" s="7" t="n">
        <v>0.0066</v>
      </c>
      <c r="R640" s="8" t="n">
        <v>9.550725</v>
      </c>
      <c r="S640" s="4" t="inlineStr">
        <is>
          <t>TSX60</t>
        </is>
      </c>
      <c r="T640" s="9" t="inlineStr">
        <is>
          <t>SI</t>
        </is>
      </c>
      <c r="U640" s="9" t="inlineStr"/>
      <c r="V640" s="10">
        <f>Umbrales!$B$9*(K640/1000)^Umbrales!$B$10</f>
        <v/>
      </c>
    </row>
    <row r="641">
      <c r="A641" s="4" t="inlineStr">
        <is>
          <t>HPQ</t>
        </is>
      </c>
      <c r="B641" s="4" t="inlineStr">
        <is>
          <t>HP Inc.</t>
        </is>
      </c>
      <c r="C641" s="4" t="inlineStr">
        <is>
          <t>United States</t>
        </is>
      </c>
      <c r="D641" s="4" t="inlineStr">
        <is>
          <t>US</t>
        </is>
      </c>
      <c r="E641" s="4" t="inlineStr">
        <is>
          <t>Tecnología</t>
        </is>
      </c>
      <c r="F641" s="4" t="inlineStr">
        <is>
          <t>Computer Hardware</t>
        </is>
      </c>
      <c r="G641" s="4" t="inlineStr">
        <is>
          <t>NYQ</t>
        </is>
      </c>
      <c r="H641" s="4" t="inlineStr">
        <is>
          <t>USD</t>
        </is>
      </c>
      <c r="I641" s="5" t="n">
        <v>27468.552192</v>
      </c>
      <c r="J641" s="6">
        <f>INDEX(FX!$B:$B,MATCH(H641,FX!$A:$A,0))</f>
        <v/>
      </c>
      <c r="K641" s="5">
        <f>I641*J641</f>
        <v/>
      </c>
      <c r="L641" s="4">
        <f>IF(U641&lt;&gt;"",U641,IF(K641&gt;=Umbrales!$B$2,"Legendaria",IF(K641&gt;=Umbrales!$B$3,"Épica",IF(K641&gt;=Umbrales!$B$4,"Rara",IF(K641&gt;=Umbrales!$B$5,"Poco común","Común")))))</f>
        <v/>
      </c>
      <c r="M641" s="5" t="n">
        <v>59162.001408</v>
      </c>
      <c r="N641" s="5" t="n">
        <v>2451.000064</v>
      </c>
      <c r="O641" s="5">
        <f>IF(M641="","",M641*J641)</f>
        <v/>
      </c>
      <c r="P641" s="5">
        <f>IF(N641="","",N641*J641)</f>
        <v/>
      </c>
      <c r="Q641" s="7" t="n">
        <v>0.0392</v>
      </c>
      <c r="R641" s="8" t="n">
        <v>11.670498</v>
      </c>
      <c r="S641" s="4" t="inlineStr">
        <is>
          <t>SP500</t>
        </is>
      </c>
      <c r="T641" s="9" t="inlineStr">
        <is>
          <t>SI</t>
        </is>
      </c>
      <c r="U641" s="9" t="inlineStr"/>
      <c r="V641" s="10">
        <f>Umbrales!$B$9*(K641/1000)^Umbrales!$B$10</f>
        <v/>
      </c>
    </row>
    <row r="642">
      <c r="A642" s="4" t="inlineStr">
        <is>
          <t>HM-B.ST</t>
        </is>
      </c>
      <c r="B642" s="4" t="inlineStr">
        <is>
          <t>H &amp; M Hennes &amp; Mauritz AB (publ)</t>
        </is>
      </c>
      <c r="C642" s="4" t="inlineStr">
        <is>
          <t>Sweden</t>
        </is>
      </c>
      <c r="D642" s="4" t="inlineStr">
        <is>
          <t>SE</t>
        </is>
      </c>
      <c r="E642" s="4" t="inlineStr">
        <is>
          <t>Consumo cíclico</t>
        </is>
      </c>
      <c r="F642" s="4" t="inlineStr">
        <is>
          <t>Apparel Manufacturing</t>
        </is>
      </c>
      <c r="G642" s="4" t="inlineStr">
        <is>
          <t>STO</t>
        </is>
      </c>
      <c r="H642" s="4" t="inlineStr">
        <is>
          <t>SEK</t>
        </is>
      </c>
      <c r="I642" s="5" t="n">
        <v>272021.946368</v>
      </c>
      <c r="J642" s="6">
        <f>INDEX(FX!$B:$B,MATCH(H642,FX!$A:$A,0))</f>
        <v/>
      </c>
      <c r="K642" s="5">
        <f>I642*J642</f>
        <v/>
      </c>
      <c r="L642" s="4">
        <f>IF(U642&lt;&gt;"",U642,IF(K642&gt;=Umbrales!$B$2,"Legendaria",IF(K642&gt;=Umbrales!$B$3,"Épica",IF(K642&gt;=Umbrales!$B$4,"Rara",IF(K642&gt;=Umbrales!$B$5,"Poco común","Común")))))</f>
        <v/>
      </c>
      <c r="M642" s="5" t="n">
        <v>220844.998656</v>
      </c>
      <c r="N642" s="5" t="n">
        <v>13194.999808</v>
      </c>
      <c r="O642" s="5">
        <f>IF(M642="","",M642*J642)</f>
        <v/>
      </c>
      <c r="P642" s="5">
        <f>IF(N642="","",N642*J642)</f>
        <v/>
      </c>
      <c r="Q642" s="7" t="n">
        <v>0.0425</v>
      </c>
      <c r="R642" s="8" t="n">
        <v>20.679611</v>
      </c>
      <c r="S642" s="4" t="inlineStr">
        <is>
          <t>OMXS30</t>
        </is>
      </c>
      <c r="T642" s="9" t="inlineStr">
        <is>
          <t>SI</t>
        </is>
      </c>
      <c r="U642" s="9" t="inlineStr"/>
      <c r="V642" s="10">
        <f>Umbrales!$B$9*(K642/1000)^Umbrales!$B$10</f>
        <v/>
      </c>
    </row>
    <row r="643">
      <c r="A643" s="4" t="inlineStr">
        <is>
          <t>1109.HK</t>
        </is>
      </c>
      <c r="B643" s="4" t="inlineStr">
        <is>
          <t>China Resources Land Limited</t>
        </is>
      </c>
      <c r="C643" s="4" t="inlineStr">
        <is>
          <t>Hong Kong</t>
        </is>
      </c>
      <c r="D643" s="4" t="inlineStr">
        <is>
          <t>HK</t>
        </is>
      </c>
      <c r="E643" s="4" t="inlineStr">
        <is>
          <t>Inmobiliario</t>
        </is>
      </c>
      <c r="F643" s="4" t="inlineStr">
        <is>
          <t>Real Estate - Development</t>
        </is>
      </c>
      <c r="G643" s="4" t="inlineStr">
        <is>
          <t>HKG</t>
        </is>
      </c>
      <c r="H643" s="4" t="inlineStr">
        <is>
          <t>HKD</t>
        </is>
      </c>
      <c r="I643" s="5" t="n">
        <v>214356.033536</v>
      </c>
      <c r="J643" s="6">
        <f>INDEX(FX!$B:$B,MATCH(H643,FX!$A:$A,0))</f>
        <v/>
      </c>
      <c r="K643" s="5">
        <f>I643*J643</f>
        <v/>
      </c>
      <c r="L643" s="4">
        <f>IF(U643&lt;&gt;"",U643,IF(K643&gt;=Umbrales!$B$2,"Legendaria",IF(K643&gt;=Umbrales!$B$3,"Épica",IF(K643&gt;=Umbrales!$B$4,"Rara",IF(K643&gt;=Umbrales!$B$5,"Poco común","Común")))))</f>
        <v/>
      </c>
      <c r="M643" s="5" t="n">
        <v>254385.93024</v>
      </c>
      <c r="N643" s="5" t="n">
        <v>23379.255296</v>
      </c>
      <c r="O643" s="5">
        <f>IF(M643="","",M643*J643)</f>
        <v/>
      </c>
      <c r="P643" s="5">
        <f>IF(N643="","",N643*J643)</f>
        <v/>
      </c>
      <c r="Q643" s="7" t="n">
        <v>0.0441</v>
      </c>
      <c r="R643" s="8" t="n">
        <v>8.235616</v>
      </c>
      <c r="S643" s="4" t="inlineStr">
        <is>
          <t>HANGSENG</t>
        </is>
      </c>
      <c r="T643" s="9" t="inlineStr">
        <is>
          <t>SI</t>
        </is>
      </c>
      <c r="U643" s="9" t="inlineStr"/>
      <c r="V643" s="10">
        <f>Umbrales!$B$9*(K643/1000)^Umbrales!$B$10</f>
        <v/>
      </c>
    </row>
    <row r="644">
      <c r="A644" s="4" t="inlineStr">
        <is>
          <t>GFS</t>
        </is>
      </c>
      <c r="B644" s="4" t="inlineStr">
        <is>
          <t>GLOBALFOUNDRIES Inc.</t>
        </is>
      </c>
      <c r="C644" s="4" t="inlineStr">
        <is>
          <t>United States</t>
        </is>
      </c>
      <c r="D644" s="4" t="inlineStr">
        <is>
          <t>US</t>
        </is>
      </c>
      <c r="E644" s="4" t="inlineStr">
        <is>
          <t>Tecnología</t>
        </is>
      </c>
      <c r="F644" s="4" t="inlineStr">
        <is>
          <t>Semiconductors</t>
        </is>
      </c>
      <c r="G644" s="4" t="inlineStr">
        <is>
          <t>NMS</t>
        </is>
      </c>
      <c r="H644" s="4" t="inlineStr">
        <is>
          <t>USD</t>
        </is>
      </c>
      <c r="I644" s="5" t="n">
        <v>27280.06656</v>
      </c>
      <c r="J644" s="6">
        <f>INDEX(FX!$B:$B,MATCH(H644,FX!$A:$A,0))</f>
        <v/>
      </c>
      <c r="K644" s="5">
        <f>I644*J644</f>
        <v/>
      </c>
      <c r="L644" s="4">
        <f>IF(U644&lt;&gt;"",U644,IF(K644&gt;=Umbrales!$B$2,"Legendaria",IF(K644&gt;=Umbrales!$B$3,"Épica",IF(K644&gt;=Umbrales!$B$4,"Rara",IF(K644&gt;=Umbrales!$B$5,"Poco común","Común")))))</f>
        <v/>
      </c>
      <c r="M644" s="5" t="n">
        <v>6937.999872</v>
      </c>
      <c r="N644" s="5" t="n">
        <v>716</v>
      </c>
      <c r="O644" s="5">
        <f>IF(M644="","",M644*J644)</f>
        <v/>
      </c>
      <c r="P644" s="5">
        <f>IF(N644="","",N644*J644)</f>
        <v/>
      </c>
      <c r="Q644" s="7" t="n">
        <v>0.0103</v>
      </c>
      <c r="R644" s="8" t="n">
        <v>36.522385</v>
      </c>
      <c r="S644" s="4" t="inlineStr">
        <is>
          <t>NASDAQ100</t>
        </is>
      </c>
      <c r="T644" s="9" t="inlineStr">
        <is>
          <t>SI</t>
        </is>
      </c>
      <c r="U644" s="9" t="inlineStr"/>
      <c r="V644" s="10">
        <f>Umbrales!$B$9*(K644/1000)^Umbrales!$B$10</f>
        <v/>
      </c>
    </row>
    <row r="645">
      <c r="A645" s="4" t="inlineStr">
        <is>
          <t>9888.HK</t>
        </is>
      </c>
      <c r="B645" s="4" t="inlineStr">
        <is>
          <t>Baidu, Inc.</t>
        </is>
      </c>
      <c r="C645" s="4" t="inlineStr">
        <is>
          <t>China</t>
        </is>
      </c>
      <c r="D645" s="4" t="inlineStr">
        <is>
          <t>CN</t>
        </is>
      </c>
      <c r="E645" s="4" t="inlineStr">
        <is>
          <t>Comunicación</t>
        </is>
      </c>
      <c r="F645" s="4" t="inlineStr">
        <is>
          <t>Internet Content &amp; Information</t>
        </is>
      </c>
      <c r="G645" s="4" t="inlineStr">
        <is>
          <t>HKG</t>
        </is>
      </c>
      <c r="H645" s="4" t="inlineStr">
        <is>
          <t>HKD</t>
        </is>
      </c>
      <c r="I645" s="5" t="n">
        <v>213377.499136</v>
      </c>
      <c r="J645" s="6">
        <f>INDEX(FX!$B:$B,MATCH(H645,FX!$A:$A,0))</f>
        <v/>
      </c>
      <c r="K645" s="5">
        <f>I645*J645</f>
        <v/>
      </c>
      <c r="L645" s="4">
        <f>IF(U645&lt;&gt;"",U645,IF(K645&gt;=Umbrales!$B$2,"Legendaria",IF(K645&gt;=Umbrales!$B$3,"Épica",IF(K645&gt;=Umbrales!$B$4,"Rara",IF(K645&gt;=Umbrales!$B$5,"Poco común","Común")))))</f>
        <v/>
      </c>
      <c r="M645" s="5" t="n">
        <v>127314.00192</v>
      </c>
      <c r="N645" s="5" t="n">
        <v>-4709.000192</v>
      </c>
      <c r="O645" s="5">
        <f>IF(M645="","",M645*J645)</f>
        <v/>
      </c>
      <c r="P645" s="5">
        <f>IF(N645="","",N645*J645)</f>
        <v/>
      </c>
      <c r="Q645" s="7" t="n">
        <v>0</v>
      </c>
      <c r="R645" s="8" t="n"/>
      <c r="S645" s="4" t="inlineStr">
        <is>
          <t>HANGSENG</t>
        </is>
      </c>
      <c r="T645" s="9" t="inlineStr">
        <is>
          <t>SI</t>
        </is>
      </c>
      <c r="U645" s="9" t="inlineStr"/>
      <c r="V645" s="10">
        <f>Umbrales!$B$9*(K645/1000)^Umbrales!$B$10</f>
        <v/>
      </c>
    </row>
    <row r="646">
      <c r="A646" s="4" t="inlineStr">
        <is>
          <t>HAL</t>
        </is>
      </c>
      <c r="B646" s="4" t="inlineStr">
        <is>
          <t>Halliburton Company</t>
        </is>
      </c>
      <c r="C646" s="4" t="inlineStr">
        <is>
          <t>United States</t>
        </is>
      </c>
      <c r="D646" s="4" t="inlineStr">
        <is>
          <t>US</t>
        </is>
      </c>
      <c r="E646" s="4" t="inlineStr">
        <is>
          <t>Energía</t>
        </is>
      </c>
      <c r="F646" s="4" t="inlineStr">
        <is>
          <t>Oil &amp; Gas Equipment &amp; Services</t>
        </is>
      </c>
      <c r="G646" s="4" t="inlineStr">
        <is>
          <t>NYQ</t>
        </is>
      </c>
      <c r="H646" s="4" t="inlineStr">
        <is>
          <t>USD</t>
        </is>
      </c>
      <c r="I646" s="5" t="n">
        <v>27146.25024</v>
      </c>
      <c r="J646" s="6">
        <f>INDEX(FX!$B:$B,MATCH(H646,FX!$A:$A,0))</f>
        <v/>
      </c>
      <c r="K646" s="5">
        <f>I646*J646</f>
        <v/>
      </c>
      <c r="L646" s="4">
        <f>IF(U646&lt;&gt;"",U646,IF(K646&gt;=Umbrales!$B$2,"Legendaria",IF(K646&gt;=Umbrales!$B$3,"Épica",IF(K646&gt;=Umbrales!$B$4,"Rara",IF(K646&gt;=Umbrales!$B$5,"Poco común","Común")))))</f>
        <v/>
      </c>
      <c r="M646" s="5" t="n">
        <v>22372.999168</v>
      </c>
      <c r="N646" s="5" t="n">
        <v>1602</v>
      </c>
      <c r="O646" s="5">
        <f>IF(M646="","",M646*J646)</f>
        <v/>
      </c>
      <c r="P646" s="5">
        <f>IF(N646="","",N646*J646)</f>
        <v/>
      </c>
      <c r="Q646" s="7" t="n">
        <v>0.0207</v>
      </c>
      <c r="R646" s="8" t="n">
        <v>17.10263</v>
      </c>
      <c r="S646" s="4" t="inlineStr">
        <is>
          <t>SP500</t>
        </is>
      </c>
      <c r="T646" s="9" t="inlineStr">
        <is>
          <t>SI</t>
        </is>
      </c>
      <c r="U646" s="9" t="inlineStr"/>
      <c r="V646" s="10">
        <f>Umbrales!$B$9*(K646/1000)^Umbrales!$B$10</f>
        <v/>
      </c>
    </row>
    <row r="647">
      <c r="A647" s="4" t="inlineStr">
        <is>
          <t>BT-A.L</t>
        </is>
      </c>
      <c r="B647" s="4" t="inlineStr">
        <is>
          <t>BT Group plc</t>
        </is>
      </c>
      <c r="C647" s="4" t="inlineStr">
        <is>
          <t>United Kingdom</t>
        </is>
      </c>
      <c r="D647" s="4" t="inlineStr">
        <is>
          <t>GB</t>
        </is>
      </c>
      <c r="E647" s="4" t="inlineStr">
        <is>
          <t>Comunicación</t>
        </is>
      </c>
      <c r="F647" s="4" t="inlineStr">
        <is>
          <t>Telecom Services</t>
        </is>
      </c>
      <c r="G647" s="4" t="inlineStr">
        <is>
          <t>LSE</t>
        </is>
      </c>
      <c r="H647" s="4" t="inlineStr">
        <is>
          <t>GBP</t>
        </is>
      </c>
      <c r="I647" s="5" t="n">
        <v>20451.190784</v>
      </c>
      <c r="J647" s="6">
        <f>INDEX(FX!$B:$B,MATCH(H647,FX!$A:$A,0))</f>
        <v/>
      </c>
      <c r="K647" s="5">
        <f>I647*J647</f>
        <v/>
      </c>
      <c r="L647" s="4">
        <f>IF(U647&lt;&gt;"",U647,IF(K647&gt;=Umbrales!$B$2,"Legendaria",IF(K647&gt;=Umbrales!$B$3,"Épica",IF(K647&gt;=Umbrales!$B$4,"Rara",IF(K647&gt;=Umbrales!$B$5,"Poco común","Común")))))</f>
        <v/>
      </c>
      <c r="M647" s="5" t="n">
        <v>19654.00064</v>
      </c>
      <c r="N647" s="5" t="n">
        <v>1076.999936</v>
      </c>
      <c r="O647" s="5">
        <f>IF(M647="","",M647*J647)</f>
        <v/>
      </c>
      <c r="P647" s="5">
        <f>IF(N647="","",N647*J647)</f>
        <v/>
      </c>
      <c r="Q647" s="7" t="n">
        <v>0.04190000000000001</v>
      </c>
      <c r="R647" s="8" t="n">
        <v>18.868181</v>
      </c>
      <c r="S647" s="4" t="inlineStr">
        <is>
          <t>FTSE100</t>
        </is>
      </c>
      <c r="T647" s="9" t="inlineStr">
        <is>
          <t>SI</t>
        </is>
      </c>
      <c r="U647" s="9" t="inlineStr"/>
      <c r="V647" s="10">
        <f>Umbrales!$B$9*(K647/1000)^Umbrales!$B$10</f>
        <v/>
      </c>
    </row>
    <row r="648">
      <c r="A648" s="4" t="inlineStr">
        <is>
          <t>COALINDIA.NS</t>
        </is>
      </c>
      <c r="B648" s="4" t="inlineStr">
        <is>
          <t>Coal India Limited</t>
        </is>
      </c>
      <c r="C648" s="4" t="inlineStr">
        <is>
          <t>India</t>
        </is>
      </c>
      <c r="D648" s="4" t="inlineStr">
        <is>
          <t>IN</t>
        </is>
      </c>
      <c r="E648" s="4" t="inlineStr">
        <is>
          <t>Energía</t>
        </is>
      </c>
      <c r="F648" s="4" t="inlineStr">
        <is>
          <t>Thermal Coal</t>
        </is>
      </c>
      <c r="G648" s="4" t="inlineStr">
        <is>
          <t>NSI</t>
        </is>
      </c>
      <c r="H648" s="4" t="inlineStr">
        <is>
          <t>INR</t>
        </is>
      </c>
      <c r="I648" s="5" t="n">
        <v>2576020.406272</v>
      </c>
      <c r="J648" s="6">
        <f>INDEX(FX!$B:$B,MATCH(H648,FX!$A:$A,0))</f>
        <v/>
      </c>
      <c r="K648" s="5">
        <f>I648*J648</f>
        <v/>
      </c>
      <c r="L648" s="4">
        <f>IF(U648&lt;&gt;"",U648,IF(K648&gt;=Umbrales!$B$2,"Legendaria",IF(K648&gt;=Umbrales!$B$3,"Épica",IF(K648&gt;=Umbrales!$B$4,"Rara",IF(K648&gt;=Umbrales!$B$5,"Poco común","Común")))))</f>
        <v/>
      </c>
      <c r="M648" s="5" t="n">
        <v>1717358.952448</v>
      </c>
      <c r="N648" s="5" t="n">
        <v>311493.492736</v>
      </c>
      <c r="O648" s="5">
        <f>IF(M648="","",M648*J648)</f>
        <v/>
      </c>
      <c r="P648" s="5">
        <f>IF(N648="","",N648*J648)</f>
        <v/>
      </c>
      <c r="Q648" s="7" t="n">
        <v>0.0635</v>
      </c>
      <c r="R648" s="8" t="n">
        <v>8.088234999999999</v>
      </c>
      <c r="S648" s="4" t="inlineStr">
        <is>
          <t>NIFTY50</t>
        </is>
      </c>
      <c r="T648" s="9" t="inlineStr">
        <is>
          <t>SI</t>
        </is>
      </c>
      <c r="U648" s="9" t="inlineStr"/>
      <c r="V648" s="10">
        <f>Umbrales!$B$9*(K648/1000)^Umbrales!$B$10</f>
        <v/>
      </c>
    </row>
    <row r="649">
      <c r="A649" s="4" t="inlineStr">
        <is>
          <t>VIE.PA</t>
        </is>
      </c>
      <c r="B649" s="4" t="inlineStr">
        <is>
          <t>Veolia Environnement SA</t>
        </is>
      </c>
      <c r="C649" s="4" t="inlineStr">
        <is>
          <t>France</t>
        </is>
      </c>
      <c r="D649" s="4" t="inlineStr">
        <is>
          <t>FR</t>
        </is>
      </c>
      <c r="E649" s="4" t="inlineStr">
        <is>
          <t>Industria</t>
        </is>
      </c>
      <c r="F649" s="4" t="inlineStr">
        <is>
          <t>Waste Management</t>
        </is>
      </c>
      <c r="G649" s="4" t="inlineStr">
        <is>
          <t>PAR</t>
        </is>
      </c>
      <c r="H649" s="4" t="inlineStr">
        <is>
          <t>EUR</t>
        </is>
      </c>
      <c r="I649" s="5" t="n">
        <v>24080.044032</v>
      </c>
      <c r="J649" s="6">
        <f>INDEX(FX!$B:$B,MATCH(H649,FX!$A:$A,0))</f>
        <v/>
      </c>
      <c r="K649" s="5">
        <f>I649*J649</f>
        <v/>
      </c>
      <c r="L649" s="4">
        <f>IF(U649&lt;&gt;"",U649,IF(K649&gt;=Umbrales!$B$2,"Legendaria",IF(K649&gt;=Umbrales!$B$3,"Épica",IF(K649&gt;=Umbrales!$B$4,"Rara",IF(K649&gt;=Umbrales!$B$5,"Poco común","Común")))))</f>
        <v/>
      </c>
      <c r="M649" s="5" t="n">
        <v>44541.001728</v>
      </c>
      <c r="N649" s="5" t="n">
        <v>1254</v>
      </c>
      <c r="O649" s="5">
        <f>IF(M649="","",M649*J649)</f>
        <v/>
      </c>
      <c r="P649" s="5">
        <f>IF(N649="","",N649*J649)</f>
        <v/>
      </c>
      <c r="Q649" s="7" t="n">
        <v>0.0472</v>
      </c>
      <c r="R649" s="8" t="n">
        <v>18.649426</v>
      </c>
      <c r="S649" s="4" t="inlineStr">
        <is>
          <t>CAC40</t>
        </is>
      </c>
      <c r="T649" s="9" t="inlineStr">
        <is>
          <t>SI</t>
        </is>
      </c>
      <c r="U649" s="9" t="inlineStr"/>
      <c r="V649" s="10">
        <f>Umbrales!$B$9*(K649/1000)^Umbrales!$B$10</f>
        <v/>
      </c>
    </row>
    <row r="650">
      <c r="A650" s="4" t="inlineStr">
        <is>
          <t>KHC</t>
        </is>
      </c>
      <c r="B650" s="4" t="inlineStr">
        <is>
          <t>The Kraft Heinz Company</t>
        </is>
      </c>
      <c r="C650" s="4" t="inlineStr">
        <is>
          <t>United States</t>
        </is>
      </c>
      <c r="D650" s="4" t="inlineStr">
        <is>
          <t>US</t>
        </is>
      </c>
      <c r="E650" s="4" t="inlineStr">
        <is>
          <t>Consumo básico</t>
        </is>
      </c>
      <c r="F650" s="4" t="inlineStr">
        <is>
          <t>Packaged Foods</t>
        </is>
      </c>
      <c r="G650" s="4" t="inlineStr">
        <is>
          <t>NYQ</t>
        </is>
      </c>
      <c r="H650" s="4" t="inlineStr">
        <is>
          <t>USD</t>
        </is>
      </c>
      <c r="I650" s="5" t="n">
        <v>26918.199296</v>
      </c>
      <c r="J650" s="6">
        <f>INDEX(FX!$B:$B,MATCH(H650,FX!$A:$A,0))</f>
        <v/>
      </c>
      <c r="K650" s="5">
        <f>I650*J650</f>
        <v/>
      </c>
      <c r="L650" s="4">
        <f>IF(U650&lt;&gt;"",U650,IF(K650&gt;=Umbrales!$B$2,"Legendaria",IF(K650&gt;=Umbrales!$B$3,"Épica",IF(K650&gt;=Umbrales!$B$4,"Rara",IF(K650&gt;=Umbrales!$B$5,"Poco común","Común")))))</f>
        <v/>
      </c>
      <c r="M650" s="5" t="n">
        <v>24899.999744</v>
      </c>
      <c r="N650" s="5" t="n">
        <v>-3396</v>
      </c>
      <c r="O650" s="5">
        <f>IF(M650="","",M650*J650)</f>
        <v/>
      </c>
      <c r="P650" s="5">
        <f>IF(N650="","",N650*J650)</f>
        <v/>
      </c>
      <c r="Q650" s="7" t="n">
        <v>0.0713</v>
      </c>
      <c r="R650" s="8" t="n"/>
      <c r="S650" s="4" t="inlineStr">
        <is>
          <t>NASDAQ100, SP500</t>
        </is>
      </c>
      <c r="T650" s="9" t="inlineStr">
        <is>
          <t>SI</t>
        </is>
      </c>
      <c r="U650" s="9" t="inlineStr"/>
      <c r="V650" s="10">
        <f>Umbrales!$B$9*(K650/1000)^Umbrales!$B$10</f>
        <v/>
      </c>
    </row>
    <row r="651">
      <c r="A651" s="4" t="inlineStr">
        <is>
          <t>WST</t>
        </is>
      </c>
      <c r="B651" s="4" t="inlineStr">
        <is>
          <t>West Pharmaceutical Services, Inc.</t>
        </is>
      </c>
      <c r="C651" s="4" t="inlineStr">
        <is>
          <t>United States</t>
        </is>
      </c>
      <c r="D651" s="4" t="inlineStr">
        <is>
          <t>US</t>
        </is>
      </c>
      <c r="E651" s="4" t="inlineStr">
        <is>
          <t>Salud</t>
        </is>
      </c>
      <c r="F651" s="4" t="inlineStr">
        <is>
          <t>Medical Instruments &amp; Supplies</t>
        </is>
      </c>
      <c r="G651" s="4" t="inlineStr">
        <is>
          <t>NYQ</t>
        </is>
      </c>
      <c r="H651" s="4" t="inlineStr">
        <is>
          <t>USD</t>
        </is>
      </c>
      <c r="I651" s="5" t="n">
        <v>26862.075904</v>
      </c>
      <c r="J651" s="6">
        <f>INDEX(FX!$B:$B,MATCH(H651,FX!$A:$A,0))</f>
        <v/>
      </c>
      <c r="K651" s="5">
        <f>I651*J651</f>
        <v/>
      </c>
      <c r="L651" s="4">
        <f>IF(U651&lt;&gt;"",U651,IF(K651&gt;=Umbrales!$B$2,"Legendaria",IF(K651&gt;=Umbrales!$B$3,"Épica",IF(K651&gt;=Umbrales!$B$4,"Rara",IF(K651&gt;=Umbrales!$B$5,"Poco común","Común")))))</f>
        <v/>
      </c>
      <c r="M651" s="5" t="n">
        <v>3326.799872</v>
      </c>
      <c r="N651" s="5" t="n">
        <v>564.8999679999999</v>
      </c>
      <c r="O651" s="5">
        <f>IF(M651="","",M651*J651)</f>
        <v/>
      </c>
      <c r="P651" s="5">
        <f>IF(N651="","",N651*J651)</f>
        <v/>
      </c>
      <c r="Q651" s="7" t="n">
        <v>0.0024</v>
      </c>
      <c r="R651" s="8" t="n">
        <v>48.8726</v>
      </c>
      <c r="S651" s="4" t="inlineStr">
        <is>
          <t>SP500</t>
        </is>
      </c>
      <c r="T651" s="9" t="inlineStr">
        <is>
          <t>SI</t>
        </is>
      </c>
      <c r="U651" s="9" t="inlineStr"/>
      <c r="V651" s="10">
        <f>Umbrales!$B$9*(K651/1000)^Umbrales!$B$10</f>
        <v/>
      </c>
    </row>
    <row r="652">
      <c r="A652" s="4" t="inlineStr">
        <is>
          <t>QBE.AX</t>
        </is>
      </c>
      <c r="B652" s="4" t="inlineStr">
        <is>
          <t>QBE Insurance Group Limited</t>
        </is>
      </c>
      <c r="C652" s="4" t="inlineStr">
        <is>
          <t>Australia</t>
        </is>
      </c>
      <c r="D652" s="4" t="inlineStr">
        <is>
          <t>AU</t>
        </is>
      </c>
      <c r="E652" s="4" t="inlineStr">
        <is>
          <t>Finanzas</t>
        </is>
      </c>
      <c r="F652" s="4" t="inlineStr">
        <is>
          <t>Insurance - Property &amp; Casualty</t>
        </is>
      </c>
      <c r="G652" s="4" t="inlineStr">
        <is>
          <t>ASX</t>
        </is>
      </c>
      <c r="H652" s="4" t="inlineStr">
        <is>
          <t>AUD</t>
        </is>
      </c>
      <c r="I652" s="5" t="n">
        <v>38668.71808</v>
      </c>
      <c r="J652" s="6">
        <f>INDEX(FX!$B:$B,MATCH(H652,FX!$A:$A,0))</f>
        <v/>
      </c>
      <c r="K652" s="5">
        <f>I652*J652</f>
        <v/>
      </c>
      <c r="L652" s="4">
        <f>IF(U652&lt;&gt;"",U652,IF(K652&gt;=Umbrales!$B$2,"Legendaria",IF(K652&gt;=Umbrales!$B$3,"Épica",IF(K652&gt;=Umbrales!$B$4,"Rara",IF(K652&gt;=Umbrales!$B$5,"Poco común","Común")))))</f>
        <v/>
      </c>
      <c r="M652" s="5" t="n">
        <v>19446.99904</v>
      </c>
      <c r="N652" s="5" t="n">
        <v>2168</v>
      </c>
      <c r="O652" s="5">
        <f>IF(M652="","",M652*J652)</f>
        <v/>
      </c>
      <c r="P652" s="5">
        <f>IF(N652="","",N652*J652)</f>
        <v/>
      </c>
      <c r="Q652" s="7" t="n">
        <v>0.0441</v>
      </c>
      <c r="R652" s="8" t="n">
        <v>11.926267</v>
      </c>
      <c r="S652" s="4" t="inlineStr">
        <is>
          <t>ASX50</t>
        </is>
      </c>
      <c r="T652" s="9" t="inlineStr">
        <is>
          <t>SI</t>
        </is>
      </c>
      <c r="U652" s="9" t="inlineStr"/>
      <c r="V652" s="10">
        <f>Umbrales!$B$9*(K652/1000)^Umbrales!$B$10</f>
        <v/>
      </c>
    </row>
    <row r="653">
      <c r="A653" s="4" t="inlineStr">
        <is>
          <t>CFG</t>
        </is>
      </c>
      <c r="B653" s="4" t="inlineStr">
        <is>
          <t>Citizens Financial Group, Inc.</t>
        </is>
      </c>
      <c r="C653" s="4" t="inlineStr">
        <is>
          <t>United States</t>
        </is>
      </c>
      <c r="D653" s="4" t="inlineStr">
        <is>
          <t>US</t>
        </is>
      </c>
      <c r="E653" s="4" t="inlineStr">
        <is>
          <t>Finanzas</t>
        </is>
      </c>
      <c r="F653" s="4" t="inlineStr">
        <is>
          <t>Banks - Regional</t>
        </is>
      </c>
      <c r="G653" s="4" t="inlineStr">
        <is>
          <t>NYQ</t>
        </is>
      </c>
      <c r="H653" s="4" t="inlineStr">
        <is>
          <t>USD</t>
        </is>
      </c>
      <c r="I653" s="5" t="n">
        <v>26761.5744</v>
      </c>
      <c r="J653" s="6">
        <f>INDEX(FX!$B:$B,MATCH(H653,FX!$A:$A,0))</f>
        <v/>
      </c>
      <c r="K653" s="5">
        <f>I653*J653</f>
        <v/>
      </c>
      <c r="L653" s="4">
        <f>IF(U653&lt;&gt;"",U653,IF(K653&gt;=Umbrales!$B$2,"Legendaria",IF(K653&gt;=Umbrales!$B$3,"Épica",IF(K653&gt;=Umbrales!$B$4,"Rara",IF(K653&gt;=Umbrales!$B$5,"Poco común","Común")))))</f>
        <v/>
      </c>
      <c r="M653" s="5" t="n">
        <v>8160.999936</v>
      </c>
      <c r="N653" s="5" t="n">
        <v>1984</v>
      </c>
      <c r="O653" s="5">
        <f>IF(M653="","",M653*J653)</f>
        <v/>
      </c>
      <c r="P653" s="5">
        <f>IF(N653="","",N653*J653)</f>
        <v/>
      </c>
      <c r="Q653" s="7" t="n">
        <v>0.0291</v>
      </c>
      <c r="R653" s="8" t="n">
        <v>13.995595</v>
      </c>
      <c r="S653" s="4" t="inlineStr">
        <is>
          <t>SP500</t>
        </is>
      </c>
      <c r="T653" s="9" t="inlineStr">
        <is>
          <t>SI</t>
        </is>
      </c>
      <c r="U653" s="9" t="inlineStr"/>
      <c r="V653" s="10">
        <f>Umbrales!$B$9*(K653/1000)^Umbrales!$B$10</f>
        <v/>
      </c>
    </row>
    <row r="654">
      <c r="A654" s="4" t="inlineStr">
        <is>
          <t>FOXA</t>
        </is>
      </c>
      <c r="B654" s="4" t="inlineStr">
        <is>
          <t>Fox Corporation</t>
        </is>
      </c>
      <c r="C654" s="4" t="inlineStr">
        <is>
          <t>United States</t>
        </is>
      </c>
      <c r="D654" s="4" t="inlineStr">
        <is>
          <t>US</t>
        </is>
      </c>
      <c r="E654" s="4" t="inlineStr">
        <is>
          <t>Comunicación</t>
        </is>
      </c>
      <c r="F654" s="4" t="inlineStr">
        <is>
          <t>Entertainment</t>
        </is>
      </c>
      <c r="G654" s="4" t="inlineStr">
        <is>
          <t>NMS</t>
        </is>
      </c>
      <c r="H654" s="4" t="inlineStr">
        <is>
          <t>USD</t>
        </is>
      </c>
      <c r="I654" s="5" t="n">
        <v>26727.7824</v>
      </c>
      <c r="J654" s="6">
        <f>INDEX(FX!$B:$B,MATCH(H654,FX!$A:$A,0))</f>
        <v/>
      </c>
      <c r="K654" s="5">
        <f>I654*J654</f>
        <v/>
      </c>
      <c r="L654" s="4">
        <f>IF(U654&lt;&gt;"",U654,IF(K654&gt;=Umbrales!$B$2,"Legendaria",IF(K654&gt;=Umbrales!$B$3,"Épica",IF(K654&gt;=Umbrales!$B$4,"Rara",IF(K654&gt;=Umbrales!$B$5,"Poco común","Común")))))</f>
        <v/>
      </c>
      <c r="M654" s="5" t="n">
        <v>17125.999616</v>
      </c>
      <c r="N654" s="5" t="n">
        <v>1684.999936</v>
      </c>
      <c r="O654" s="5">
        <f>IF(M654="","",M654*J654)</f>
        <v/>
      </c>
      <c r="P654" s="5">
        <f>IF(N654="","",N654*J654)</f>
        <v/>
      </c>
      <c r="Q654" s="7" t="n">
        <v>0.009300000000000001</v>
      </c>
      <c r="R654" s="8" t="n">
        <v>16.592932</v>
      </c>
      <c r="S654" s="4" t="inlineStr">
        <is>
          <t>SP500</t>
        </is>
      </c>
      <c r="T654" s="9" t="inlineStr">
        <is>
          <t>SI</t>
        </is>
      </c>
      <c r="U654" s="9" t="inlineStr"/>
      <c r="V654" s="10">
        <f>Umbrales!$B$9*(K654/1000)^Umbrales!$B$10</f>
        <v/>
      </c>
    </row>
    <row r="655">
      <c r="A655" s="4" t="inlineStr">
        <is>
          <t>DTE</t>
        </is>
      </c>
      <c r="B655" s="4" t="inlineStr">
        <is>
          <t>DTE Energy Company</t>
        </is>
      </c>
      <c r="C655" s="4" t="inlineStr">
        <is>
          <t>United States</t>
        </is>
      </c>
      <c r="D655" s="4" t="inlineStr">
        <is>
          <t>US</t>
        </is>
      </c>
      <c r="E655" s="4" t="inlineStr">
        <is>
          <t>Servicios públicos</t>
        </is>
      </c>
      <c r="F655" s="4" t="inlineStr">
        <is>
          <t>Utilities - Regulated Electric</t>
        </is>
      </c>
      <c r="G655" s="4" t="inlineStr">
        <is>
          <t>NYQ</t>
        </is>
      </c>
      <c r="H655" s="4" t="inlineStr">
        <is>
          <t>USD</t>
        </is>
      </c>
      <c r="I655" s="5" t="n">
        <v>26682.093568</v>
      </c>
      <c r="J655" s="6">
        <f>INDEX(FX!$B:$B,MATCH(H655,FX!$A:$A,0))</f>
        <v/>
      </c>
      <c r="K655" s="5">
        <f>I655*J655</f>
        <v/>
      </c>
      <c r="L655" s="4">
        <f>IF(U655&lt;&gt;"",U655,IF(K655&gt;=Umbrales!$B$2,"Legendaria",IF(K655&gt;=Umbrales!$B$3,"Épica",IF(K655&gt;=Umbrales!$B$4,"Rara",IF(K655&gt;=Umbrales!$B$5,"Poco común","Común")))))</f>
        <v/>
      </c>
      <c r="M655" s="5" t="n">
        <v>16465.000448</v>
      </c>
      <c r="N655" s="5" t="n">
        <v>1314</v>
      </c>
      <c r="O655" s="5">
        <f>IF(M655="","",M655*J655)</f>
        <v/>
      </c>
      <c r="P655" s="5">
        <f>IF(N655="","",N655*J655)</f>
        <v/>
      </c>
      <c r="Q655" s="7" t="n">
        <v>0.0363</v>
      </c>
      <c r="R655" s="8" t="n">
        <v>20.32092</v>
      </c>
      <c r="S655" s="4" t="inlineStr">
        <is>
          <t>SP500</t>
        </is>
      </c>
      <c r="T655" s="9" t="inlineStr">
        <is>
          <t>SI</t>
        </is>
      </c>
      <c r="U655" s="9" t="inlineStr"/>
      <c r="V655" s="10">
        <f>Umbrales!$B$9*(K655/1000)^Umbrales!$B$10</f>
        <v/>
      </c>
    </row>
    <row r="656">
      <c r="A656" s="4" t="inlineStr">
        <is>
          <t>AWK</t>
        </is>
      </c>
      <c r="B656" s="4" t="inlineStr">
        <is>
          <t>American Water Works Company, Inc.</t>
        </is>
      </c>
      <c r="C656" s="4" t="inlineStr">
        <is>
          <t>United States</t>
        </is>
      </c>
      <c r="D656" s="4" t="inlineStr">
        <is>
          <t>US</t>
        </is>
      </c>
      <c r="E656" s="4" t="inlineStr">
        <is>
          <t>Servicios públicos</t>
        </is>
      </c>
      <c r="F656" s="4" t="inlineStr">
        <is>
          <t>Utilities - Regulated Water</t>
        </is>
      </c>
      <c r="G656" s="4" t="inlineStr">
        <is>
          <t>NYQ</t>
        </is>
      </c>
      <c r="H656" s="4" t="inlineStr">
        <is>
          <t>USD</t>
        </is>
      </c>
      <c r="I656" s="5" t="n">
        <v>26651.5456</v>
      </c>
      <c r="J656" s="6">
        <f>INDEX(FX!$B:$B,MATCH(H656,FX!$A:$A,0))</f>
        <v/>
      </c>
      <c r="K656" s="5">
        <f>I656*J656</f>
        <v/>
      </c>
      <c r="L656" s="4">
        <f>IF(U656&lt;&gt;"",U656,IF(K656&gt;=Umbrales!$B$2,"Legendaria",IF(K656&gt;=Umbrales!$B$3,"Épica",IF(K656&gt;=Umbrales!$B$4,"Rara",IF(K656&gt;=Umbrales!$B$5,"Poco común","Común")))))</f>
        <v/>
      </c>
      <c r="M656" s="5" t="n">
        <v>5283.999744</v>
      </c>
      <c r="N656" s="5" t="n">
        <v>1128</v>
      </c>
      <c r="O656" s="5">
        <f>IF(M656="","",M656*J656)</f>
        <v/>
      </c>
      <c r="P656" s="5">
        <f>IF(N656="","",N656*J656)</f>
        <v/>
      </c>
      <c r="Q656" s="7" t="n">
        <v>0.0275</v>
      </c>
      <c r="R656" s="8" t="n">
        <v>22.96404</v>
      </c>
      <c r="S656" s="4" t="inlineStr">
        <is>
          <t>SP500</t>
        </is>
      </c>
      <c r="T656" s="9" t="inlineStr">
        <is>
          <t>SI</t>
        </is>
      </c>
      <c r="U656" s="9" t="inlineStr"/>
      <c r="V656" s="10">
        <f>Umbrales!$B$9*(K656/1000)^Umbrales!$B$10</f>
        <v/>
      </c>
    </row>
    <row r="657">
      <c r="A657" s="4" t="inlineStr">
        <is>
          <t>2020.HK</t>
        </is>
      </c>
      <c r="B657" s="4" t="inlineStr">
        <is>
          <t>ANTA Sports Products Limited</t>
        </is>
      </c>
      <c r="C657" s="4" t="inlineStr">
        <is>
          <t>China</t>
        </is>
      </c>
      <c r="D657" s="4" t="inlineStr">
        <is>
          <t>CN</t>
        </is>
      </c>
      <c r="E657" s="4" t="inlineStr">
        <is>
          <t>Consumo cíclico</t>
        </is>
      </c>
      <c r="F657" s="4" t="inlineStr">
        <is>
          <t>Leisure</t>
        </is>
      </c>
      <c r="G657" s="4" t="inlineStr">
        <is>
          <t>HKG</t>
        </is>
      </c>
      <c r="H657" s="4" t="inlineStr">
        <is>
          <t>HKD</t>
        </is>
      </c>
      <c r="I657" s="5" t="n">
        <v>209034.182656</v>
      </c>
      <c r="J657" s="6">
        <f>INDEX(FX!$B:$B,MATCH(H657,FX!$A:$A,0))</f>
        <v/>
      </c>
      <c r="K657" s="5">
        <f>I657*J657</f>
        <v/>
      </c>
      <c r="L657" s="4">
        <f>IF(U657&lt;&gt;"",U657,IF(K657&gt;=Umbrales!$B$2,"Legendaria",IF(K657&gt;=Umbrales!$B$3,"Épica",IF(K657&gt;=Umbrales!$B$4,"Rara",IF(K657&gt;=Umbrales!$B$5,"Poco común","Común")))))</f>
        <v/>
      </c>
      <c r="M657" s="5" t="n">
        <v>85181.99705599999</v>
      </c>
      <c r="N657" s="5" t="n">
        <v>16044.000256</v>
      </c>
      <c r="O657" s="5">
        <f>IF(M657="","",M657*J657)</f>
        <v/>
      </c>
      <c r="P657" s="5">
        <f>IF(N657="","",N657*J657)</f>
        <v/>
      </c>
      <c r="Q657" s="7" t="n">
        <v>0.0347</v>
      </c>
      <c r="R657" s="8" t="n">
        <v>11.938291</v>
      </c>
      <c r="S657" s="4" t="inlineStr">
        <is>
          <t>HANGSENG</t>
        </is>
      </c>
      <c r="T657" s="9" t="inlineStr">
        <is>
          <t>SI</t>
        </is>
      </c>
      <c r="U657" s="9" t="inlineStr"/>
      <c r="V657" s="10">
        <f>Umbrales!$B$9*(K657/1000)^Umbrales!$B$10</f>
        <v/>
      </c>
    </row>
    <row r="658">
      <c r="A658" s="4" t="inlineStr">
        <is>
          <t>CPAY</t>
        </is>
      </c>
      <c r="B658" s="4" t="inlineStr">
        <is>
          <t>Corpay, Inc.</t>
        </is>
      </c>
      <c r="C658" s="4" t="inlineStr">
        <is>
          <t>United States</t>
        </is>
      </c>
      <c r="D658" s="4" t="inlineStr">
        <is>
          <t>US</t>
        </is>
      </c>
      <c r="E658" s="4" t="inlineStr">
        <is>
          <t>Tecnología</t>
        </is>
      </c>
      <c r="F658" s="4" t="inlineStr">
        <is>
          <t>Software - Infrastructure</t>
        </is>
      </c>
      <c r="G658" s="4" t="inlineStr">
        <is>
          <t>NYQ</t>
        </is>
      </c>
      <c r="H658" s="4" t="inlineStr">
        <is>
          <t>USD</t>
        </is>
      </c>
      <c r="I658" s="5" t="n">
        <v>26465.415168</v>
      </c>
      <c r="J658" s="6">
        <f>INDEX(FX!$B:$B,MATCH(H658,FX!$A:$A,0))</f>
        <v/>
      </c>
      <c r="K658" s="5">
        <f>I658*J658</f>
        <v/>
      </c>
      <c r="L658" s="4">
        <f>IF(U658&lt;&gt;"",U658,IF(K658&gt;=Umbrales!$B$2,"Legendaria",IF(K658&gt;=Umbrales!$B$3,"Épica",IF(K658&gt;=Umbrales!$B$4,"Rara",IF(K658&gt;=Umbrales!$B$5,"Poco común","Común")))))</f>
        <v/>
      </c>
      <c r="M658" s="5" t="n">
        <v>5020.502016</v>
      </c>
      <c r="N658" s="5" t="n">
        <v>1133.502976</v>
      </c>
      <c r="O658" s="5">
        <f>IF(M658="","",M658*J658)</f>
        <v/>
      </c>
      <c r="P658" s="5">
        <f>IF(N658="","",N658*J658)</f>
        <v/>
      </c>
      <c r="Q658" s="7" t="n">
        <v>0</v>
      </c>
      <c r="R658" s="8" t="n">
        <v>24.880863</v>
      </c>
      <c r="S658" s="4" t="inlineStr">
        <is>
          <t>SP500</t>
        </is>
      </c>
      <c r="T658" s="9" t="inlineStr">
        <is>
          <t>SI</t>
        </is>
      </c>
      <c r="U658" s="9" t="inlineStr"/>
      <c r="V658" s="10">
        <f>Umbrales!$B$9*(K658/1000)^Umbrales!$B$10</f>
        <v/>
      </c>
    </row>
    <row r="659">
      <c r="A659" s="4" t="inlineStr">
        <is>
          <t>FE</t>
        </is>
      </c>
      <c r="B659" s="4" t="inlineStr">
        <is>
          <t>FirstEnergy Corp.</t>
        </is>
      </c>
      <c r="C659" s="4" t="inlineStr">
        <is>
          <t>United States</t>
        </is>
      </c>
      <c r="D659" s="4" t="inlineStr">
        <is>
          <t>US</t>
        </is>
      </c>
      <c r="E659" s="4" t="inlineStr">
        <is>
          <t>Servicios públicos</t>
        </is>
      </c>
      <c r="F659" s="4" t="inlineStr">
        <is>
          <t>Utilities - Regulated Electric</t>
        </is>
      </c>
      <c r="G659" s="4" t="inlineStr">
        <is>
          <t>NYQ</t>
        </is>
      </c>
      <c r="H659" s="4" t="inlineStr">
        <is>
          <t>USD</t>
        </is>
      </c>
      <c r="I659" s="5" t="n">
        <v>26324.402176</v>
      </c>
      <c r="J659" s="6">
        <f>INDEX(FX!$B:$B,MATCH(H659,FX!$A:$A,0))</f>
        <v/>
      </c>
      <c r="K659" s="5">
        <f>I659*J659</f>
        <v/>
      </c>
      <c r="L659" s="4">
        <f>IF(U659&lt;&gt;"",U659,IF(K659&gt;=Umbrales!$B$2,"Legendaria",IF(K659&gt;=Umbrales!$B$3,"Épica",IF(K659&gt;=Umbrales!$B$4,"Rara",IF(K659&gt;=Umbrales!$B$5,"Poco común","Común")))))</f>
        <v/>
      </c>
      <c r="M659" s="5" t="n">
        <v>15635.999744</v>
      </c>
      <c r="N659" s="5" t="n">
        <v>1084.999936</v>
      </c>
      <c r="O659" s="5">
        <f>IF(M659="","",M659*J659)</f>
        <v/>
      </c>
      <c r="P659" s="5">
        <f>IF(N659="","",N659*J659)</f>
        <v/>
      </c>
      <c r="Q659" s="7" t="n">
        <v>0.0411</v>
      </c>
      <c r="R659" s="8" t="n">
        <v>24.336897</v>
      </c>
      <c r="S659" s="4" t="inlineStr">
        <is>
          <t>SP500</t>
        </is>
      </c>
      <c r="T659" s="9" t="inlineStr">
        <is>
          <t>SI</t>
        </is>
      </c>
      <c r="U659" s="9" t="inlineStr"/>
      <c r="V659" s="10">
        <f>Umbrales!$B$9*(K659/1000)^Umbrales!$B$10</f>
        <v/>
      </c>
    </row>
    <row r="660">
      <c r="A660" s="4" t="inlineStr">
        <is>
          <t>OTIS</t>
        </is>
      </c>
      <c r="B660" s="4" t="inlineStr">
        <is>
          <t>Otis Worldwide Corporation</t>
        </is>
      </c>
      <c r="C660" s="4" t="inlineStr">
        <is>
          <t>United States</t>
        </is>
      </c>
      <c r="D660" s="4" t="inlineStr">
        <is>
          <t>US</t>
        </is>
      </c>
      <c r="E660" s="4" t="inlineStr">
        <is>
          <t>Industria</t>
        </is>
      </c>
      <c r="F660" s="4" t="inlineStr">
        <is>
          <t>Specialty Industrial Machinery</t>
        </is>
      </c>
      <c r="G660" s="4" t="inlineStr">
        <is>
          <t>NYQ</t>
        </is>
      </c>
      <c r="H660" s="4" t="inlineStr">
        <is>
          <t>USD</t>
        </is>
      </c>
      <c r="I660" s="5" t="n">
        <v>26308.059136</v>
      </c>
      <c r="J660" s="6">
        <f>INDEX(FX!$B:$B,MATCH(H660,FX!$A:$A,0))</f>
        <v/>
      </c>
      <c r="K660" s="5">
        <f>I660*J660</f>
        <v/>
      </c>
      <c r="L660" s="4">
        <f>IF(U660&lt;&gt;"",U660,IF(K660&gt;=Umbrales!$B$2,"Legendaria",IF(K660&gt;=Umbrales!$B$3,"Épica",IF(K660&gt;=Umbrales!$B$4,"Rara",IF(K660&gt;=Umbrales!$B$5,"Poco común","Común")))))</f>
        <v/>
      </c>
      <c r="M660" s="5" t="n">
        <v>14910.999552</v>
      </c>
      <c r="N660" s="5" t="n">
        <v>1516</v>
      </c>
      <c r="O660" s="5">
        <f>IF(M660="","",M660*J660)</f>
        <v/>
      </c>
      <c r="P660" s="5">
        <f>IF(N660="","",N660*J660)</f>
        <v/>
      </c>
      <c r="Q660" s="7" t="n">
        <v>0.026</v>
      </c>
      <c r="R660" s="8" t="n">
        <v>17.40806</v>
      </c>
      <c r="S660" s="4" t="inlineStr">
        <is>
          <t>SP500</t>
        </is>
      </c>
      <c r="T660" s="9" t="inlineStr">
        <is>
          <t>SI</t>
        </is>
      </c>
      <c r="U660" s="9" t="inlineStr"/>
      <c r="V660" s="10">
        <f>Umbrales!$B$9*(K660/1000)^Umbrales!$B$10</f>
        <v/>
      </c>
    </row>
    <row r="661">
      <c r="A661" s="4" t="inlineStr">
        <is>
          <t>DGX</t>
        </is>
      </c>
      <c r="B661" s="4" t="inlineStr">
        <is>
          <t>Quest Diagnostics Incorporated</t>
        </is>
      </c>
      <c r="C661" s="4" t="inlineStr">
        <is>
          <t>United States</t>
        </is>
      </c>
      <c r="D661" s="4" t="inlineStr">
        <is>
          <t>US</t>
        </is>
      </c>
      <c r="E661" s="4" t="inlineStr">
        <is>
          <t>Salud</t>
        </is>
      </c>
      <c r="F661" s="4" t="inlineStr">
        <is>
          <t>Diagnostics &amp; Research</t>
        </is>
      </c>
      <c r="G661" s="4" t="inlineStr">
        <is>
          <t>NYQ</t>
        </is>
      </c>
      <c r="H661" s="4" t="inlineStr">
        <is>
          <t>USD</t>
        </is>
      </c>
      <c r="I661" s="5" t="n">
        <v>26230.228992</v>
      </c>
      <c r="J661" s="6">
        <f>INDEX(FX!$B:$B,MATCH(H661,FX!$A:$A,0))</f>
        <v/>
      </c>
      <c r="K661" s="5">
        <f>I661*J661</f>
        <v/>
      </c>
      <c r="L661" s="4">
        <f>IF(U661&lt;&gt;"",U661,IF(K661&gt;=Umbrales!$B$2,"Legendaria",IF(K661&gt;=Umbrales!$B$3,"Épica",IF(K661&gt;=Umbrales!$B$4,"Rara",IF(K661&gt;=Umbrales!$B$5,"Poco común","Común")))))</f>
        <v/>
      </c>
      <c r="M661" s="5" t="n">
        <v>11559.999488</v>
      </c>
      <c r="N661" s="5" t="n">
        <v>1058</v>
      </c>
      <c r="O661" s="5">
        <f>IF(M661="","",M661*J661)</f>
        <v/>
      </c>
      <c r="P661" s="5">
        <f>IF(N661="","",N661*J661)</f>
        <v/>
      </c>
      <c r="Q661" s="7" t="n">
        <v>0.0149</v>
      </c>
      <c r="R661" s="8" t="n">
        <v>25.228237</v>
      </c>
      <c r="S661" s="4" t="inlineStr">
        <is>
          <t>SP500</t>
        </is>
      </c>
      <c r="T661" s="9" t="inlineStr">
        <is>
          <t>SI</t>
        </is>
      </c>
      <c r="U661" s="9" t="inlineStr"/>
      <c r="V661" s="10">
        <f>Umbrales!$B$9*(K661/1000)^Umbrales!$B$10</f>
        <v/>
      </c>
    </row>
    <row r="662">
      <c r="A662" s="4" t="inlineStr">
        <is>
          <t>LH</t>
        </is>
      </c>
      <c r="B662" s="4" t="inlineStr">
        <is>
          <t>Labcorp Holdings Inc.</t>
        </is>
      </c>
      <c r="C662" s="4" t="inlineStr">
        <is>
          <t>United States</t>
        </is>
      </c>
      <c r="D662" s="4" t="inlineStr">
        <is>
          <t>US</t>
        </is>
      </c>
      <c r="E662" s="4" t="inlineStr">
        <is>
          <t>Salud</t>
        </is>
      </c>
      <c r="F662" s="4" t="inlineStr">
        <is>
          <t>Diagnostics &amp; Research</t>
        </is>
      </c>
      <c r="G662" s="4" t="inlineStr">
        <is>
          <t>NYQ</t>
        </is>
      </c>
      <c r="H662" s="4" t="inlineStr">
        <is>
          <t>USD</t>
        </is>
      </c>
      <c r="I662" s="5" t="n">
        <v>26208.27648</v>
      </c>
      <c r="J662" s="6">
        <f>INDEX(FX!$B:$B,MATCH(H662,FX!$A:$A,0))</f>
        <v/>
      </c>
      <c r="K662" s="5">
        <f>I662*J662</f>
        <v/>
      </c>
      <c r="L662" s="4">
        <f>IF(U662&lt;&gt;"",U662,IF(K662&gt;=Umbrales!$B$2,"Legendaria",IF(K662&gt;=Umbrales!$B$3,"Épica",IF(K662&gt;=Umbrales!$B$4,"Rara",IF(K662&gt;=Umbrales!$B$5,"Poco común","Común")))))</f>
        <v/>
      </c>
      <c r="M662" s="5" t="n">
        <v>14348.000256</v>
      </c>
      <c r="N662" s="5" t="n">
        <v>1002.300032</v>
      </c>
      <c r="O662" s="5">
        <f>IF(M662="","",M662*J662)</f>
        <v/>
      </c>
      <c r="P662" s="5">
        <f>IF(N662="","",N662*J662)</f>
        <v/>
      </c>
      <c r="Q662" s="7" t="n">
        <v>0.0092</v>
      </c>
      <c r="R662" s="8" t="n">
        <v>26.729528</v>
      </c>
      <c r="S662" s="4" t="inlineStr">
        <is>
          <t>SP500</t>
        </is>
      </c>
      <c r="T662" s="9" t="inlineStr">
        <is>
          <t>SI</t>
        </is>
      </c>
      <c r="U662" s="9" t="inlineStr"/>
      <c r="V662" s="10">
        <f>Umbrales!$B$9*(K662/1000)^Umbrales!$B$10</f>
        <v/>
      </c>
    </row>
    <row r="663">
      <c r="A663" s="4" t="inlineStr">
        <is>
          <t>CNP</t>
        </is>
      </c>
      <c r="B663" s="4" t="inlineStr">
        <is>
          <t>CenterPoint Energy, Inc.</t>
        </is>
      </c>
      <c r="C663" s="4" t="inlineStr">
        <is>
          <t>United States</t>
        </is>
      </c>
      <c r="D663" s="4" t="inlineStr">
        <is>
          <t>US</t>
        </is>
      </c>
      <c r="E663" s="4" t="inlineStr">
        <is>
          <t>Servicios públicos</t>
        </is>
      </c>
      <c r="F663" s="4" t="inlineStr">
        <is>
          <t>Utilities - Regulated Electric</t>
        </is>
      </c>
      <c r="G663" s="4" t="inlineStr">
        <is>
          <t>NYQ</t>
        </is>
      </c>
      <c r="H663" s="4" t="inlineStr">
        <is>
          <t>USD</t>
        </is>
      </c>
      <c r="I663" s="5" t="n">
        <v>26203.891712</v>
      </c>
      <c r="J663" s="6">
        <f>INDEX(FX!$B:$B,MATCH(H663,FX!$A:$A,0))</f>
        <v/>
      </c>
      <c r="K663" s="5">
        <f>I663*J663</f>
        <v/>
      </c>
      <c r="L663" s="4">
        <f>IF(U663&lt;&gt;"",U663,IF(K663&gt;=Umbrales!$B$2,"Legendaria",IF(K663&gt;=Umbrales!$B$3,"Épica",IF(K663&gt;=Umbrales!$B$4,"Rara",IF(K663&gt;=Umbrales!$B$5,"Poco común","Común")))))</f>
        <v/>
      </c>
      <c r="M663" s="5" t="n">
        <v>9619.999744000001</v>
      </c>
      <c r="N663" s="5" t="n">
        <v>1116.999936</v>
      </c>
      <c r="O663" s="5">
        <f>IF(M663="","",M663*J663)</f>
        <v/>
      </c>
      <c r="P663" s="5">
        <f>IF(N663="","",N663*J663)</f>
        <v/>
      </c>
      <c r="Q663" s="7" t="n">
        <v>0.0244</v>
      </c>
      <c r="R663" s="8" t="n">
        <v>23.399998</v>
      </c>
      <c r="S663" s="4" t="inlineStr">
        <is>
          <t>SP500</t>
        </is>
      </c>
      <c r="T663" s="9" t="inlineStr">
        <is>
          <t>SI</t>
        </is>
      </c>
      <c r="U663" s="9" t="inlineStr"/>
      <c r="V663" s="10">
        <f>Umbrales!$B$9*(K663/1000)^Umbrales!$B$10</f>
        <v/>
      </c>
    </row>
    <row r="664">
      <c r="A664" s="4" t="inlineStr">
        <is>
          <t>ACS.MC</t>
        </is>
      </c>
      <c r="B664" s="4" t="inlineStr">
        <is>
          <t>ACS, Actividades de Construcción y Servicios, S.A.</t>
        </is>
      </c>
      <c r="C664" s="4" t="inlineStr">
        <is>
          <t>Spain</t>
        </is>
      </c>
      <c r="D664" s="4" t="inlineStr">
        <is>
          <t>ES</t>
        </is>
      </c>
      <c r="E664" s="4" t="inlineStr">
        <is>
          <t>Industria</t>
        </is>
      </c>
      <c r="F664" s="4" t="inlineStr">
        <is>
          <t>Engineering &amp; Construction</t>
        </is>
      </c>
      <c r="G664" s="4" t="inlineStr">
        <is>
          <t>MCE</t>
        </is>
      </c>
      <c r="H664" s="4" t="inlineStr">
        <is>
          <t>EUR</t>
        </is>
      </c>
      <c r="I664" s="5" t="n">
        <v>23279.314944</v>
      </c>
      <c r="J664" s="6">
        <f>INDEX(FX!$B:$B,MATCH(H664,FX!$A:$A,0))</f>
        <v/>
      </c>
      <c r="K664" s="5">
        <f>I664*J664</f>
        <v/>
      </c>
      <c r="L664" s="4">
        <f>IF(U664&lt;&gt;"",U664,IF(K664&gt;=Umbrales!$B$2,"Legendaria",IF(K664&gt;=Umbrales!$B$3,"Épica",IF(K664&gt;=Umbrales!$B$4,"Rara",IF(K664&gt;=Umbrales!$B$5,"Poco común","Común")))))</f>
        <v/>
      </c>
      <c r="M664" s="5" t="n">
        <v>51910.684672</v>
      </c>
      <c r="N664" s="5" t="n">
        <v>1010.313984</v>
      </c>
      <c r="O664" s="5">
        <f>IF(M664="","",M664*J664)</f>
        <v/>
      </c>
      <c r="P664" s="5">
        <f>IF(N664="","",N664*J664)</f>
        <v/>
      </c>
      <c r="Q664" s="7" t="n">
        <v>0.0258</v>
      </c>
      <c r="R664" s="8" t="n">
        <v>19.4869</v>
      </c>
      <c r="S664" s="4" t="inlineStr">
        <is>
          <t>IBEX35</t>
        </is>
      </c>
      <c r="T664" s="9" t="inlineStr">
        <is>
          <t>SI</t>
        </is>
      </c>
      <c r="U664" s="9" t="inlineStr"/>
      <c r="V664" s="10">
        <f>Umbrales!$B$9*(K664/1000)^Umbrales!$B$10</f>
        <v/>
      </c>
    </row>
    <row r="665">
      <c r="A665" s="4" t="inlineStr">
        <is>
          <t>DOV</t>
        </is>
      </c>
      <c r="B665" s="4" t="inlineStr">
        <is>
          <t>Dover Corporation</t>
        </is>
      </c>
      <c r="C665" s="4" t="inlineStr">
        <is>
          <t>United States</t>
        </is>
      </c>
      <c r="D665" s="4" t="inlineStr">
        <is>
          <t>US</t>
        </is>
      </c>
      <c r="E665" s="4" t="inlineStr">
        <is>
          <t>Industria</t>
        </is>
      </c>
      <c r="F665" s="4" t="inlineStr">
        <is>
          <t>Specialty Industrial Machinery</t>
        </is>
      </c>
      <c r="G665" s="4" t="inlineStr">
        <is>
          <t>NYQ</t>
        </is>
      </c>
      <c r="H665" s="4" t="inlineStr">
        <is>
          <t>USD</t>
        </is>
      </c>
      <c r="I665" s="5" t="n">
        <v>26063.316992</v>
      </c>
      <c r="J665" s="6">
        <f>INDEX(FX!$B:$B,MATCH(H665,FX!$A:$A,0))</f>
        <v/>
      </c>
      <c r="K665" s="5">
        <f>I665*J665</f>
        <v/>
      </c>
      <c r="L665" s="4">
        <f>IF(U665&lt;&gt;"",U665,IF(K665&gt;=Umbrales!$B$2,"Legendaria",IF(K665&gt;=Umbrales!$B$3,"Épica",IF(K665&gt;=Umbrales!$B$4,"Rara",IF(K665&gt;=Umbrales!$B$5,"Poco común","Común")))))</f>
        <v/>
      </c>
      <c r="M665" s="5" t="n">
        <v>8420.563968</v>
      </c>
      <c r="N665" s="5" t="n">
        <v>1129.351936</v>
      </c>
      <c r="O665" s="5">
        <f>IF(M665="","",M665*J665)</f>
        <v/>
      </c>
      <c r="P665" s="5">
        <f>IF(N665="","",N665*J665)</f>
        <v/>
      </c>
      <c r="Q665" s="7" t="n">
        <v>0.0109</v>
      </c>
      <c r="R665" s="8" t="n">
        <v>23.400242</v>
      </c>
      <c r="S665" s="4" t="inlineStr">
        <is>
          <t>SP500</t>
        </is>
      </c>
      <c r="T665" s="9" t="inlineStr">
        <is>
          <t>SI</t>
        </is>
      </c>
      <c r="U665" s="9" t="inlineStr"/>
      <c r="V665" s="10">
        <f>Umbrales!$B$9*(K665/1000)^Umbrales!$B$10</f>
        <v/>
      </c>
    </row>
    <row r="666">
      <c r="A666" s="4" t="inlineStr">
        <is>
          <t>FRES.L</t>
        </is>
      </c>
      <c r="B666" s="4" t="inlineStr">
        <is>
          <t>Fresnillo plc</t>
        </is>
      </c>
      <c r="C666" s="4" t="inlineStr">
        <is>
          <t>Mexico</t>
        </is>
      </c>
      <c r="D666" s="4" t="inlineStr">
        <is>
          <t>MX</t>
        </is>
      </c>
      <c r="E666" s="4" t="inlineStr">
        <is>
          <t>Materiales</t>
        </is>
      </c>
      <c r="F666" s="4" t="inlineStr">
        <is>
          <t>Other Precious Metals &amp; Mining</t>
        </is>
      </c>
      <c r="G666" s="4" t="inlineStr">
        <is>
          <t>LSE</t>
        </is>
      </c>
      <c r="H666" s="4" t="inlineStr">
        <is>
          <t>GBP</t>
        </is>
      </c>
      <c r="I666" s="5" t="n">
        <v>19608.737792</v>
      </c>
      <c r="J666" s="6">
        <f>INDEX(FX!$B:$B,MATCH(H666,FX!$A:$A,0))</f>
        <v/>
      </c>
      <c r="K666" s="5">
        <f>I666*J666</f>
        <v/>
      </c>
      <c r="L666" s="4">
        <f>IF(U666&lt;&gt;"",U666,IF(K666&gt;=Umbrales!$B$2,"Legendaria",IF(K666&gt;=Umbrales!$B$3,"Épica",IF(K666&gt;=Umbrales!$B$4,"Rara",IF(K666&gt;=Umbrales!$B$5,"Poco común","Común")))))</f>
        <v/>
      </c>
      <c r="M666" s="5" t="n">
        <v>6007.702016</v>
      </c>
      <c r="N666" s="5" t="n">
        <v>2280.203008</v>
      </c>
      <c r="O666" s="5">
        <f>IF(M666="","",M666*J666)</f>
        <v/>
      </c>
      <c r="P666" s="5">
        <f>IF(N666="","",N666*J666)</f>
        <v/>
      </c>
      <c r="Q666" s="7" t="n">
        <v>0.0412</v>
      </c>
      <c r="R666" s="8" t="n">
        <v>12.095454</v>
      </c>
      <c r="S666" s="4" t="inlineStr">
        <is>
          <t>FTSE100</t>
        </is>
      </c>
      <c r="T666" s="9" t="inlineStr">
        <is>
          <t>SI</t>
        </is>
      </c>
      <c r="U666" s="9" t="inlineStr"/>
      <c r="V666" s="10">
        <f>Umbrales!$B$9*(K666/1000)^Umbrales!$B$10</f>
        <v/>
      </c>
    </row>
    <row r="667">
      <c r="A667" s="4" t="inlineStr">
        <is>
          <t>PPL</t>
        </is>
      </c>
      <c r="B667" s="4" t="inlineStr">
        <is>
          <t>PPL Corporation</t>
        </is>
      </c>
      <c r="C667" s="4" t="inlineStr">
        <is>
          <t>United States</t>
        </is>
      </c>
      <c r="D667" s="4" t="inlineStr">
        <is>
          <t>US</t>
        </is>
      </c>
      <c r="E667" s="4" t="inlineStr">
        <is>
          <t>Servicios públicos</t>
        </is>
      </c>
      <c r="F667" s="4" t="inlineStr">
        <is>
          <t>Utilities - Regulated Electric</t>
        </is>
      </c>
      <c r="G667" s="4" t="inlineStr">
        <is>
          <t>NYQ</t>
        </is>
      </c>
      <c r="H667" s="4" t="inlineStr">
        <is>
          <t>USD</t>
        </is>
      </c>
      <c r="I667" s="5" t="n">
        <v>25989.136384</v>
      </c>
      <c r="J667" s="6">
        <f>INDEX(FX!$B:$B,MATCH(H667,FX!$A:$A,0))</f>
        <v/>
      </c>
      <c r="K667" s="5">
        <f>I667*J667</f>
        <v/>
      </c>
      <c r="L667" s="4">
        <f>IF(U667&lt;&gt;"",U667,IF(K667&gt;=Umbrales!$B$2,"Legendaria",IF(K667&gt;=Umbrales!$B$3,"Épica",IF(K667&gt;=Umbrales!$B$4,"Rara",IF(K667&gt;=Umbrales!$B$5,"Poco común","Común")))))</f>
        <v/>
      </c>
      <c r="M667" s="5" t="n">
        <v>9397.999615999999</v>
      </c>
      <c r="N667" s="5" t="n">
        <v>1264</v>
      </c>
      <c r="O667" s="5">
        <f>IF(M667="","",M667*J667)</f>
        <v/>
      </c>
      <c r="P667" s="5">
        <f>IF(N667="","",N667*J667)</f>
        <v/>
      </c>
      <c r="Q667" s="7" t="n">
        <v>0.0329</v>
      </c>
      <c r="R667" s="8" t="n">
        <v>20.314705</v>
      </c>
      <c r="S667" s="4" t="inlineStr">
        <is>
          <t>SP500</t>
        </is>
      </c>
      <c r="T667" s="9" t="inlineStr">
        <is>
          <t>SI</t>
        </is>
      </c>
      <c r="U667" s="9" t="inlineStr"/>
      <c r="V667" s="10">
        <f>Umbrales!$B$9*(K667/1000)^Umbrales!$B$10</f>
        <v/>
      </c>
    </row>
    <row r="668">
      <c r="A668" s="4" t="inlineStr">
        <is>
          <t>CINF</t>
        </is>
      </c>
      <c r="B668" s="4" t="inlineStr">
        <is>
          <t>Cincinnati Financial Corporation</t>
        </is>
      </c>
      <c r="C668" s="4" t="inlineStr">
        <is>
          <t>United States</t>
        </is>
      </c>
      <c r="D668" s="4" t="inlineStr">
        <is>
          <t>US</t>
        </is>
      </c>
      <c r="E668" s="4" t="inlineStr">
        <is>
          <t>Finanzas</t>
        </is>
      </c>
      <c r="F668" s="4" t="inlineStr">
        <is>
          <t>Insurance - Property &amp; Casualty</t>
        </is>
      </c>
      <c r="G668" s="4" t="inlineStr">
        <is>
          <t>NMS</t>
        </is>
      </c>
      <c r="H668" s="4" t="inlineStr">
        <is>
          <t>USD</t>
        </is>
      </c>
      <c r="I668" s="5" t="n">
        <v>25971.556352</v>
      </c>
      <c r="J668" s="6">
        <f>INDEX(FX!$B:$B,MATCH(H668,FX!$A:$A,0))</f>
        <v/>
      </c>
      <c r="K668" s="5">
        <f>I668*J668</f>
        <v/>
      </c>
      <c r="L668" s="4">
        <f>IF(U668&lt;&gt;"",U668,IF(K668&gt;=Umbrales!$B$2,"Legendaria",IF(K668&gt;=Umbrales!$B$3,"Épica",IF(K668&gt;=Umbrales!$B$4,"Rara",IF(K668&gt;=Umbrales!$B$5,"Poco común","Común")))))</f>
        <v/>
      </c>
      <c r="M668" s="5" t="n">
        <v>13953.999872</v>
      </c>
      <c r="N668" s="5" t="n">
        <v>3327.000064</v>
      </c>
      <c r="O668" s="5">
        <f>IF(M668="","",M668*J668)</f>
        <v/>
      </c>
      <c r="P668" s="5">
        <f>IF(N668="","",N668*J668)</f>
        <v/>
      </c>
      <c r="Q668" s="7" t="n">
        <v>0.0227</v>
      </c>
      <c r="R668" s="8" t="n">
        <v>7.940873</v>
      </c>
      <c r="S668" s="4" t="inlineStr">
        <is>
          <t>SP500</t>
        </is>
      </c>
      <c r="T668" s="9" t="inlineStr">
        <is>
          <t>SI</t>
        </is>
      </c>
      <c r="U668" s="9" t="inlineStr"/>
      <c r="V668" s="10">
        <f>Umbrales!$B$9*(K668/1000)^Umbrales!$B$10</f>
        <v/>
      </c>
    </row>
    <row r="669">
      <c r="A669" s="4" t="inlineStr">
        <is>
          <t>VICI</t>
        </is>
      </c>
      <c r="B669" s="4" t="inlineStr">
        <is>
          <t>VICI Properties Inc.</t>
        </is>
      </c>
      <c r="C669" s="4" t="inlineStr">
        <is>
          <t>United States</t>
        </is>
      </c>
      <c r="D669" s="4" t="inlineStr">
        <is>
          <t>US</t>
        </is>
      </c>
      <c r="E669" s="4" t="inlineStr">
        <is>
          <t>Inmobiliario</t>
        </is>
      </c>
      <c r="F669" s="4" t="inlineStr">
        <is>
          <t>REIT - Diversified</t>
        </is>
      </c>
      <c r="G669" s="4" t="inlineStr">
        <is>
          <t>NYQ</t>
        </is>
      </c>
      <c r="H669" s="4" t="inlineStr">
        <is>
          <t>USD</t>
        </is>
      </c>
      <c r="I669" s="5" t="n">
        <v>25886.332928</v>
      </c>
      <c r="J669" s="6">
        <f>INDEX(FX!$B:$B,MATCH(H669,FX!$A:$A,0))</f>
        <v/>
      </c>
      <c r="K669" s="5">
        <f>I669*J669</f>
        <v/>
      </c>
      <c r="L669" s="4">
        <f>IF(U669&lt;&gt;"",U669,IF(K669&gt;=Umbrales!$B$2,"Legendaria",IF(K669&gt;=Umbrales!$B$3,"Épica",IF(K669&gt;=Umbrales!$B$4,"Rara",IF(K669&gt;=Umbrales!$B$5,"Poco común","Común")))))</f>
        <v/>
      </c>
      <c r="M669" s="5" t="n">
        <v>4097.604096</v>
      </c>
      <c r="N669" s="5" t="n">
        <v>2765.718016</v>
      </c>
      <c r="O669" s="5">
        <f>IF(M669="","",M669*J669)</f>
        <v/>
      </c>
      <c r="P669" s="5">
        <f>IF(N669="","",N669*J669)</f>
        <v/>
      </c>
      <c r="Q669" s="7" t="n">
        <v>0.0803</v>
      </c>
      <c r="R669" s="8" t="n">
        <v>9.147861000000001</v>
      </c>
      <c r="S669" s="4" t="inlineStr">
        <is>
          <t>SP500</t>
        </is>
      </c>
      <c r="T669" s="9" t="inlineStr">
        <is>
          <t>SI</t>
        </is>
      </c>
      <c r="U669" s="9" t="inlineStr"/>
      <c r="V669" s="10">
        <f>Umbrales!$B$9*(K669/1000)^Umbrales!$B$10</f>
        <v/>
      </c>
    </row>
    <row r="670">
      <c r="A670" s="4" t="inlineStr">
        <is>
          <t>NESTLEIND.NS</t>
        </is>
      </c>
      <c r="B670" s="4" t="inlineStr">
        <is>
          <t>Nestlé India Limited</t>
        </is>
      </c>
      <c r="C670" s="4" t="inlineStr">
        <is>
          <t>India</t>
        </is>
      </c>
      <c r="D670" s="4" t="inlineStr">
        <is>
          <t>IN</t>
        </is>
      </c>
      <c r="E670" s="4" t="inlineStr">
        <is>
          <t>Consumo básico</t>
        </is>
      </c>
      <c r="F670" s="4" t="inlineStr">
        <is>
          <t>Packaged Foods</t>
        </is>
      </c>
      <c r="G670" s="4" t="inlineStr">
        <is>
          <t>NSI</t>
        </is>
      </c>
      <c r="H670" s="4" t="inlineStr">
        <is>
          <t>INR</t>
        </is>
      </c>
      <c r="I670" s="5" t="n">
        <v>2460143.583232</v>
      </c>
      <c r="J670" s="6">
        <f>INDEX(FX!$B:$B,MATCH(H670,FX!$A:$A,0))</f>
        <v/>
      </c>
      <c r="K670" s="5">
        <f>I670*J670</f>
        <v/>
      </c>
      <c r="L670" s="4">
        <f>IF(U670&lt;&gt;"",U670,IF(K670&gt;=Umbrales!$B$2,"Legendaria",IF(K670&gt;=Umbrales!$B$3,"Épica",IF(K670&gt;=Umbrales!$B$4,"Rara",IF(K670&gt;=Umbrales!$B$5,"Poco común","Común")))))</f>
        <v/>
      </c>
      <c r="M670" s="5" t="n">
        <v>243950.30528</v>
      </c>
      <c r="N670" s="5" t="n">
        <v>38111.698944</v>
      </c>
      <c r="O670" s="5">
        <f>IF(M670="","",M670*J670)</f>
        <v/>
      </c>
      <c r="P670" s="5">
        <f>IF(N670="","",N670*J670)</f>
        <v/>
      </c>
      <c r="Q670" s="7" t="n">
        <v>0.008699999999999999</v>
      </c>
      <c r="R670" s="8" t="n">
        <v>64.53212000000001</v>
      </c>
      <c r="S670" s="4" t="inlineStr">
        <is>
          <t>NIFTY50</t>
        </is>
      </c>
      <c r="T670" s="9" t="inlineStr">
        <is>
          <t>SI</t>
        </is>
      </c>
      <c r="U670" s="9" t="inlineStr"/>
      <c r="V670" s="10">
        <f>Umbrales!$B$9*(K670/1000)^Umbrales!$B$10</f>
        <v/>
      </c>
    </row>
    <row r="671">
      <c r="A671" s="4" t="inlineStr">
        <is>
          <t>ULTA</t>
        </is>
      </c>
      <c r="B671" s="4" t="inlineStr">
        <is>
          <t>Ulta Beauty, Inc.</t>
        </is>
      </c>
      <c r="C671" s="4" t="inlineStr">
        <is>
          <t>United States</t>
        </is>
      </c>
      <c r="D671" s="4" t="inlineStr">
        <is>
          <t>US</t>
        </is>
      </c>
      <c r="E671" s="4" t="inlineStr">
        <is>
          <t>Consumo cíclico</t>
        </is>
      </c>
      <c r="F671" s="4" t="inlineStr">
        <is>
          <t>Specialty Retail</t>
        </is>
      </c>
      <c r="G671" s="4" t="inlineStr">
        <is>
          <t>NMS</t>
        </is>
      </c>
      <c r="H671" s="4" t="inlineStr">
        <is>
          <t>USD</t>
        </is>
      </c>
      <c r="I671" s="5" t="n">
        <v>25778.481152</v>
      </c>
      <c r="J671" s="6">
        <f>INDEX(FX!$B:$B,MATCH(H671,FX!$A:$A,0))</f>
        <v/>
      </c>
      <c r="K671" s="5">
        <f>I671*J671</f>
        <v/>
      </c>
      <c r="L671" s="4">
        <f>IF(U671&lt;&gt;"",U671,IF(K671&gt;=Umbrales!$B$2,"Legendaria",IF(K671&gt;=Umbrales!$B$3,"Épica",IF(K671&gt;=Umbrales!$B$4,"Rara",IF(K671&gt;=Umbrales!$B$5,"Poco común","Común")))))</f>
        <v/>
      </c>
      <c r="M671" s="5" t="n">
        <v>12955.516928</v>
      </c>
      <c r="N671" s="5" t="n">
        <v>1210.027008</v>
      </c>
      <c r="O671" s="5">
        <f>IF(M671="","",M671*J671)</f>
        <v/>
      </c>
      <c r="P671" s="5">
        <f>IF(N671="","",N671*J671)</f>
        <v/>
      </c>
      <c r="Q671" s="7" t="n">
        <v>0</v>
      </c>
      <c r="R671" s="8" t="n">
        <v>21.470798</v>
      </c>
      <c r="S671" s="4" t="inlineStr">
        <is>
          <t>SP500</t>
        </is>
      </c>
      <c r="T671" s="9" t="inlineStr">
        <is>
          <t>SI</t>
        </is>
      </c>
      <c r="U671" s="9" t="inlineStr"/>
      <c r="V671" s="10">
        <f>Umbrales!$B$9*(K671/1000)^Umbrales!$B$10</f>
        <v/>
      </c>
    </row>
    <row r="672">
      <c r="A672" s="4" t="inlineStr">
        <is>
          <t>ALL.AX</t>
        </is>
      </c>
      <c r="B672" s="4" t="inlineStr">
        <is>
          <t>Aristocrat Leisure Limited</t>
        </is>
      </c>
      <c r="C672" s="4" t="inlineStr">
        <is>
          <t>Australia</t>
        </is>
      </c>
      <c r="D672" s="4" t="inlineStr">
        <is>
          <t>AU</t>
        </is>
      </c>
      <c r="E672" s="4" t="inlineStr">
        <is>
          <t>Consumo cíclico</t>
        </is>
      </c>
      <c r="F672" s="4" t="inlineStr">
        <is>
          <t>Gambling</t>
        </is>
      </c>
      <c r="G672" s="4" t="inlineStr">
        <is>
          <t>ASX</t>
        </is>
      </c>
      <c r="H672" s="4" t="inlineStr">
        <is>
          <t>AUD</t>
        </is>
      </c>
      <c r="I672" s="5" t="n">
        <v>37081.022464</v>
      </c>
      <c r="J672" s="6">
        <f>INDEX(FX!$B:$B,MATCH(H672,FX!$A:$A,0))</f>
        <v/>
      </c>
      <c r="K672" s="5">
        <f>I672*J672</f>
        <v/>
      </c>
      <c r="L672" s="4">
        <f>IF(U672&lt;&gt;"",U672,IF(K672&gt;=Umbrales!$B$2,"Legendaria",IF(K672&gt;=Umbrales!$B$3,"Épica",IF(K672&gt;=Umbrales!$B$4,"Rara",IF(K672&gt;=Umbrales!$B$5,"Poco común","Común")))))</f>
        <v/>
      </c>
      <c r="M672" s="5" t="n">
        <v>6290.699776</v>
      </c>
      <c r="N672" s="5" t="n">
        <v>1471.6</v>
      </c>
      <c r="O672" s="5">
        <f>IF(M672="","",M672*J672)</f>
        <v/>
      </c>
      <c r="P672" s="5">
        <f>IF(N672="","",N672*J672)</f>
        <v/>
      </c>
      <c r="Q672" s="7" t="n">
        <v>0.0161</v>
      </c>
      <c r="R672" s="8" t="n">
        <v>25.867767</v>
      </c>
      <c r="S672" s="4" t="inlineStr">
        <is>
          <t>ASX50</t>
        </is>
      </c>
      <c r="T672" s="9" t="inlineStr">
        <is>
          <t>SI</t>
        </is>
      </c>
      <c r="U672" s="9" t="inlineStr"/>
      <c r="V672" s="10">
        <f>Umbrales!$B$9*(K672/1000)^Umbrales!$B$10</f>
        <v/>
      </c>
    </row>
    <row r="673">
      <c r="A673" s="4" t="inlineStr">
        <is>
          <t>EXPD</t>
        </is>
      </c>
      <c r="B673" s="4" t="inlineStr">
        <is>
          <t>Expeditors International of Washington, Inc.</t>
        </is>
      </c>
      <c r="C673" s="4" t="inlineStr">
        <is>
          <t>United States</t>
        </is>
      </c>
      <c r="D673" s="4" t="inlineStr">
        <is>
          <t>US</t>
        </is>
      </c>
      <c r="E673" s="4" t="inlineStr">
        <is>
          <t>Industria</t>
        </is>
      </c>
      <c r="F673" s="4" t="inlineStr">
        <is>
          <t>Integrated Freight &amp; Logistics</t>
        </is>
      </c>
      <c r="G673" s="4" t="inlineStr">
        <is>
          <t>NYQ</t>
        </is>
      </c>
      <c r="H673" s="4" t="inlineStr">
        <is>
          <t>USD</t>
        </is>
      </c>
      <c r="I673" s="5" t="n">
        <v>25567.85664</v>
      </c>
      <c r="J673" s="6">
        <f>INDEX(FX!$B:$B,MATCH(H673,FX!$A:$A,0))</f>
        <v/>
      </c>
      <c r="K673" s="5">
        <f>I673*J673</f>
        <v/>
      </c>
      <c r="L673" s="4">
        <f>IF(U673&lt;&gt;"",U673,IF(K673&gt;=Umbrales!$B$2,"Legendaria",IF(K673&gt;=Umbrales!$B$3,"Épica",IF(K673&gt;=Umbrales!$B$4,"Rara",IF(K673&gt;=Umbrales!$B$5,"Poco común","Común")))))</f>
        <v/>
      </c>
      <c r="M673" s="5" t="n">
        <v>12036.001792</v>
      </c>
      <c r="N673" s="5" t="n">
        <v>918.798976</v>
      </c>
      <c r="O673" s="5">
        <f>IF(M673="","",M673*J673)</f>
        <v/>
      </c>
      <c r="P673" s="5">
        <f>IF(N673="","",N673*J673)</f>
        <v/>
      </c>
      <c r="Q673" s="7" t="n">
        <v>0.0083</v>
      </c>
      <c r="R673" s="8" t="n">
        <v>28.672012</v>
      </c>
      <c r="S673" s="4" t="inlineStr">
        <is>
          <t>SP500</t>
        </is>
      </c>
      <c r="T673" s="9" t="inlineStr">
        <is>
          <t>SI</t>
        </is>
      </c>
      <c r="U673" s="9" t="inlineStr"/>
      <c r="V673" s="10">
        <f>Umbrales!$B$9*(K673/1000)^Umbrales!$B$10</f>
        <v/>
      </c>
    </row>
    <row r="674">
      <c r="A674" s="4" t="inlineStr">
        <is>
          <t>KOFUBL.MX</t>
        </is>
      </c>
      <c r="B674" s="4" t="inlineStr">
        <is>
          <t>Coca-Cola FEMSA, S.A.B. de C.V.</t>
        </is>
      </c>
      <c r="C674" s="4" t="inlineStr">
        <is>
          <t>Mexico</t>
        </is>
      </c>
      <c r="D674" s="4" t="inlineStr">
        <is>
          <t>MX</t>
        </is>
      </c>
      <c r="E674" s="4" t="inlineStr">
        <is>
          <t>Consumo básico</t>
        </is>
      </c>
      <c r="F674" s="4" t="inlineStr">
        <is>
          <t>Beverages - Non-Alcoholic</t>
        </is>
      </c>
      <c r="G674" s="4" t="inlineStr">
        <is>
          <t>MEX</t>
        </is>
      </c>
      <c r="H674" s="4" t="inlineStr">
        <is>
          <t>MXN</t>
        </is>
      </c>
      <c r="I674" s="5" t="n">
        <v>470924.689408</v>
      </c>
      <c r="J674" s="6">
        <f>INDEX(FX!$B:$B,MATCH(H674,FX!$A:$A,0))</f>
        <v/>
      </c>
      <c r="K674" s="5">
        <f>I674*J674</f>
        <v/>
      </c>
      <c r="L674" s="4">
        <f>IF(U674&lt;&gt;"",U674,IF(K674&gt;=Umbrales!$B$2,"Legendaria",IF(K674&gt;=Umbrales!$B$3,"Épica",IF(K674&gt;=Umbrales!$B$4,"Rara",IF(K674&gt;=Umbrales!$B$5,"Poco común","Común")))))</f>
        <v/>
      </c>
      <c r="M674" s="5" t="n">
        <v>296196.210688</v>
      </c>
      <c r="N674" s="5" t="n">
        <v>23948.128256</v>
      </c>
      <c r="O674" s="5">
        <f>IF(M674="","",M674*J674)</f>
        <v/>
      </c>
      <c r="P674" s="5">
        <f>IF(N674="","",N674*J674)</f>
        <v/>
      </c>
      <c r="Q674" s="7" t="n">
        <v>0.0364</v>
      </c>
      <c r="R674" s="8" t="n">
        <v>22.460663</v>
      </c>
      <c r="S674" s="4" t="inlineStr">
        <is>
          <t>IPC</t>
        </is>
      </c>
      <c r="T674" s="9" t="inlineStr">
        <is>
          <t>SI</t>
        </is>
      </c>
      <c r="U674" s="9" t="inlineStr"/>
      <c r="V674" s="10">
        <f>Umbrales!$B$9*(K674/1000)^Umbrales!$B$10</f>
        <v/>
      </c>
    </row>
    <row r="675">
      <c r="A675" s="4" t="inlineStr">
        <is>
          <t>2269.HK</t>
        </is>
      </c>
      <c r="B675" s="4" t="inlineStr">
        <is>
          <t>WuXi Biologics (Cayman) Inc.</t>
        </is>
      </c>
      <c r="C675" s="4" t="inlineStr">
        <is>
          <t>China</t>
        </is>
      </c>
      <c r="D675" s="4" t="inlineStr">
        <is>
          <t>CN</t>
        </is>
      </c>
      <c r="E675" s="4" t="inlineStr">
        <is>
          <t>Salud</t>
        </is>
      </c>
      <c r="F675" s="4" t="inlineStr">
        <is>
          <t>Biotechnology</t>
        </is>
      </c>
      <c r="G675" s="4" t="inlineStr">
        <is>
          <t>HKG</t>
        </is>
      </c>
      <c r="H675" s="4" t="inlineStr">
        <is>
          <t>HKD</t>
        </is>
      </c>
      <c r="I675" s="5" t="n">
        <v>200218.312704</v>
      </c>
      <c r="J675" s="6">
        <f>INDEX(FX!$B:$B,MATCH(H675,FX!$A:$A,0))</f>
        <v/>
      </c>
      <c r="K675" s="5">
        <f>I675*J675</f>
        <v/>
      </c>
      <c r="L675" s="4">
        <f>IF(U675&lt;&gt;"",U675,IF(K675&gt;=Umbrales!$B$2,"Legendaria",IF(K675&gt;=Umbrales!$B$3,"Épica",IF(K675&gt;=Umbrales!$B$4,"Rara",IF(K675&gt;=Umbrales!$B$5,"Poco común","Común")))))</f>
        <v/>
      </c>
      <c r="M675" s="5" t="n">
        <v>23624.040448</v>
      </c>
      <c r="N675" s="5" t="n">
        <v>5008.889856</v>
      </c>
      <c r="O675" s="5">
        <f>IF(M675="","",M675*J675)</f>
        <v/>
      </c>
      <c r="P675" s="5">
        <f>IF(N675="","",N675*J675)</f>
        <v/>
      </c>
      <c r="Q675" s="7" t="n">
        <v>0</v>
      </c>
      <c r="R675" s="8" t="n">
        <v>36.571426</v>
      </c>
      <c r="S675" s="4" t="inlineStr">
        <is>
          <t>HANGSENG</t>
        </is>
      </c>
      <c r="T675" s="9" t="inlineStr">
        <is>
          <t>SI</t>
        </is>
      </c>
      <c r="U675" s="9" t="inlineStr"/>
      <c r="V675" s="10">
        <f>Umbrales!$B$9*(K675/1000)^Umbrales!$B$10</f>
        <v/>
      </c>
    </row>
    <row r="676">
      <c r="A676" s="4" t="inlineStr">
        <is>
          <t>FFIV</t>
        </is>
      </c>
      <c r="B676" s="4" t="inlineStr">
        <is>
          <t>F5, Inc.</t>
        </is>
      </c>
      <c r="C676" s="4" t="inlineStr">
        <is>
          <t>United States</t>
        </is>
      </c>
      <c r="D676" s="4" t="inlineStr">
        <is>
          <t>US</t>
        </is>
      </c>
      <c r="E676" s="4" t="inlineStr">
        <is>
          <t>Tecnología</t>
        </is>
      </c>
      <c r="F676" s="4" t="inlineStr">
        <is>
          <t>Software - Infrastructure</t>
        </is>
      </c>
      <c r="G676" s="4" t="inlineStr">
        <is>
          <t>NMS</t>
        </is>
      </c>
      <c r="H676" s="4" t="inlineStr">
        <is>
          <t>USD</t>
        </is>
      </c>
      <c r="I676" s="5" t="n">
        <v>25430.134784</v>
      </c>
      <c r="J676" s="6">
        <f>INDEX(FX!$B:$B,MATCH(H676,FX!$A:$A,0))</f>
        <v/>
      </c>
      <c r="K676" s="5">
        <f>I676*J676</f>
        <v/>
      </c>
      <c r="L676" s="4">
        <f>IF(U676&lt;&gt;"",U676,IF(K676&gt;=Umbrales!$B$2,"Legendaria",IF(K676&gt;=Umbrales!$B$3,"Épica",IF(K676&gt;=Umbrales!$B$4,"Rara",IF(K676&gt;=Umbrales!$B$5,"Poco común","Común")))))</f>
        <v/>
      </c>
      <c r="M676" s="5" t="n">
        <v>3309.331968</v>
      </c>
      <c r="N676" s="5" t="n">
        <v>726.510016</v>
      </c>
      <c r="O676" s="5">
        <f>IF(M676="","",M676*J676)</f>
        <v/>
      </c>
      <c r="P676" s="5">
        <f>IF(N676="","",N676*J676)</f>
        <v/>
      </c>
      <c r="Q676" s="7" t="n">
        <v>0</v>
      </c>
      <c r="R676" s="8" t="n">
        <v>35.783264</v>
      </c>
      <c r="S676" s="4" t="inlineStr">
        <is>
          <t>SP500</t>
        </is>
      </c>
      <c r="T676" s="9" t="inlineStr">
        <is>
          <t>SI</t>
        </is>
      </c>
      <c r="U676" s="9" t="inlineStr"/>
      <c r="V676" s="10">
        <f>Umbrales!$B$9*(K676/1000)^Umbrales!$B$10</f>
        <v/>
      </c>
    </row>
    <row r="677">
      <c r="A677" s="4" t="inlineStr">
        <is>
          <t>EXO.AS</t>
        </is>
      </c>
      <c r="B677" s="4" t="inlineStr">
        <is>
          <t>Exor N.V.</t>
        </is>
      </c>
      <c r="C677" s="4" t="inlineStr">
        <is>
          <t>Netherlands</t>
        </is>
      </c>
      <c r="D677" s="4" t="inlineStr">
        <is>
          <t>NL</t>
        </is>
      </c>
      <c r="E677" s="4" t="inlineStr">
        <is>
          <t>Finanzas</t>
        </is>
      </c>
      <c r="F677" s="4" t="inlineStr">
        <is>
          <t>Asset Management</t>
        </is>
      </c>
      <c r="G677" s="4" t="inlineStr">
        <is>
          <t>AMS</t>
        </is>
      </c>
      <c r="H677" s="4" t="inlineStr">
        <is>
          <t>EUR</t>
        </is>
      </c>
      <c r="I677" s="5" t="n">
        <v>22598.217728</v>
      </c>
      <c r="J677" s="6">
        <f>INDEX(FX!$B:$B,MATCH(H677,FX!$A:$A,0))</f>
        <v/>
      </c>
      <c r="K677" s="5">
        <f>I677*J677</f>
        <v/>
      </c>
      <c r="L677" s="4">
        <f>IF(U677&lt;&gt;"",U677,IF(K677&gt;=Umbrales!$B$2,"Legendaria",IF(K677&gt;=Umbrales!$B$3,"Épica",IF(K677&gt;=Umbrales!$B$4,"Rara",IF(K677&gt;=Umbrales!$B$5,"Poco común","Común")))))</f>
        <v/>
      </c>
      <c r="M677" s="5" t="n">
        <v>-4032.999936</v>
      </c>
      <c r="N677" s="5" t="n">
        <v>-4291.000064</v>
      </c>
      <c r="O677" s="5">
        <f>IF(M677="","",M677*J677)</f>
        <v/>
      </c>
      <c r="P677" s="5">
        <f>IF(N677="","",N677*J677)</f>
        <v/>
      </c>
      <c r="Q677" s="7" t="n">
        <v>0.0071</v>
      </c>
      <c r="R677" s="8" t="n"/>
      <c r="S677" s="4" t="inlineStr">
        <is>
          <t>AEX</t>
        </is>
      </c>
      <c r="T677" s="9" t="inlineStr">
        <is>
          <t>SI</t>
        </is>
      </c>
      <c r="U677" s="9" t="inlineStr"/>
      <c r="V677" s="10">
        <f>Umbrales!$B$9*(K677/1000)^Umbrales!$B$10</f>
        <v/>
      </c>
    </row>
    <row r="678">
      <c r="A678" s="4" t="inlineStr">
        <is>
          <t>0066.HK</t>
        </is>
      </c>
      <c r="B678" s="4" t="inlineStr">
        <is>
          <t>MTR Corporation Limited</t>
        </is>
      </c>
      <c r="C678" s="4" t="inlineStr">
        <is>
          <t>Hong Kong</t>
        </is>
      </c>
      <c r="D678" s="4" t="inlineStr">
        <is>
          <t>HK</t>
        </is>
      </c>
      <c r="E678" s="4" t="inlineStr">
        <is>
          <t>Industria</t>
        </is>
      </c>
      <c r="F678" s="4" t="inlineStr">
        <is>
          <t>Railroads</t>
        </is>
      </c>
      <c r="G678" s="4" t="inlineStr">
        <is>
          <t>HKG</t>
        </is>
      </c>
      <c r="H678" s="4" t="inlineStr">
        <is>
          <t>HKD</t>
        </is>
      </c>
      <c r="I678" s="5" t="n">
        <v>197962.530816</v>
      </c>
      <c r="J678" s="6">
        <f>INDEX(FX!$B:$B,MATCH(H678,FX!$A:$A,0))</f>
        <v/>
      </c>
      <c r="K678" s="5">
        <f>I678*J678</f>
        <v/>
      </c>
      <c r="L678" s="4">
        <f>IF(U678&lt;&gt;"",U678,IF(K678&gt;=Umbrales!$B$2,"Legendaria",IF(K678&gt;=Umbrales!$B$3,"Épica",IF(K678&gt;=Umbrales!$B$4,"Rara",IF(K678&gt;=Umbrales!$B$5,"Poco común","Común")))))</f>
        <v/>
      </c>
      <c r="M678" s="5" t="n">
        <v>54336</v>
      </c>
      <c r="N678" s="5" t="n">
        <v>23434.000384</v>
      </c>
      <c r="O678" s="5">
        <f>IF(M678="","",M678*J678)</f>
        <v/>
      </c>
      <c r="P678" s="5">
        <f>IF(N678="","",N678*J678)</f>
        <v/>
      </c>
      <c r="Q678" s="7" t="n">
        <v>0.0409</v>
      </c>
      <c r="R678" s="8" t="n">
        <v>8.681198999999999</v>
      </c>
      <c r="S678" s="4" t="inlineStr">
        <is>
          <t>HANGSENG</t>
        </is>
      </c>
      <c r="T678" s="9" t="inlineStr">
        <is>
          <t>SI</t>
        </is>
      </c>
      <c r="U678" s="9" t="inlineStr"/>
      <c r="V678" s="10">
        <f>Umbrales!$B$9*(K678/1000)^Umbrales!$B$10</f>
        <v/>
      </c>
    </row>
    <row r="679">
      <c r="A679" s="4" t="inlineStr">
        <is>
          <t>AMS.MC</t>
        </is>
      </c>
      <c r="B679" s="4" t="inlineStr">
        <is>
          <t>Amadeus IT Group, S.A.</t>
        </is>
      </c>
      <c r="C679" s="4" t="inlineStr">
        <is>
          <t>Spain</t>
        </is>
      </c>
      <c r="D679" s="4" t="inlineStr">
        <is>
          <t>ES</t>
        </is>
      </c>
      <c r="E679" s="4" t="inlineStr">
        <is>
          <t>Tecnología</t>
        </is>
      </c>
      <c r="F679" s="4" t="inlineStr">
        <is>
          <t>Information Technology Services</t>
        </is>
      </c>
      <c r="G679" s="4" t="inlineStr">
        <is>
          <t>MCE</t>
        </is>
      </c>
      <c r="H679" s="4" t="inlineStr">
        <is>
          <t>EUR</t>
        </is>
      </c>
      <c r="I679" s="5" t="n">
        <v>22292.893696</v>
      </c>
      <c r="J679" s="6">
        <f>INDEX(FX!$B:$B,MATCH(H679,FX!$A:$A,0))</f>
        <v/>
      </c>
      <c r="K679" s="5">
        <f>I679*J679</f>
        <v/>
      </c>
      <c r="L679" s="4">
        <f>IF(U679&lt;&gt;"",U679,IF(K679&gt;=Umbrales!$B$2,"Legendaria",IF(K679&gt;=Umbrales!$B$3,"Épica",IF(K679&gt;=Umbrales!$B$4,"Rara",IF(K679&gt;=Umbrales!$B$5,"Poco común","Común")))))</f>
        <v/>
      </c>
      <c r="M679" s="5" t="n">
        <v>6591.90016</v>
      </c>
      <c r="N679" s="5" t="n">
        <v>1308.999936</v>
      </c>
      <c r="O679" s="5">
        <f>IF(M679="","",M679*J679)</f>
        <v/>
      </c>
      <c r="P679" s="5">
        <f>IF(N679="","",N679*J679)</f>
        <v/>
      </c>
      <c r="Q679" s="7" t="n">
        <v>0.0293</v>
      </c>
      <c r="R679" s="8" t="n">
        <v>17.518152</v>
      </c>
      <c r="S679" s="4" t="inlineStr">
        <is>
          <t>IBEX35</t>
        </is>
      </c>
      <c r="T679" s="9" t="inlineStr">
        <is>
          <t>SI</t>
        </is>
      </c>
      <c r="U679" s="9" t="inlineStr"/>
      <c r="V679" s="10">
        <f>Umbrales!$B$9*(K679/1000)^Umbrales!$B$10</f>
        <v/>
      </c>
    </row>
    <row r="680">
      <c r="A680" s="4" t="inlineStr">
        <is>
          <t>FISV</t>
        </is>
      </c>
      <c r="B680" s="4" t="inlineStr">
        <is>
          <t>Fiserv, Inc.</t>
        </is>
      </c>
      <c r="C680" s="4" t="inlineStr"/>
      <c r="D680" s="4" t="inlineStr">
        <is>
          <t>UN</t>
        </is>
      </c>
      <c r="E680" s="4" t="inlineStr">
        <is>
          <t>Otros</t>
        </is>
      </c>
      <c r="F680" s="4" t="inlineStr"/>
      <c r="G680" s="4" t="inlineStr">
        <is>
          <t>NMS</t>
        </is>
      </c>
      <c r="H680" s="4" t="inlineStr">
        <is>
          <t>USD</t>
        </is>
      </c>
      <c r="I680" s="5" t="n">
        <v>24960.065536</v>
      </c>
      <c r="J680" s="6">
        <f>INDEX(FX!$B:$B,MATCH(H680,FX!$A:$A,0))</f>
        <v/>
      </c>
      <c r="K680" s="5">
        <f>I680*J680</f>
        <v/>
      </c>
      <c r="L680" s="4">
        <f>IF(U680&lt;&gt;"",U680,IF(K680&gt;=Umbrales!$B$2,"Legendaria",IF(K680&gt;=Umbrales!$B$3,"Épica",IF(K680&gt;=Umbrales!$B$4,"Rara",IF(K680&gt;=Umbrales!$B$5,"Poco común","Común")))))</f>
        <v/>
      </c>
      <c r="M680" s="5" t="n"/>
      <c r="N680" s="5" t="n"/>
      <c r="O680" s="5">
        <f>IF(M680="","",M680*J680)</f>
        <v/>
      </c>
      <c r="P680" s="5">
        <f>IF(N680="","",N680*J680)</f>
        <v/>
      </c>
      <c r="Q680" s="7" t="n"/>
      <c r="R680" s="8" t="n">
        <v>9.114174999999999</v>
      </c>
      <c r="S680" s="4" t="inlineStr">
        <is>
          <t>SP500</t>
        </is>
      </c>
      <c r="T680" s="9" t="inlineStr">
        <is>
          <t>SI</t>
        </is>
      </c>
      <c r="U680" s="9" t="inlineStr"/>
      <c r="V680" s="10">
        <f>Umbrales!$B$9*(K680/1000)^Umbrales!$B$10</f>
        <v/>
      </c>
    </row>
    <row r="681">
      <c r="A681" s="4" t="inlineStr">
        <is>
          <t>CASY</t>
        </is>
      </c>
      <c r="B681" s="4" t="inlineStr">
        <is>
          <t>Casey's General Stores, Inc.</t>
        </is>
      </c>
      <c r="C681" s="4" t="inlineStr">
        <is>
          <t>United States</t>
        </is>
      </c>
      <c r="D681" s="4" t="inlineStr">
        <is>
          <t>US</t>
        </is>
      </c>
      <c r="E681" s="4" t="inlineStr">
        <is>
          <t>Consumo cíclico</t>
        </is>
      </c>
      <c r="F681" s="4" t="inlineStr">
        <is>
          <t>Specialty Retail</t>
        </is>
      </c>
      <c r="G681" s="4" t="inlineStr">
        <is>
          <t>NMS</t>
        </is>
      </c>
      <c r="H681" s="4" t="inlineStr">
        <is>
          <t>USD</t>
        </is>
      </c>
      <c r="I681" s="5" t="n">
        <v>24956.243968</v>
      </c>
      <c r="J681" s="6">
        <f>INDEX(FX!$B:$B,MATCH(H681,FX!$A:$A,0))</f>
        <v/>
      </c>
      <c r="K681" s="5">
        <f>I681*J681</f>
        <v/>
      </c>
      <c r="L681" s="4">
        <f>IF(U681&lt;&gt;"",U681,IF(K681&gt;=Umbrales!$B$2,"Legendaria",IF(K681&gt;=Umbrales!$B$3,"Épica",IF(K681&gt;=Umbrales!$B$4,"Rara",IF(K681&gt;=Umbrales!$B$5,"Poco común","Común")))))</f>
        <v/>
      </c>
      <c r="M681" s="5" t="n">
        <v>18672.330752</v>
      </c>
      <c r="N681" s="5" t="n">
        <v>772.812992</v>
      </c>
      <c r="O681" s="5">
        <f>IF(M681="","",M681*J681)</f>
        <v/>
      </c>
      <c r="P681" s="5">
        <f>IF(N681="","",N681*J681)</f>
        <v/>
      </c>
      <c r="Q681" s="7" t="n">
        <v>0.004099999999999999</v>
      </c>
      <c r="R681" s="8" t="n">
        <v>31.925295</v>
      </c>
      <c r="S681" s="4" t="inlineStr">
        <is>
          <t>SP500</t>
        </is>
      </c>
      <c r="T681" s="9" t="inlineStr">
        <is>
          <t>SI</t>
        </is>
      </c>
      <c r="U681" s="9" t="inlineStr"/>
      <c r="V681" s="10">
        <f>Umbrales!$B$9*(K681/1000)^Umbrales!$B$10</f>
        <v/>
      </c>
    </row>
    <row r="682">
      <c r="A682" s="4" t="inlineStr">
        <is>
          <t>ES</t>
        </is>
      </c>
      <c r="B682" s="4" t="inlineStr">
        <is>
          <t>Eversource Energy</t>
        </is>
      </c>
      <c r="C682" s="4" t="inlineStr">
        <is>
          <t>United States</t>
        </is>
      </c>
      <c r="D682" s="4" t="inlineStr">
        <is>
          <t>US</t>
        </is>
      </c>
      <c r="E682" s="4" t="inlineStr">
        <is>
          <t>Servicios públicos</t>
        </is>
      </c>
      <c r="F682" s="4" t="inlineStr">
        <is>
          <t>Utilities - Regulated Electric</t>
        </is>
      </c>
      <c r="G682" s="4" t="inlineStr">
        <is>
          <t>NYQ</t>
        </is>
      </c>
      <c r="H682" s="4" t="inlineStr">
        <is>
          <t>USD</t>
        </is>
      </c>
      <c r="I682" s="5" t="n">
        <v>24933.984256</v>
      </c>
      <c r="J682" s="6">
        <f>INDEX(FX!$B:$B,MATCH(H682,FX!$A:$A,0))</f>
        <v/>
      </c>
      <c r="K682" s="5">
        <f>I682*J682</f>
        <v/>
      </c>
      <c r="L682" s="4">
        <f>IF(U682&lt;&gt;"",U682,IF(K682&gt;=Umbrales!$B$2,"Legendaria",IF(K682&gt;=Umbrales!$B$3,"Épica",IF(K682&gt;=Umbrales!$B$4,"Rara",IF(K682&gt;=Umbrales!$B$5,"Poco común","Común")))))</f>
        <v/>
      </c>
      <c r="M682" s="5" t="n">
        <v>13998.372864</v>
      </c>
      <c r="N682" s="5" t="n">
        <v>1449.377024</v>
      </c>
      <c r="O682" s="5">
        <f>IF(M682="","",M682*J682)</f>
        <v/>
      </c>
      <c r="P682" s="5">
        <f>IF(N682="","",N682*J682)</f>
        <v/>
      </c>
      <c r="Q682" s="7" t="n">
        <v>0.0479</v>
      </c>
      <c r="R682" s="8" t="n">
        <v>17.148964</v>
      </c>
      <c r="S682" s="4" t="inlineStr">
        <is>
          <t>SP500</t>
        </is>
      </c>
      <c r="T682" s="9" t="inlineStr">
        <is>
          <t>SI</t>
        </is>
      </c>
      <c r="U682" s="9" t="inlineStr"/>
      <c r="V682" s="10">
        <f>Umbrales!$B$9*(K682/1000)^Umbrales!$B$10</f>
        <v/>
      </c>
    </row>
    <row r="683">
      <c r="A683" s="4" t="inlineStr">
        <is>
          <t>0002.HK</t>
        </is>
      </c>
      <c r="B683" s="4" t="inlineStr">
        <is>
          <t>CLP Holdings Limited</t>
        </is>
      </c>
      <c r="C683" s="4" t="inlineStr">
        <is>
          <t>Hong Kong</t>
        </is>
      </c>
      <c r="D683" s="4" t="inlineStr">
        <is>
          <t>HK</t>
        </is>
      </c>
      <c r="E683" s="4" t="inlineStr">
        <is>
          <t>Servicios públicos</t>
        </is>
      </c>
      <c r="F683" s="4" t="inlineStr">
        <is>
          <t>Utilities - Regulated Electric</t>
        </is>
      </c>
      <c r="G683" s="4" t="inlineStr">
        <is>
          <t>HKG</t>
        </is>
      </c>
      <c r="H683" s="4" t="inlineStr">
        <is>
          <t>HKD</t>
        </is>
      </c>
      <c r="I683" s="5" t="n">
        <v>195547.283456</v>
      </c>
      <c r="J683" s="6">
        <f>INDEX(FX!$B:$B,MATCH(H683,FX!$A:$A,0))</f>
        <v/>
      </c>
      <c r="K683" s="5">
        <f>I683*J683</f>
        <v/>
      </c>
      <c r="L683" s="4">
        <f>IF(U683&lt;&gt;"",U683,IF(K683&gt;=Umbrales!$B$2,"Legendaria",IF(K683&gt;=Umbrales!$B$3,"Épica",IF(K683&gt;=Umbrales!$B$4,"Rara",IF(K683&gt;=Umbrales!$B$5,"Poco común","Común")))))</f>
        <v/>
      </c>
      <c r="M683" s="5" t="n">
        <v>88020.000768</v>
      </c>
      <c r="N683" s="5" t="n">
        <v>10840.999936</v>
      </c>
      <c r="O683" s="5">
        <f>IF(M683="","",M683*J683)</f>
        <v/>
      </c>
      <c r="P683" s="5">
        <f>IF(N683="","",N683*J683)</f>
        <v/>
      </c>
      <c r="Q683" s="7" t="n">
        <v>0.0329</v>
      </c>
      <c r="R683" s="8" t="n">
        <v>18.084112</v>
      </c>
      <c r="S683" s="4" t="inlineStr">
        <is>
          <t>HANGSENG</t>
        </is>
      </c>
      <c r="T683" s="9" t="inlineStr">
        <is>
          <t>SI</t>
        </is>
      </c>
      <c r="U683" s="9" t="inlineStr"/>
      <c r="V683" s="10">
        <f>Umbrales!$B$9*(K683/1000)^Umbrales!$B$10</f>
        <v/>
      </c>
    </row>
    <row r="684">
      <c r="A684" s="4" t="inlineStr">
        <is>
          <t>VLTO</t>
        </is>
      </c>
      <c r="B684" s="4" t="inlineStr">
        <is>
          <t>Veralto Corporation</t>
        </is>
      </c>
      <c r="C684" s="4" t="inlineStr">
        <is>
          <t>United States</t>
        </is>
      </c>
      <c r="D684" s="4" t="inlineStr">
        <is>
          <t>US</t>
        </is>
      </c>
      <c r="E684" s="4" t="inlineStr">
        <is>
          <t>Industria</t>
        </is>
      </c>
      <c r="F684" s="4" t="inlineStr">
        <is>
          <t>Pollution &amp; Treatment Controls</t>
        </is>
      </c>
      <c r="G684" s="4" t="inlineStr">
        <is>
          <t>NYQ</t>
        </is>
      </c>
      <c r="H684" s="4" t="inlineStr">
        <is>
          <t>USD</t>
        </is>
      </c>
      <c r="I684" s="5" t="n">
        <v>24859.60704</v>
      </c>
      <c r="J684" s="6">
        <f>INDEX(FX!$B:$B,MATCH(H684,FX!$A:$A,0))</f>
        <v/>
      </c>
      <c r="K684" s="5">
        <f>I684*J684</f>
        <v/>
      </c>
      <c r="L684" s="4">
        <f>IF(U684&lt;&gt;"",U684,IF(K684&gt;=Umbrales!$B$2,"Legendaria",IF(K684&gt;=Umbrales!$B$3,"Épica",IF(K684&gt;=Umbrales!$B$4,"Rara",IF(K684&gt;=Umbrales!$B$5,"Poco común","Común")))))</f>
        <v/>
      </c>
      <c r="M684" s="5" t="n">
        <v>5696</v>
      </c>
      <c r="N684" s="5" t="n">
        <v>988</v>
      </c>
      <c r="O684" s="5">
        <f>IF(M684="","",M684*J684)</f>
        <v/>
      </c>
      <c r="P684" s="5">
        <f>IF(N684="","",N684*J684)</f>
        <v/>
      </c>
      <c r="Q684" s="7" t="n">
        <v>0.0053</v>
      </c>
      <c r="R684" s="8" t="n">
        <v>25.685139</v>
      </c>
      <c r="S684" s="4" t="inlineStr">
        <is>
          <t>SP500</t>
        </is>
      </c>
      <c r="T684" s="9" t="inlineStr">
        <is>
          <t>SI</t>
        </is>
      </c>
      <c r="U684" s="9" t="inlineStr"/>
      <c r="V684" s="10">
        <f>Umbrales!$B$9*(K684/1000)^Umbrales!$B$10</f>
        <v/>
      </c>
    </row>
    <row r="685">
      <c r="A685" s="4" t="inlineStr">
        <is>
          <t>9961.HK</t>
        </is>
      </c>
      <c r="B685" s="4" t="inlineStr">
        <is>
          <t>Trip.com Group Limited</t>
        </is>
      </c>
      <c r="C685" s="4" t="inlineStr">
        <is>
          <t>Singapore</t>
        </is>
      </c>
      <c r="D685" s="4" t="inlineStr">
        <is>
          <t>SG</t>
        </is>
      </c>
      <c r="E685" s="4" t="inlineStr">
        <is>
          <t>Consumo cíclico</t>
        </is>
      </c>
      <c r="F685" s="4" t="inlineStr">
        <is>
          <t>Travel Services</t>
        </is>
      </c>
      <c r="G685" s="4" t="inlineStr">
        <is>
          <t>HKG</t>
        </is>
      </c>
      <c r="H685" s="4" t="inlineStr">
        <is>
          <t>HKD</t>
        </is>
      </c>
      <c r="I685" s="5" t="n">
        <v>194704.867328</v>
      </c>
      <c r="J685" s="6">
        <f>INDEX(FX!$B:$B,MATCH(H685,FX!$A:$A,0))</f>
        <v/>
      </c>
      <c r="K685" s="5">
        <f>I685*J685</f>
        <v/>
      </c>
      <c r="L685" s="4">
        <f>IF(U685&lt;&gt;"",U685,IF(K685&gt;=Umbrales!$B$2,"Legendaria",IF(K685&gt;=Umbrales!$B$3,"Épica",IF(K685&gt;=Umbrales!$B$4,"Rara",IF(K685&gt;=Umbrales!$B$5,"Poco común","Común")))))</f>
        <v/>
      </c>
      <c r="M685" s="5" t="n">
        <v>65607.00006400001</v>
      </c>
      <c r="N685" s="5" t="n">
        <v>24212.000768</v>
      </c>
      <c r="O685" s="5">
        <f>IF(M685="","",M685*J685)</f>
        <v/>
      </c>
      <c r="P685" s="5">
        <f>IF(N685="","",N685*J685)</f>
        <v/>
      </c>
      <c r="Q685" s="7" t="n">
        <v>0</v>
      </c>
      <c r="R685" s="8" t="n">
        <v>7.985537</v>
      </c>
      <c r="S685" s="4" t="inlineStr">
        <is>
          <t>HANGSENG</t>
        </is>
      </c>
      <c r="T685" s="9" t="inlineStr">
        <is>
          <t>SI</t>
        </is>
      </c>
      <c r="U685" s="9" t="inlineStr"/>
      <c r="V685" s="10">
        <f>Umbrales!$B$9*(K685/1000)^Umbrales!$B$10</f>
        <v/>
      </c>
    </row>
    <row r="686">
      <c r="A686" s="4" t="inlineStr">
        <is>
          <t>ECHO</t>
        </is>
      </c>
      <c r="B686" s="4" t="inlineStr">
        <is>
          <t>EchoStar Corporation</t>
        </is>
      </c>
      <c r="C686" s="4" t="inlineStr">
        <is>
          <t>United States</t>
        </is>
      </c>
      <c r="D686" s="4" t="inlineStr">
        <is>
          <t>US</t>
        </is>
      </c>
      <c r="E686" s="4" t="inlineStr">
        <is>
          <t>Comunicación</t>
        </is>
      </c>
      <c r="F686" s="4" t="inlineStr">
        <is>
          <t>Telecom Services</t>
        </is>
      </c>
      <c r="G686" s="4" t="inlineStr">
        <is>
          <t>NMS</t>
        </is>
      </c>
      <c r="H686" s="4" t="inlineStr">
        <is>
          <t>USD</t>
        </is>
      </c>
      <c r="I686" s="5" t="n">
        <v>24809.498624</v>
      </c>
      <c r="J686" s="6">
        <f>INDEX(FX!$B:$B,MATCH(H686,FX!$A:$A,0))</f>
        <v/>
      </c>
      <c r="K686" s="5">
        <f>I686*J686</f>
        <v/>
      </c>
      <c r="L686" s="4">
        <f>IF(U686&lt;&gt;"",U686,IF(K686&gt;=Umbrales!$B$2,"Legendaria",IF(K686&gt;=Umbrales!$B$3,"Épica",IF(K686&gt;=Umbrales!$B$4,"Rara",IF(K686&gt;=Umbrales!$B$5,"Poco común","Común")))))</f>
        <v/>
      </c>
      <c r="M686" s="5" t="n">
        <v>14653.925376</v>
      </c>
      <c r="N686" s="5" t="n">
        <v>-5672.891904</v>
      </c>
      <c r="O686" s="5">
        <f>IF(M686="","",M686*J686)</f>
        <v/>
      </c>
      <c r="P686" s="5">
        <f>IF(N686="","",N686*J686)</f>
        <v/>
      </c>
      <c r="Q686" s="7" t="n">
        <v>0</v>
      </c>
      <c r="R686" s="8" t="n"/>
      <c r="S686" s="4" t="inlineStr">
        <is>
          <t>SP500</t>
        </is>
      </c>
      <c r="T686" s="9" t="inlineStr">
        <is>
          <t>SI</t>
        </is>
      </c>
      <c r="U686" s="9" t="inlineStr"/>
      <c r="V686" s="10">
        <f>Umbrales!$B$9*(K686/1000)^Umbrales!$B$10</f>
        <v/>
      </c>
    </row>
    <row r="687">
      <c r="A687" s="4" t="inlineStr">
        <is>
          <t>CHD</t>
        </is>
      </c>
      <c r="B687" s="4" t="inlineStr">
        <is>
          <t>Church &amp; Dwight Co., Inc.</t>
        </is>
      </c>
      <c r="C687" s="4" t="inlineStr">
        <is>
          <t>United States</t>
        </is>
      </c>
      <c r="D687" s="4" t="inlineStr">
        <is>
          <t>US</t>
        </is>
      </c>
      <c r="E687" s="4" t="inlineStr">
        <is>
          <t>Consumo básico</t>
        </is>
      </c>
      <c r="F687" s="4" t="inlineStr">
        <is>
          <t>Household &amp; Personal Products</t>
        </is>
      </c>
      <c r="G687" s="4" t="inlineStr">
        <is>
          <t>NYQ</t>
        </is>
      </c>
      <c r="H687" s="4" t="inlineStr">
        <is>
          <t>USD</t>
        </is>
      </c>
      <c r="I687" s="5" t="n">
        <v>24797.29664</v>
      </c>
      <c r="J687" s="6">
        <f>INDEX(FX!$B:$B,MATCH(H687,FX!$A:$A,0))</f>
        <v/>
      </c>
      <c r="K687" s="5">
        <f>I687*J687</f>
        <v/>
      </c>
      <c r="L687" s="4">
        <f>IF(U687&lt;&gt;"",U687,IF(K687&gt;=Umbrales!$B$2,"Legendaria",IF(K687&gt;=Umbrales!$B$3,"Épica",IF(K687&gt;=Umbrales!$B$4,"Rara",IF(K687&gt;=Umbrales!$B$5,"Poco común","Común")))))</f>
        <v/>
      </c>
      <c r="M687" s="5" t="n">
        <v>6229.100032</v>
      </c>
      <c r="N687" s="5" t="n">
        <v>744.8</v>
      </c>
      <c r="O687" s="5">
        <f>IF(M687="","",M687*J687)</f>
        <v/>
      </c>
      <c r="P687" s="5">
        <f>IF(N687="","",N687*J687)</f>
        <v/>
      </c>
      <c r="Q687" s="7" t="n">
        <v>0.0123</v>
      </c>
      <c r="R687" s="8" t="n">
        <v>32.66875</v>
      </c>
      <c r="S687" s="4" t="inlineStr">
        <is>
          <t>SP500</t>
        </is>
      </c>
      <c r="T687" s="9" t="inlineStr">
        <is>
          <t>SI</t>
        </is>
      </c>
      <c r="U687" s="9" t="inlineStr"/>
      <c r="V687" s="10">
        <f>Umbrales!$B$9*(K687/1000)^Umbrales!$B$10</f>
        <v/>
      </c>
    </row>
    <row r="688">
      <c r="A688" s="4" t="inlineStr">
        <is>
          <t>LVS</t>
        </is>
      </c>
      <c r="B688" s="4" t="inlineStr">
        <is>
          <t>Las Vegas Sands Corp.</t>
        </is>
      </c>
      <c r="C688" s="4" t="inlineStr">
        <is>
          <t>United States</t>
        </is>
      </c>
      <c r="D688" s="4" t="inlineStr">
        <is>
          <t>US</t>
        </is>
      </c>
      <c r="E688" s="4" t="inlineStr">
        <is>
          <t>Consumo cíclico</t>
        </is>
      </c>
      <c r="F688" s="4" t="inlineStr">
        <is>
          <t>Resorts &amp; Casinos</t>
        </is>
      </c>
      <c r="G688" s="4" t="inlineStr">
        <is>
          <t>NYQ</t>
        </is>
      </c>
      <c r="H688" s="4" t="inlineStr">
        <is>
          <t>USD</t>
        </is>
      </c>
      <c r="I688" s="5" t="n">
        <v>24596.451328</v>
      </c>
      <c r="J688" s="6">
        <f>INDEX(FX!$B:$B,MATCH(H688,FX!$A:$A,0))</f>
        <v/>
      </c>
      <c r="K688" s="5">
        <f>I688*J688</f>
        <v/>
      </c>
      <c r="L688" s="4">
        <f>IF(U688&lt;&gt;"",U688,IF(K688&gt;=Umbrales!$B$2,"Legendaria",IF(K688&gt;=Umbrales!$B$3,"Épica",IF(K688&gt;=Umbrales!$B$4,"Rara",IF(K688&gt;=Umbrales!$B$5,"Poco común","Común")))))</f>
        <v/>
      </c>
      <c r="M688" s="5" t="n">
        <v>13719.000064</v>
      </c>
      <c r="N688" s="5" t="n">
        <v>1727.000064</v>
      </c>
      <c r="O688" s="5">
        <f>IF(M688="","",M688*J688)</f>
        <v/>
      </c>
      <c r="P688" s="5">
        <f>IF(N688="","",N688*J688)</f>
        <v/>
      </c>
      <c r="Q688" s="7" t="n">
        <v>0.03240000000000001</v>
      </c>
      <c r="R688" s="8" t="n">
        <v>14.776264</v>
      </c>
      <c r="S688" s="4" t="inlineStr">
        <is>
          <t>SP500</t>
        </is>
      </c>
      <c r="T688" s="9" t="inlineStr">
        <is>
          <t>SI</t>
        </is>
      </c>
      <c r="U688" s="9" t="inlineStr"/>
      <c r="V688" s="10">
        <f>Umbrales!$B$9*(K688/1000)^Umbrales!$B$10</f>
        <v/>
      </c>
    </row>
    <row r="689">
      <c r="A689" s="4" t="inlineStr">
        <is>
          <t>PHIA.AS</t>
        </is>
      </c>
      <c r="B689" s="4" t="inlineStr">
        <is>
          <t>Koninklijke Philips N.V.</t>
        </is>
      </c>
      <c r="C689" s="4" t="inlineStr">
        <is>
          <t>Netherlands</t>
        </is>
      </c>
      <c r="D689" s="4" t="inlineStr">
        <is>
          <t>NL</t>
        </is>
      </c>
      <c r="E689" s="4" t="inlineStr">
        <is>
          <t>Salud</t>
        </is>
      </c>
      <c r="F689" s="4" t="inlineStr">
        <is>
          <t>Medical Devices</t>
        </is>
      </c>
      <c r="G689" s="4" t="inlineStr">
        <is>
          <t>AMS</t>
        </is>
      </c>
      <c r="H689" s="4" t="inlineStr">
        <is>
          <t>EUR</t>
        </is>
      </c>
      <c r="I689" s="5" t="n">
        <v>21933.471744</v>
      </c>
      <c r="J689" s="6">
        <f>INDEX(FX!$B:$B,MATCH(H689,FX!$A:$A,0))</f>
        <v/>
      </c>
      <c r="K689" s="5">
        <f>I689*J689</f>
        <v/>
      </c>
      <c r="L689" s="4">
        <f>IF(U689&lt;&gt;"",U689,IF(K689&gt;=Umbrales!$B$2,"Legendaria",IF(K689&gt;=Umbrales!$B$3,"Épica",IF(K689&gt;=Umbrales!$B$4,"Rara",IF(K689&gt;=Umbrales!$B$5,"Poco común","Común")))))</f>
        <v/>
      </c>
      <c r="M689" s="5" t="n">
        <v>17664.999424</v>
      </c>
      <c r="N689" s="5" t="n">
        <v>1110</v>
      </c>
      <c r="O689" s="5">
        <f>IF(M689="","",M689*J689)</f>
        <v/>
      </c>
      <c r="P689" s="5">
        <f>IF(N689="","",N689*J689)</f>
        <v/>
      </c>
      <c r="Q689" s="7" t="n">
        <v>0.0383</v>
      </c>
      <c r="R689" s="8" t="n">
        <v>19.513044</v>
      </c>
      <c r="S689" s="4" t="inlineStr">
        <is>
          <t>AEX</t>
        </is>
      </c>
      <c r="T689" s="9" t="inlineStr">
        <is>
          <t>SI</t>
        </is>
      </c>
      <c r="U689" s="9" t="inlineStr"/>
      <c r="V689" s="10">
        <f>Umbrales!$B$9*(K689/1000)^Umbrales!$B$10</f>
        <v/>
      </c>
    </row>
    <row r="690">
      <c r="A690" s="4" t="inlineStr">
        <is>
          <t>9992.HK</t>
        </is>
      </c>
      <c r="B690" s="4" t="inlineStr">
        <is>
          <t>Pop Mart International Group Limited</t>
        </is>
      </c>
      <c r="C690" s="4" t="inlineStr">
        <is>
          <t>China</t>
        </is>
      </c>
      <c r="D690" s="4" t="inlineStr">
        <is>
          <t>CN</t>
        </is>
      </c>
      <c r="E690" s="4" t="inlineStr">
        <is>
          <t>Consumo cíclico</t>
        </is>
      </c>
      <c r="F690" s="4" t="inlineStr">
        <is>
          <t>Leisure</t>
        </is>
      </c>
      <c r="G690" s="4" t="inlineStr">
        <is>
          <t>HKG</t>
        </is>
      </c>
      <c r="H690" s="4" t="inlineStr">
        <is>
          <t>HKD</t>
        </is>
      </c>
      <c r="I690" s="5" t="n">
        <v>192370.573312</v>
      </c>
      <c r="J690" s="6">
        <f>INDEX(FX!$B:$B,MATCH(H690,FX!$A:$A,0))</f>
        <v/>
      </c>
      <c r="K690" s="5">
        <f>I690*J690</f>
        <v/>
      </c>
      <c r="L690" s="4">
        <f>IF(U690&lt;&gt;"",U690,IF(K690&gt;=Umbrales!$B$2,"Legendaria",IF(K690&gt;=Umbrales!$B$3,"Épica",IF(K690&gt;=Umbrales!$B$4,"Rara",IF(K690&gt;=Umbrales!$B$5,"Poco común","Común")))))</f>
        <v/>
      </c>
      <c r="M690" s="5" t="n">
        <v>40416.698368</v>
      </c>
      <c r="N690" s="5" t="n">
        <v>13239.704576</v>
      </c>
      <c r="O690" s="5">
        <f>IF(M690="","",M690*J690)</f>
        <v/>
      </c>
      <c r="P690" s="5">
        <f>IF(N690="","",N690*J690)</f>
        <v/>
      </c>
      <c r="Q690" s="7" t="n">
        <v>0.0183</v>
      </c>
      <c r="R690" s="8" t="n">
        <v>13.108108</v>
      </c>
      <c r="S690" s="4" t="inlineStr">
        <is>
          <t>HANGSENG</t>
        </is>
      </c>
      <c r="T690" s="9" t="inlineStr">
        <is>
          <t>SI</t>
        </is>
      </c>
      <c r="U690" s="9" t="inlineStr"/>
      <c r="V690" s="10">
        <f>Umbrales!$B$9*(K690/1000)^Umbrales!$B$10</f>
        <v/>
      </c>
    </row>
    <row r="691">
      <c r="A691" s="4" t="inlineStr">
        <is>
          <t>Q</t>
        </is>
      </c>
      <c r="B691" s="4" t="inlineStr">
        <is>
          <t>Qnity Electronics, Inc.</t>
        </is>
      </c>
      <c r="C691" s="4" t="inlineStr">
        <is>
          <t>United States</t>
        </is>
      </c>
      <c r="D691" s="4" t="inlineStr">
        <is>
          <t>US</t>
        </is>
      </c>
      <c r="E691" s="4" t="inlineStr">
        <is>
          <t>Tecnología</t>
        </is>
      </c>
      <c r="F691" s="4" t="inlineStr">
        <is>
          <t>Semiconductor Equipment &amp; Materials</t>
        </is>
      </c>
      <c r="G691" s="4" t="inlineStr">
        <is>
          <t>NYQ</t>
        </is>
      </c>
      <c r="H691" s="4" t="inlineStr">
        <is>
          <t>USD</t>
        </is>
      </c>
      <c r="I691" s="5" t="n">
        <v>24450.820096</v>
      </c>
      <c r="J691" s="6">
        <f>INDEX(FX!$B:$B,MATCH(H691,FX!$A:$A,0))</f>
        <v/>
      </c>
      <c r="K691" s="5">
        <f>I691*J691</f>
        <v/>
      </c>
      <c r="L691" s="4">
        <f>IF(U691&lt;&gt;"",U691,IF(K691&gt;=Umbrales!$B$2,"Legendaria",IF(K691&gt;=Umbrales!$B$3,"Épica",IF(K691&gt;=Umbrales!$B$4,"Rara",IF(K691&gt;=Umbrales!$B$5,"Poco común","Común")))))</f>
        <v/>
      </c>
      <c r="M691" s="5" t="n">
        <v>5209.999872</v>
      </c>
      <c r="N691" s="5" t="n">
        <v>586</v>
      </c>
      <c r="O691" s="5">
        <f>IF(M691="","",M691*J691)</f>
        <v/>
      </c>
      <c r="P691" s="5">
        <f>IF(N691="","",N691*J691)</f>
        <v/>
      </c>
      <c r="Q691" s="7" t="n">
        <v>0.0026</v>
      </c>
      <c r="R691" s="8" t="n">
        <v>42.166065</v>
      </c>
      <c r="S691" s="4" t="inlineStr">
        <is>
          <t>SP500</t>
        </is>
      </c>
      <c r="T691" s="9" t="inlineStr">
        <is>
          <t>SI</t>
        </is>
      </c>
      <c r="U691" s="9" t="inlineStr"/>
      <c r="V691" s="10">
        <f>Umbrales!$B$9*(K691/1000)^Umbrales!$B$10</f>
        <v/>
      </c>
    </row>
    <row r="692">
      <c r="A692" s="4" t="inlineStr">
        <is>
          <t>POWERGRID.NS</t>
        </is>
      </c>
      <c r="B692" s="4" t="inlineStr">
        <is>
          <t>Power Grid Corporation of India Limited</t>
        </is>
      </c>
      <c r="C692" s="4" t="inlineStr">
        <is>
          <t>India</t>
        </is>
      </c>
      <c r="D692" s="4" t="inlineStr">
        <is>
          <t>IN</t>
        </is>
      </c>
      <c r="E692" s="4" t="inlineStr">
        <is>
          <t>Servicios públicos</t>
        </is>
      </c>
      <c r="F692" s="4" t="inlineStr">
        <is>
          <t>Utilities - Regulated Electric</t>
        </is>
      </c>
      <c r="G692" s="4" t="inlineStr">
        <is>
          <t>NSI</t>
        </is>
      </c>
      <c r="H692" s="4" t="inlineStr">
        <is>
          <t>INR</t>
        </is>
      </c>
      <c r="I692" s="5" t="n">
        <v>2323755.8272</v>
      </c>
      <c r="J692" s="6">
        <f>INDEX(FX!$B:$B,MATCH(H692,FX!$A:$A,0))</f>
        <v/>
      </c>
      <c r="K692" s="5">
        <f>I692*J692</f>
        <v/>
      </c>
      <c r="L692" s="4">
        <f>IF(U692&lt;&gt;"",U692,IF(K692&gt;=Umbrales!$B$2,"Legendaria",IF(K692&gt;=Umbrales!$B$3,"Épica",IF(K692&gt;=Umbrales!$B$4,"Rara",IF(K692&gt;=Umbrales!$B$5,"Poco común","Común")))))</f>
        <v/>
      </c>
      <c r="M692" s="5" t="n">
        <v>470333.68576</v>
      </c>
      <c r="N692" s="5" t="n">
        <v>158957.89568</v>
      </c>
      <c r="O692" s="5">
        <f>IF(M692="","",M692*J692)</f>
        <v/>
      </c>
      <c r="P692" s="5">
        <f>IF(N692="","",N692*J692)</f>
        <v/>
      </c>
      <c r="Q692" s="7" t="n">
        <v>0.0362</v>
      </c>
      <c r="R692" s="8" t="n">
        <v>14.611111</v>
      </c>
      <c r="S692" s="4" t="inlineStr">
        <is>
          <t>NIFTY50</t>
        </is>
      </c>
      <c r="T692" s="9" t="inlineStr">
        <is>
          <t>SI</t>
        </is>
      </c>
      <c r="U692" s="9" t="inlineStr"/>
      <c r="V692" s="10">
        <f>Umbrales!$B$9*(K692/1000)^Umbrales!$B$10</f>
        <v/>
      </c>
    </row>
    <row r="693">
      <c r="A693" s="4" t="inlineStr">
        <is>
          <t>1378.HK</t>
        </is>
      </c>
      <c r="B693" s="4" t="inlineStr">
        <is>
          <t>China Hongqiao Group Limited</t>
        </is>
      </c>
      <c r="C693" s="4" t="inlineStr">
        <is>
          <t>China</t>
        </is>
      </c>
      <c r="D693" s="4" t="inlineStr">
        <is>
          <t>CN</t>
        </is>
      </c>
      <c r="E693" s="4" t="inlineStr">
        <is>
          <t>Materiales</t>
        </is>
      </c>
      <c r="F693" s="4" t="inlineStr">
        <is>
          <t>Aluminum</t>
        </is>
      </c>
      <c r="G693" s="4" t="inlineStr">
        <is>
          <t>HKG</t>
        </is>
      </c>
      <c r="H693" s="4" t="inlineStr">
        <is>
          <t>HKD</t>
        </is>
      </c>
      <c r="I693" s="5" t="n">
        <v>191576.457216</v>
      </c>
      <c r="J693" s="6">
        <f>INDEX(FX!$B:$B,MATCH(H693,FX!$A:$A,0))</f>
        <v/>
      </c>
      <c r="K693" s="5">
        <f>I693*J693</f>
        <v/>
      </c>
      <c r="L693" s="4">
        <f>IF(U693&lt;&gt;"",U693,IF(K693&gt;=Umbrales!$B$2,"Legendaria",IF(K693&gt;=Umbrales!$B$3,"Épica",IF(K693&gt;=Umbrales!$B$4,"Rara",IF(K693&gt;=Umbrales!$B$5,"Poco común","Común")))))</f>
        <v/>
      </c>
      <c r="M693" s="5" t="n">
        <v>168820.523008</v>
      </c>
      <c r="N693" s="5" t="n">
        <v>27485.366272</v>
      </c>
      <c r="O693" s="5">
        <f>IF(M693="","",M693*J693)</f>
        <v/>
      </c>
      <c r="P693" s="5">
        <f>IF(N693="","",N693*J693)</f>
        <v/>
      </c>
      <c r="Q693" s="7" t="n">
        <v>0.0789</v>
      </c>
      <c r="R693" s="8" t="n">
        <v>6.54698</v>
      </c>
      <c r="S693" s="4" t="inlineStr">
        <is>
          <t>HANGSENG</t>
        </is>
      </c>
      <c r="T693" s="9" t="inlineStr">
        <is>
          <t>SI</t>
        </is>
      </c>
      <c r="U693" s="9" t="inlineStr"/>
      <c r="V693" s="10">
        <f>Umbrales!$B$9*(K693/1000)^Umbrales!$B$10</f>
        <v/>
      </c>
    </row>
    <row r="694">
      <c r="A694" s="4" t="inlineStr">
        <is>
          <t>HUBB</t>
        </is>
      </c>
      <c r="B694" s="4" t="inlineStr">
        <is>
          <t>Hubbell Incorporated</t>
        </is>
      </c>
      <c r="C694" s="4" t="inlineStr">
        <is>
          <t>United States</t>
        </is>
      </c>
      <c r="D694" s="4" t="inlineStr">
        <is>
          <t>US</t>
        </is>
      </c>
      <c r="E694" s="4" t="inlineStr">
        <is>
          <t>Industria</t>
        </is>
      </c>
      <c r="F694" s="4" t="inlineStr">
        <is>
          <t>Electrical Equipment &amp; Parts</t>
        </is>
      </c>
      <c r="G694" s="4" t="inlineStr">
        <is>
          <t>NYQ</t>
        </is>
      </c>
      <c r="H694" s="4" t="inlineStr">
        <is>
          <t>USD</t>
        </is>
      </c>
      <c r="I694" s="5" t="n">
        <v>24367.98464</v>
      </c>
      <c r="J694" s="6">
        <f>INDEX(FX!$B:$B,MATCH(H694,FX!$A:$A,0))</f>
        <v/>
      </c>
      <c r="K694" s="5">
        <f>I694*J694</f>
        <v/>
      </c>
      <c r="L694" s="4">
        <f>IF(U694&lt;&gt;"",U694,IF(K694&gt;=Umbrales!$B$2,"Legendaria",IF(K694&gt;=Umbrales!$B$3,"Épica",IF(K694&gt;=Umbrales!$B$4,"Rara",IF(K694&gt;=Umbrales!$B$5,"Poco común","Común")))))</f>
        <v/>
      </c>
      <c r="M694" s="5" t="n">
        <v>6223.600128</v>
      </c>
      <c r="N694" s="5" t="n">
        <v>900.6</v>
      </c>
      <c r="O694" s="5">
        <f>IF(M694="","",M694*J694)</f>
        <v/>
      </c>
      <c r="P694" s="5">
        <f>IF(N694="","",N694*J694)</f>
        <v/>
      </c>
      <c r="Q694" s="7" t="n">
        <v>0.0119</v>
      </c>
      <c r="R694" s="8" t="n">
        <v>27.564257</v>
      </c>
      <c r="S694" s="4" t="inlineStr">
        <is>
          <t>SP500</t>
        </is>
      </c>
      <c r="T694" s="9" t="inlineStr">
        <is>
          <t>SI</t>
        </is>
      </c>
      <c r="U694" s="9" t="inlineStr"/>
      <c r="V694" s="10">
        <f>Umbrales!$B$9*(K694/1000)^Umbrales!$B$10</f>
        <v/>
      </c>
    </row>
    <row r="695">
      <c r="A695" s="4" t="inlineStr">
        <is>
          <t>XYL</t>
        </is>
      </c>
      <c r="B695" s="4" t="inlineStr">
        <is>
          <t>Xylem Inc.</t>
        </is>
      </c>
      <c r="C695" s="4" t="inlineStr">
        <is>
          <t>United States</t>
        </is>
      </c>
      <c r="D695" s="4" t="inlineStr">
        <is>
          <t>US</t>
        </is>
      </c>
      <c r="E695" s="4" t="inlineStr">
        <is>
          <t>Industria</t>
        </is>
      </c>
      <c r="F695" s="4" t="inlineStr">
        <is>
          <t>Specialty Industrial Machinery</t>
        </is>
      </c>
      <c r="G695" s="4" t="inlineStr">
        <is>
          <t>NYQ</t>
        </is>
      </c>
      <c r="H695" s="4" t="inlineStr">
        <is>
          <t>USD</t>
        </is>
      </c>
      <c r="I695" s="5" t="n">
        <v>24344.502272</v>
      </c>
      <c r="J695" s="6">
        <f>INDEX(FX!$B:$B,MATCH(H695,FX!$A:$A,0))</f>
        <v/>
      </c>
      <c r="K695" s="5">
        <f>I695*J695</f>
        <v/>
      </c>
      <c r="L695" s="4">
        <f>IF(U695&lt;&gt;"",U695,IF(K695&gt;=Umbrales!$B$2,"Legendaria",IF(K695&gt;=Umbrales!$B$3,"Épica",IF(K695&gt;=Umbrales!$B$4,"Rara",IF(K695&gt;=Umbrales!$B$5,"Poco común","Común")))))</f>
        <v/>
      </c>
      <c r="M695" s="5" t="n">
        <v>9125.999615999999</v>
      </c>
      <c r="N695" s="5" t="n">
        <v>1018</v>
      </c>
      <c r="O695" s="5">
        <f>IF(M695="","",M695*J695)</f>
        <v/>
      </c>
      <c r="P695" s="5">
        <f>IF(N695="","",N695*J695)</f>
        <v/>
      </c>
      <c r="Q695" s="7" t="n">
        <v>0.0168</v>
      </c>
      <c r="R695" s="8" t="n">
        <v>24.766033</v>
      </c>
      <c r="S695" s="4" t="inlineStr">
        <is>
          <t>SP500</t>
        </is>
      </c>
      <c r="T695" s="9" t="inlineStr">
        <is>
          <t>SI</t>
        </is>
      </c>
      <c r="U695" s="9" t="inlineStr"/>
      <c r="V695" s="10">
        <f>Umbrales!$B$9*(K695/1000)^Umbrales!$B$10</f>
        <v/>
      </c>
    </row>
    <row r="696">
      <c r="A696" s="4" t="inlineStr">
        <is>
          <t>CPRT</t>
        </is>
      </c>
      <c r="B696" s="4" t="inlineStr">
        <is>
          <t>Copart, Inc.</t>
        </is>
      </c>
      <c r="C696" s="4" t="inlineStr">
        <is>
          <t>United States</t>
        </is>
      </c>
      <c r="D696" s="4" t="inlineStr">
        <is>
          <t>US</t>
        </is>
      </c>
      <c r="E696" s="4" t="inlineStr">
        <is>
          <t>Industria</t>
        </is>
      </c>
      <c r="F696" s="4" t="inlineStr">
        <is>
          <t>Specialty Business Services</t>
        </is>
      </c>
      <c r="G696" s="4" t="inlineStr">
        <is>
          <t>NMS</t>
        </is>
      </c>
      <c r="H696" s="4" t="inlineStr">
        <is>
          <t>USD</t>
        </is>
      </c>
      <c r="I696" s="5" t="n">
        <v>24334.700544</v>
      </c>
      <c r="J696" s="6">
        <f>INDEX(FX!$B:$B,MATCH(H696,FX!$A:$A,0))</f>
        <v/>
      </c>
      <c r="K696" s="5">
        <f>I696*J696</f>
        <v/>
      </c>
      <c r="L696" s="4">
        <f>IF(U696&lt;&gt;"",U696,IF(K696&gt;=Umbrales!$B$2,"Legendaria",IF(K696&gt;=Umbrales!$B$3,"Épica",IF(K696&gt;=Umbrales!$B$4,"Rara",IF(K696&gt;=Umbrales!$B$5,"Poco común","Común")))))</f>
        <v/>
      </c>
      <c r="M696" s="5" t="n">
        <v>4666.208768</v>
      </c>
      <c r="N696" s="5" t="n">
        <v>1484.269952</v>
      </c>
      <c r="O696" s="5">
        <f>IF(M696="","",M696*J696)</f>
        <v/>
      </c>
      <c r="P696" s="5">
        <f>IF(N696="","",N696*J696)</f>
        <v/>
      </c>
      <c r="Q696" s="7" t="n">
        <v>0</v>
      </c>
      <c r="R696" s="8" t="n">
        <v>17.058443</v>
      </c>
      <c r="S696" s="4" t="inlineStr">
        <is>
          <t>NASDAQ100, SP500</t>
        </is>
      </c>
      <c r="T696" s="9" t="inlineStr">
        <is>
          <t>SI</t>
        </is>
      </c>
      <c r="U696" s="9" t="inlineStr"/>
      <c r="V696" s="10">
        <f>Umbrales!$B$9*(K696/1000)^Umbrales!$B$10</f>
        <v/>
      </c>
    </row>
    <row r="697">
      <c r="A697" s="4" t="inlineStr">
        <is>
          <t>3692.HK</t>
        </is>
      </c>
      <c r="B697" s="4" t="inlineStr">
        <is>
          <t>Hansoh Pharmaceutical Group Company Limited</t>
        </is>
      </c>
      <c r="C697" s="4" t="inlineStr">
        <is>
          <t>China</t>
        </is>
      </c>
      <c r="D697" s="4" t="inlineStr">
        <is>
          <t>CN</t>
        </is>
      </c>
      <c r="E697" s="4" t="inlineStr">
        <is>
          <t>Salud</t>
        </is>
      </c>
      <c r="F697" s="4" t="inlineStr">
        <is>
          <t>Drug Manufacturers - Specialty &amp; Generic</t>
        </is>
      </c>
      <c r="G697" s="4" t="inlineStr">
        <is>
          <t>HKG</t>
        </is>
      </c>
      <c r="H697" s="4" t="inlineStr">
        <is>
          <t>HKD</t>
        </is>
      </c>
      <c r="I697" s="5" t="n">
        <v>190248.435712</v>
      </c>
      <c r="J697" s="6">
        <f>INDEX(FX!$B:$B,MATCH(H697,FX!$A:$A,0))</f>
        <v/>
      </c>
      <c r="K697" s="5">
        <f>I697*J697</f>
        <v/>
      </c>
      <c r="L697" s="4">
        <f>IF(U697&lt;&gt;"",U697,IF(K697&gt;=Umbrales!$B$2,"Legendaria",IF(K697&gt;=Umbrales!$B$3,"Épica",IF(K697&gt;=Umbrales!$B$4,"Rara",IF(K697&gt;=Umbrales!$B$5,"Poco común","Común")))))</f>
        <v/>
      </c>
      <c r="M697" s="5" t="n">
        <v>15898.77248</v>
      </c>
      <c r="N697" s="5" t="n">
        <v>6678.473216</v>
      </c>
      <c r="O697" s="5">
        <f>IF(M697="","",M697*J697)</f>
        <v/>
      </c>
      <c r="P697" s="5">
        <f>IF(N697="","",N697*J697)</f>
        <v/>
      </c>
      <c r="Q697" s="7" t="n">
        <v>0.0159</v>
      </c>
      <c r="R697" s="8" t="n">
        <v>25.512194</v>
      </c>
      <c r="S697" s="4" t="inlineStr">
        <is>
          <t>HANGSENG</t>
        </is>
      </c>
      <c r="T697" s="9" t="inlineStr">
        <is>
          <t>SI</t>
        </is>
      </c>
      <c r="U697" s="9" t="inlineStr"/>
      <c r="V697" s="10">
        <f>Umbrales!$B$9*(K697/1000)^Umbrales!$B$10</f>
        <v/>
      </c>
    </row>
    <row r="698">
      <c r="A698" s="4" t="inlineStr">
        <is>
          <t>DRI</t>
        </is>
      </c>
      <c r="B698" s="4" t="inlineStr">
        <is>
          <t>Darden Restaurants, Inc.</t>
        </is>
      </c>
      <c r="C698" s="4" t="inlineStr">
        <is>
          <t>United States</t>
        </is>
      </c>
      <c r="D698" s="4" t="inlineStr">
        <is>
          <t>US</t>
        </is>
      </c>
      <c r="E698" s="4" t="inlineStr">
        <is>
          <t>Consumo cíclico</t>
        </is>
      </c>
      <c r="F698" s="4" t="inlineStr">
        <is>
          <t>Restaurants</t>
        </is>
      </c>
      <c r="G698" s="4" t="inlineStr">
        <is>
          <t>NYQ</t>
        </is>
      </c>
      <c r="H698" s="4" t="inlineStr">
        <is>
          <t>USD</t>
        </is>
      </c>
      <c r="I698" s="5" t="n">
        <v>24068.39296</v>
      </c>
      <c r="J698" s="6">
        <f>INDEX(FX!$B:$B,MATCH(H698,FX!$A:$A,0))</f>
        <v/>
      </c>
      <c r="K698" s="5">
        <f>I698*J698</f>
        <v/>
      </c>
      <c r="L698" s="4">
        <f>IF(U698&lt;&gt;"",U698,IF(K698&gt;=Umbrales!$B$2,"Legendaria",IF(K698&gt;=Umbrales!$B$3,"Épica",IF(K698&gt;=Umbrales!$B$4,"Rara",IF(K698&gt;=Umbrales!$B$5,"Poco común","Común")))))</f>
        <v/>
      </c>
      <c r="M698" s="5" t="n">
        <v>13366.500352</v>
      </c>
      <c r="N698" s="5" t="n">
        <v>1190.099968</v>
      </c>
      <c r="O698" s="5">
        <f>IF(M698="","",M698*J698)</f>
        <v/>
      </c>
      <c r="P698" s="5">
        <f>IF(N698="","",N698*J698)</f>
        <v/>
      </c>
      <c r="Q698" s="7" t="n">
        <v>0.0315</v>
      </c>
      <c r="R698" s="8" t="n">
        <v>20.652912</v>
      </c>
      <c r="S698" s="4" t="inlineStr">
        <is>
          <t>SP500</t>
        </is>
      </c>
      <c r="T698" s="9" t="inlineStr">
        <is>
          <t>SI</t>
        </is>
      </c>
      <c r="U698" s="9" t="inlineStr"/>
      <c r="V698" s="10">
        <f>Umbrales!$B$9*(K698/1000)^Umbrales!$B$10</f>
        <v/>
      </c>
    </row>
    <row r="699">
      <c r="A699" s="4" t="inlineStr">
        <is>
          <t>IHG.L</t>
        </is>
      </c>
      <c r="B699" s="4" t="inlineStr">
        <is>
          <t>InterContinental Hotels Group PLC</t>
        </is>
      </c>
      <c r="C699" s="4" t="inlineStr">
        <is>
          <t>United Kingdom</t>
        </is>
      </c>
      <c r="D699" s="4" t="inlineStr">
        <is>
          <t>GB</t>
        </is>
      </c>
      <c r="E699" s="4" t="inlineStr">
        <is>
          <t>Consumo cíclico</t>
        </is>
      </c>
      <c r="F699" s="4" t="inlineStr">
        <is>
          <t>Lodging</t>
        </is>
      </c>
      <c r="G699" s="4" t="inlineStr">
        <is>
          <t>LSE</t>
        </is>
      </c>
      <c r="H699" s="4" t="inlineStr">
        <is>
          <t>USD</t>
        </is>
      </c>
      <c r="I699" s="5" t="n">
        <v>24026.312704</v>
      </c>
      <c r="J699" s="6">
        <f>INDEX(FX!$B:$B,MATCH(H699,FX!$A:$A,0))</f>
        <v/>
      </c>
      <c r="K699" s="5">
        <f>I699*J699</f>
        <v/>
      </c>
      <c r="L699" s="4">
        <f>IF(U699&lt;&gt;"",U699,IF(K699&gt;=Umbrales!$B$2,"Legendaria",IF(K699&gt;=Umbrales!$B$3,"Épica",IF(K699&gt;=Umbrales!$B$4,"Rara",IF(K699&gt;=Umbrales!$B$5,"Poco común","Común")))))</f>
        <v/>
      </c>
      <c r="M699" s="5" t="n">
        <v>5328.999936</v>
      </c>
      <c r="N699" s="5" t="n">
        <v>714</v>
      </c>
      <c r="O699" s="5">
        <f>IF(M699="","",M699*J699)</f>
        <v/>
      </c>
      <c r="P699" s="5">
        <f>IF(N699="","",N699*J699)</f>
        <v/>
      </c>
      <c r="Q699" s="7" t="n">
        <v>0.012</v>
      </c>
      <c r="R699" s="8" t="n">
        <v>34.92569</v>
      </c>
      <c r="S699" s="4" t="inlineStr">
        <is>
          <t>FTSE100</t>
        </is>
      </c>
      <c r="T699" s="9" t="inlineStr">
        <is>
          <t>SI</t>
        </is>
      </c>
      <c r="U699" s="9" t="inlineStr"/>
      <c r="V699" s="10">
        <f>Umbrales!$B$9*(K699/1000)^Umbrales!$B$10</f>
        <v/>
      </c>
    </row>
    <row r="700">
      <c r="A700" s="4" t="inlineStr">
        <is>
          <t>NST.AX</t>
        </is>
      </c>
      <c r="B700" s="4" t="inlineStr">
        <is>
          <t>Northern Star Resources Limited</t>
        </is>
      </c>
      <c r="C700" s="4" t="inlineStr">
        <is>
          <t>Australia</t>
        </is>
      </c>
      <c r="D700" s="4" t="inlineStr">
        <is>
          <t>AU</t>
        </is>
      </c>
      <c r="E700" s="4" t="inlineStr">
        <is>
          <t>Materiales</t>
        </is>
      </c>
      <c r="F700" s="4" t="inlineStr">
        <is>
          <t>Gold</t>
        </is>
      </c>
      <c r="G700" s="4" t="inlineStr">
        <is>
          <t>ASX</t>
        </is>
      </c>
      <c r="H700" s="4" t="inlineStr">
        <is>
          <t>AUD</t>
        </is>
      </c>
      <c r="I700" s="5" t="n">
        <v>34651.25888</v>
      </c>
      <c r="J700" s="6">
        <f>INDEX(FX!$B:$B,MATCH(H700,FX!$A:$A,0))</f>
        <v/>
      </c>
      <c r="K700" s="5">
        <f>I700*J700</f>
        <v/>
      </c>
      <c r="L700" s="4">
        <f>IF(U700&lt;&gt;"",U700,IF(K700&gt;=Umbrales!$B$2,"Legendaria",IF(K700&gt;=Umbrales!$B$3,"Épica",IF(K700&gt;=Umbrales!$B$4,"Rara",IF(K700&gt;=Umbrales!$B$5,"Poco común","Común")))))</f>
        <v/>
      </c>
      <c r="M700" s="5" t="n">
        <v>7623.099904</v>
      </c>
      <c r="N700" s="5" t="n">
        <v>1664.300032</v>
      </c>
      <c r="O700" s="5">
        <f>IF(M700="","",M700*J700)</f>
        <v/>
      </c>
      <c r="P700" s="5">
        <f>IF(N700="","",N700*J700)</f>
        <v/>
      </c>
      <c r="Q700" s="7" t="n">
        <v>0.0221</v>
      </c>
      <c r="R700" s="8" t="n">
        <v>21.522123</v>
      </c>
      <c r="S700" s="4" t="inlineStr">
        <is>
          <t>ASX50</t>
        </is>
      </c>
      <c r="T700" s="9" t="inlineStr">
        <is>
          <t>SI</t>
        </is>
      </c>
      <c r="U700" s="9" t="inlineStr"/>
      <c r="V700" s="10">
        <f>Umbrales!$B$9*(K700/1000)^Umbrales!$B$10</f>
        <v/>
      </c>
    </row>
    <row r="701">
      <c r="A701" s="4" t="inlineStr">
        <is>
          <t>PPG</t>
        </is>
      </c>
      <c r="B701" s="4" t="inlineStr">
        <is>
          <t>PPG Industries, Inc.</t>
        </is>
      </c>
      <c r="C701" s="4" t="inlineStr">
        <is>
          <t>United States</t>
        </is>
      </c>
      <c r="D701" s="4" t="inlineStr">
        <is>
          <t>US</t>
        </is>
      </c>
      <c r="E701" s="4" t="inlineStr">
        <is>
          <t>Materiales</t>
        </is>
      </c>
      <c r="F701" s="4" t="inlineStr">
        <is>
          <t>Specialty Chemicals</t>
        </is>
      </c>
      <c r="G701" s="4" t="inlineStr">
        <is>
          <t>NYQ</t>
        </is>
      </c>
      <c r="H701" s="4" t="inlineStr">
        <is>
          <t>USD</t>
        </is>
      </c>
      <c r="I701" s="5" t="n">
        <v>23987.28192</v>
      </c>
      <c r="J701" s="6">
        <f>INDEX(FX!$B:$B,MATCH(H701,FX!$A:$A,0))</f>
        <v/>
      </c>
      <c r="K701" s="5">
        <f>I701*J701</f>
        <v/>
      </c>
      <c r="L701" s="4">
        <f>IF(U701&lt;&gt;"",U701,IF(K701&gt;=Umbrales!$B$2,"Legendaria",IF(K701&gt;=Umbrales!$B$3,"Épica",IF(K701&gt;=Umbrales!$B$4,"Rara",IF(K701&gt;=Umbrales!$B$5,"Poco común","Común")))))</f>
        <v/>
      </c>
      <c r="M701" s="5" t="n">
        <v>16421.000192</v>
      </c>
      <c r="N701" s="5" t="n">
        <v>1567.000064</v>
      </c>
      <c r="O701" s="5">
        <f>IF(M701="","",M701*J701)</f>
        <v/>
      </c>
      <c r="P701" s="5">
        <f>IF(N701="","",N701*J701)</f>
        <v/>
      </c>
      <c r="Q701" s="7" t="n">
        <v>0.0283</v>
      </c>
      <c r="R701" s="8" t="n">
        <v>15.503592</v>
      </c>
      <c r="S701" s="4" t="inlineStr">
        <is>
          <t>SP500</t>
        </is>
      </c>
      <c r="T701" s="9" t="inlineStr">
        <is>
          <t>SI</t>
        </is>
      </c>
      <c r="U701" s="9" t="inlineStr"/>
      <c r="V701" s="10">
        <f>Umbrales!$B$9*(K701/1000)^Umbrales!$B$10</f>
        <v/>
      </c>
    </row>
    <row r="702">
      <c r="A702" s="4" t="inlineStr">
        <is>
          <t>TPL</t>
        </is>
      </c>
      <c r="B702" s="4" t="inlineStr">
        <is>
          <t>Texas Pacific Land Corporation</t>
        </is>
      </c>
      <c r="C702" s="4" t="inlineStr">
        <is>
          <t>United States</t>
        </is>
      </c>
      <c r="D702" s="4" t="inlineStr">
        <is>
          <t>US</t>
        </is>
      </c>
      <c r="E702" s="4" t="inlineStr">
        <is>
          <t>Energía</t>
        </is>
      </c>
      <c r="F702" s="4" t="inlineStr">
        <is>
          <t>Oil &amp; Gas E&amp;P</t>
        </is>
      </c>
      <c r="G702" s="4" t="inlineStr">
        <is>
          <t>NYQ</t>
        </is>
      </c>
      <c r="H702" s="4" t="inlineStr">
        <is>
          <t>USD</t>
        </is>
      </c>
      <c r="I702" s="5" t="n">
        <v>23972.839424</v>
      </c>
      <c r="J702" s="6">
        <f>INDEX(FX!$B:$B,MATCH(H702,FX!$A:$A,0))</f>
        <v/>
      </c>
      <c r="K702" s="5">
        <f>I702*J702</f>
        <v/>
      </c>
      <c r="L702" s="4">
        <f>IF(U702&lt;&gt;"",U702,IF(K702&gt;=Umbrales!$B$2,"Legendaria",IF(K702&gt;=Umbrales!$B$3,"Épica",IF(K702&gt;=Umbrales!$B$4,"Rara",IF(K702&gt;=Umbrales!$B$5,"Poco común","Común")))))</f>
        <v/>
      </c>
      <c r="M702" s="5" t="n">
        <v>897.540992</v>
      </c>
      <c r="N702" s="5" t="n">
        <v>541.4160000000001</v>
      </c>
      <c r="O702" s="5">
        <f>IF(M702="","",M702*J702)</f>
        <v/>
      </c>
      <c r="P702" s="5">
        <f>IF(N702="","",N702*J702)</f>
        <v/>
      </c>
      <c r="Q702" s="7" t="n">
        <v>0.006500000000000001</v>
      </c>
      <c r="R702" s="8" t="n">
        <v>44.84645</v>
      </c>
      <c r="S702" s="4" t="inlineStr">
        <is>
          <t>SP500</t>
        </is>
      </c>
      <c r="T702" s="9" t="inlineStr">
        <is>
          <t>SI</t>
        </is>
      </c>
      <c r="U702" s="9" t="inlineStr"/>
      <c r="V702" s="10">
        <f>Umbrales!$B$9*(K702/1000)^Umbrales!$B$10</f>
        <v/>
      </c>
    </row>
    <row r="703">
      <c r="A703" s="4" t="inlineStr">
        <is>
          <t>IAG.L</t>
        </is>
      </c>
      <c r="B703" s="4" t="inlineStr">
        <is>
          <t>International Consolidated Airlines Group S.A.</t>
        </is>
      </c>
      <c r="C703" s="4" t="inlineStr">
        <is>
          <t>United Kingdom</t>
        </is>
      </c>
      <c r="D703" s="4" t="inlineStr">
        <is>
          <t>GB</t>
        </is>
      </c>
      <c r="E703" s="4" t="inlineStr">
        <is>
          <t>Industria</t>
        </is>
      </c>
      <c r="F703" s="4" t="inlineStr">
        <is>
          <t>Airlines</t>
        </is>
      </c>
      <c r="G703" s="4" t="inlineStr">
        <is>
          <t>LSE</t>
        </is>
      </c>
      <c r="H703" s="4" t="inlineStr">
        <is>
          <t>GBP</t>
        </is>
      </c>
      <c r="I703" s="5" t="n">
        <v>18080.8704</v>
      </c>
      <c r="J703" s="6">
        <f>INDEX(FX!$B:$B,MATCH(H703,FX!$A:$A,0))</f>
        <v/>
      </c>
      <c r="K703" s="5">
        <f>I703*J703</f>
        <v/>
      </c>
      <c r="L703" s="4">
        <f>IF(U703&lt;&gt;"",U703,IF(K703&gt;=Umbrales!$B$2,"Legendaria",IF(K703&gt;=Umbrales!$B$3,"Épica",IF(K703&gt;=Umbrales!$B$4,"Rara",IF(K703&gt;=Umbrales!$B$5,"Poco común","Común")))))</f>
        <v/>
      </c>
      <c r="M703" s="5" t="n">
        <v>33371.000832</v>
      </c>
      <c r="N703" s="5" t="n">
        <v>3073.999872</v>
      </c>
      <c r="O703" s="5">
        <f>IF(M703="","",M703*J703)</f>
        <v/>
      </c>
      <c r="P703" s="5">
        <f>IF(N703="","",N703*J703)</f>
        <v/>
      </c>
      <c r="Q703" s="7" t="n">
        <v>0.0206</v>
      </c>
      <c r="R703" s="8" t="n">
        <v>7.2771926</v>
      </c>
      <c r="S703" s="4" t="inlineStr">
        <is>
          <t>FTSE100</t>
        </is>
      </c>
      <c r="T703" s="9" t="inlineStr">
        <is>
          <t>SI</t>
        </is>
      </c>
      <c r="U703" s="9" t="inlineStr"/>
      <c r="V703" s="10">
        <f>Umbrales!$B$9*(K703/1000)^Umbrales!$B$10</f>
        <v/>
      </c>
    </row>
    <row r="704">
      <c r="A704" s="4" t="inlineStr">
        <is>
          <t>IAG.MC</t>
        </is>
      </c>
      <c r="B704" s="4" t="inlineStr">
        <is>
          <t>International Consolidated Airlines Group S.A.</t>
        </is>
      </c>
      <c r="C704" s="4" t="inlineStr">
        <is>
          <t>United Kingdom</t>
        </is>
      </c>
      <c r="D704" s="4" t="inlineStr">
        <is>
          <t>GB</t>
        </is>
      </c>
      <c r="E704" s="4" t="inlineStr">
        <is>
          <t>Industria</t>
        </is>
      </c>
      <c r="F704" s="4" t="inlineStr">
        <is>
          <t>Airlines</t>
        </is>
      </c>
      <c r="G704" s="4" t="inlineStr">
        <is>
          <t>MCE</t>
        </is>
      </c>
      <c r="H704" s="4" t="inlineStr">
        <is>
          <t>EUR</t>
        </is>
      </c>
      <c r="I704" s="5" t="n">
        <v>21336.997888</v>
      </c>
      <c r="J704" s="6">
        <f>INDEX(FX!$B:$B,MATCH(H704,FX!$A:$A,0))</f>
        <v/>
      </c>
      <c r="K704" s="5">
        <f>I704*J704</f>
        <v/>
      </c>
      <c r="L704" s="4">
        <f>IF(U704&lt;&gt;"",U704,IF(K704&gt;=Umbrales!$B$2,"Legendaria",IF(K704&gt;=Umbrales!$B$3,"Épica",IF(K704&gt;=Umbrales!$B$4,"Rara",IF(K704&gt;=Umbrales!$B$5,"Poco común","Común")))))</f>
        <v/>
      </c>
      <c r="M704" s="5" t="n">
        <v>33371.000832</v>
      </c>
      <c r="N704" s="5" t="n">
        <v>3073.999872</v>
      </c>
      <c r="O704" s="5">
        <f>IF(M704="","",M704*J704)</f>
        <v/>
      </c>
      <c r="P704" s="5">
        <f>IF(N704="","",N704*J704)</f>
        <v/>
      </c>
      <c r="Q704" s="7" t="n">
        <v>0.0201</v>
      </c>
      <c r="R704" s="8" t="n">
        <v>7.4166665</v>
      </c>
      <c r="S704" s="4" t="inlineStr">
        <is>
          <t>IBEX35</t>
        </is>
      </c>
      <c r="T704" s="9" t="inlineStr">
        <is>
          <t>SI</t>
        </is>
      </c>
      <c r="U704" s="9" t="inlineStr"/>
      <c r="V704" s="10">
        <f>Umbrales!$B$9*(K704/1000)^Umbrales!$B$10</f>
        <v/>
      </c>
    </row>
    <row r="705">
      <c r="A705" s="4" t="inlineStr">
        <is>
          <t>FOX</t>
        </is>
      </c>
      <c r="B705" s="4" t="inlineStr">
        <is>
          <t>Fox Corporation</t>
        </is>
      </c>
      <c r="C705" s="4" t="inlineStr">
        <is>
          <t>United States</t>
        </is>
      </c>
      <c r="D705" s="4" t="inlineStr">
        <is>
          <t>US</t>
        </is>
      </c>
      <c r="E705" s="4" t="inlineStr">
        <is>
          <t>Comunicación</t>
        </is>
      </c>
      <c r="F705" s="4" t="inlineStr">
        <is>
          <t>Entertainment</t>
        </is>
      </c>
      <c r="G705" s="4" t="inlineStr">
        <is>
          <t>NMS</t>
        </is>
      </c>
      <c r="H705" s="4" t="inlineStr">
        <is>
          <t>USD</t>
        </is>
      </c>
      <c r="I705" s="5" t="n">
        <v>23894.136832</v>
      </c>
      <c r="J705" s="6">
        <f>INDEX(FX!$B:$B,MATCH(H705,FX!$A:$A,0))</f>
        <v/>
      </c>
      <c r="K705" s="5">
        <f>I705*J705</f>
        <v/>
      </c>
      <c r="L705" s="4">
        <f>IF(U705&lt;&gt;"",U705,IF(K705&gt;=Umbrales!$B$2,"Legendaria",IF(K705&gt;=Umbrales!$B$3,"Épica",IF(K705&gt;=Umbrales!$B$4,"Rara",IF(K705&gt;=Umbrales!$B$5,"Poco común","Común")))))</f>
        <v/>
      </c>
      <c r="M705" s="5" t="n">
        <v>17125.999616</v>
      </c>
      <c r="N705" s="5" t="n">
        <v>1684.999936</v>
      </c>
      <c r="O705" s="5">
        <f>IF(M705="","",M705*J705)</f>
        <v/>
      </c>
      <c r="P705" s="5">
        <f>IF(N705="","",N705*J705)</f>
        <v/>
      </c>
      <c r="Q705" s="7" t="n">
        <v>0.0104</v>
      </c>
      <c r="R705" s="8" t="n">
        <v>14.83377</v>
      </c>
      <c r="S705" s="4" t="inlineStr">
        <is>
          <t>SP500</t>
        </is>
      </c>
      <c r="T705" s="9" t="inlineStr">
        <is>
          <t>SI</t>
        </is>
      </c>
      <c r="U705" s="9" t="inlineStr"/>
      <c r="V705" s="10">
        <f>Umbrales!$B$9*(K705/1000)^Umbrales!$B$10</f>
        <v/>
      </c>
    </row>
    <row r="706">
      <c r="A706" s="4" t="inlineStr">
        <is>
          <t>6690.HK</t>
        </is>
      </c>
      <c r="B706" s="4" t="inlineStr">
        <is>
          <t>Haier Smart Home Co., Ltd.</t>
        </is>
      </c>
      <c r="C706" s="4" t="inlineStr">
        <is>
          <t>China</t>
        </is>
      </c>
      <c r="D706" s="4" t="inlineStr">
        <is>
          <t>CN</t>
        </is>
      </c>
      <c r="E706" s="4" t="inlineStr">
        <is>
          <t>Consumo cíclico</t>
        </is>
      </c>
      <c r="F706" s="4" t="inlineStr">
        <is>
          <t>Furnishings, Fixtures &amp; Appliances</t>
        </is>
      </c>
      <c r="G706" s="4" t="inlineStr">
        <is>
          <t>HKG</t>
        </is>
      </c>
      <c r="H706" s="4" t="inlineStr">
        <is>
          <t>HKD</t>
        </is>
      </c>
      <c r="I706" s="5" t="n">
        <v>187364.196352</v>
      </c>
      <c r="J706" s="6">
        <f>INDEX(FX!$B:$B,MATCH(H706,FX!$A:$A,0))</f>
        <v/>
      </c>
      <c r="K706" s="5">
        <f>I706*J706</f>
        <v/>
      </c>
      <c r="L706" s="4">
        <f>IF(U706&lt;&gt;"",U706,IF(K706&gt;=Umbrales!$B$2,"Legendaria",IF(K706&gt;=Umbrales!$B$3,"Épica",IF(K706&gt;=Umbrales!$B$4,"Rara",IF(K706&gt;=Umbrales!$B$5,"Poco común","Común")))))</f>
        <v/>
      </c>
      <c r="M706" s="5" t="n">
        <v>297967.812608</v>
      </c>
      <c r="N706" s="5" t="n">
        <v>17836.056576</v>
      </c>
      <c r="O706" s="5">
        <f>IF(M706="","",M706*J706)</f>
        <v/>
      </c>
      <c r="P706" s="5">
        <f>IF(N706="","",N706*J706)</f>
        <v/>
      </c>
      <c r="Q706" s="7" t="n">
        <v>0.065</v>
      </c>
      <c r="R706" s="8" t="n">
        <v>9.367440999999999</v>
      </c>
      <c r="S706" s="4" t="inlineStr">
        <is>
          <t>HANGSENG</t>
        </is>
      </c>
      <c r="T706" s="9" t="inlineStr">
        <is>
          <t>SI</t>
        </is>
      </c>
      <c r="U706" s="9" t="inlineStr"/>
      <c r="V706" s="10">
        <f>Umbrales!$B$9*(K706/1000)^Umbrales!$B$10</f>
        <v/>
      </c>
    </row>
    <row r="707">
      <c r="A707" s="4" t="inlineStr">
        <is>
          <t>ALFA.ST</t>
        </is>
      </c>
      <c r="B707" s="4" t="inlineStr">
        <is>
          <t>Alfa Laval AB (publ)</t>
        </is>
      </c>
      <c r="C707" s="4" t="inlineStr">
        <is>
          <t>Sweden</t>
        </is>
      </c>
      <c r="D707" s="4" t="inlineStr">
        <is>
          <t>SE</t>
        </is>
      </c>
      <c r="E707" s="4" t="inlineStr">
        <is>
          <t>Industria</t>
        </is>
      </c>
      <c r="F707" s="4" t="inlineStr">
        <is>
          <t>Specialty Industrial Machinery</t>
        </is>
      </c>
      <c r="G707" s="4" t="inlineStr">
        <is>
          <t>STO</t>
        </is>
      </c>
      <c r="H707" s="4" t="inlineStr">
        <is>
          <t>SEK</t>
        </is>
      </c>
      <c r="I707" s="5" t="n">
        <v>236505.317376</v>
      </c>
      <c r="J707" s="6">
        <f>INDEX(FX!$B:$B,MATCH(H707,FX!$A:$A,0))</f>
        <v/>
      </c>
      <c r="K707" s="5">
        <f>I707*J707</f>
        <v/>
      </c>
      <c r="L707" s="4">
        <f>IF(U707&lt;&gt;"",U707,IF(K707&gt;=Umbrales!$B$2,"Legendaria",IF(K707&gt;=Umbrales!$B$3,"Épica",IF(K707&gt;=Umbrales!$B$4,"Rara",IF(K707&gt;=Umbrales!$B$5,"Poco común","Común")))))</f>
        <v/>
      </c>
      <c r="M707" s="5" t="n">
        <v>70426.001408</v>
      </c>
      <c r="N707" s="5" t="n">
        <v>8193.999872</v>
      </c>
      <c r="O707" s="5">
        <f>IF(M707="","",M707*J707)</f>
        <v/>
      </c>
      <c r="P707" s="5">
        <f>IF(N707="","",N707*J707)</f>
        <v/>
      </c>
      <c r="Q707" s="7" t="n">
        <v>0.0153</v>
      </c>
      <c r="R707" s="8" t="n">
        <v>28.972153</v>
      </c>
      <c r="S707" s="4" t="inlineStr">
        <is>
          <t>OMXS30</t>
        </is>
      </c>
      <c r="T707" s="9" t="inlineStr">
        <is>
          <t>SI</t>
        </is>
      </c>
      <c r="U707" s="9" t="inlineStr"/>
      <c r="V707" s="10">
        <f>Umbrales!$B$9*(K707/1000)^Umbrales!$B$10</f>
        <v/>
      </c>
    </row>
    <row r="708">
      <c r="A708" s="4" t="inlineStr">
        <is>
          <t>ASIANPAINT.NS</t>
        </is>
      </c>
      <c r="B708" s="4" t="inlineStr">
        <is>
          <t>Asian Paints Limited</t>
        </is>
      </c>
      <c r="C708" s="4" t="inlineStr">
        <is>
          <t>India</t>
        </is>
      </c>
      <c r="D708" s="4" t="inlineStr">
        <is>
          <t>IN</t>
        </is>
      </c>
      <c r="E708" s="4" t="inlineStr">
        <is>
          <t>Materiales</t>
        </is>
      </c>
      <c r="F708" s="4" t="inlineStr">
        <is>
          <t>Specialty Chemicals</t>
        </is>
      </c>
      <c r="G708" s="4" t="inlineStr">
        <is>
          <t>NSI</t>
        </is>
      </c>
      <c r="H708" s="4" t="inlineStr">
        <is>
          <t>INR</t>
        </is>
      </c>
      <c r="I708" s="5" t="n">
        <v>2252814.155776</v>
      </c>
      <c r="J708" s="6">
        <f>INDEX(FX!$B:$B,MATCH(H708,FX!$A:$A,0))</f>
        <v/>
      </c>
      <c r="K708" s="5">
        <f>I708*J708</f>
        <v/>
      </c>
      <c r="L708" s="4">
        <f>IF(U708&lt;&gt;"",U708,IF(K708&gt;=Umbrales!$B$2,"Legendaria",IF(K708&gt;=Umbrales!$B$3,"Épica",IF(K708&gt;=Umbrales!$B$4,"Rara",IF(K708&gt;=Umbrales!$B$5,"Poco común","Común")))))</f>
        <v/>
      </c>
      <c r="M708" s="5" t="n">
        <v>371869.2864</v>
      </c>
      <c r="N708" s="5" t="n">
        <v>47648.301056</v>
      </c>
      <c r="O708" s="5">
        <f>IF(M708="","",M708*J708)</f>
        <v/>
      </c>
      <c r="P708" s="5">
        <f>IF(N708="","",N708*J708)</f>
        <v/>
      </c>
      <c r="Q708" s="7" t="n">
        <v>0.0117</v>
      </c>
      <c r="R708" s="8" t="n">
        <v>47.30274</v>
      </c>
      <c r="S708" s="4" t="inlineStr">
        <is>
          <t>NIFTY50</t>
        </is>
      </c>
      <c r="T708" s="9" t="inlineStr">
        <is>
          <t>SI</t>
        </is>
      </c>
      <c r="U708" s="9" t="inlineStr"/>
      <c r="V708" s="10">
        <f>Umbrales!$B$9*(K708/1000)^Umbrales!$B$10</f>
        <v/>
      </c>
    </row>
    <row r="709">
      <c r="A709" s="4" t="inlineStr">
        <is>
          <t>VRSK</t>
        </is>
      </c>
      <c r="B709" s="4" t="inlineStr">
        <is>
          <t>Verisk Analytics, Inc.</t>
        </is>
      </c>
      <c r="C709" s="4" t="inlineStr">
        <is>
          <t>United States</t>
        </is>
      </c>
      <c r="D709" s="4" t="inlineStr">
        <is>
          <t>US</t>
        </is>
      </c>
      <c r="E709" s="4" t="inlineStr">
        <is>
          <t>Industria</t>
        </is>
      </c>
      <c r="F709" s="4" t="inlineStr">
        <is>
          <t>Consulting Services</t>
        </is>
      </c>
      <c r="G709" s="4" t="inlineStr">
        <is>
          <t>NMS</t>
        </is>
      </c>
      <c r="H709" s="4" t="inlineStr">
        <is>
          <t>USD</t>
        </is>
      </c>
      <c r="I709" s="5" t="n">
        <v>23659.923456</v>
      </c>
      <c r="J709" s="6">
        <f>INDEX(FX!$B:$B,MATCH(H709,FX!$A:$A,0))</f>
        <v/>
      </c>
      <c r="K709" s="5">
        <f>I709*J709</f>
        <v/>
      </c>
      <c r="L709" s="4">
        <f>IF(U709&lt;&gt;"",U709,IF(K709&gt;=Umbrales!$B$2,"Legendaria",IF(K709&gt;=Umbrales!$B$3,"Épica",IF(K709&gt;=Umbrales!$B$4,"Rara",IF(K709&gt;=Umbrales!$B$5,"Poco común","Común")))))</f>
        <v/>
      </c>
      <c r="M709" s="5" t="n">
        <v>3136</v>
      </c>
      <c r="N709" s="5" t="n">
        <v>885.500032</v>
      </c>
      <c r="O709" s="5">
        <f>IF(M709="","",M709*J709)</f>
        <v/>
      </c>
      <c r="P709" s="5">
        <f>IF(N709="","",N709*J709)</f>
        <v/>
      </c>
      <c r="Q709" s="7" t="n">
        <v>0.0113</v>
      </c>
      <c r="R709" s="8" t="n">
        <v>27.154886</v>
      </c>
      <c r="S709" s="4" t="inlineStr">
        <is>
          <t>NASDAQ100, SP500</t>
        </is>
      </c>
      <c r="T709" s="9" t="inlineStr">
        <is>
          <t>SI</t>
        </is>
      </c>
      <c r="U709" s="9" t="inlineStr"/>
      <c r="V709" s="10">
        <f>Umbrales!$B$9*(K709/1000)^Umbrales!$B$10</f>
        <v/>
      </c>
    </row>
    <row r="710">
      <c r="A710" s="4" t="inlineStr">
        <is>
          <t>BAMI.MI</t>
        </is>
      </c>
      <c r="B710" s="4" t="inlineStr">
        <is>
          <t>Banco BPM S.p.A.</t>
        </is>
      </c>
      <c r="C710" s="4" t="inlineStr">
        <is>
          <t>Italy</t>
        </is>
      </c>
      <c r="D710" s="4" t="inlineStr">
        <is>
          <t>IT</t>
        </is>
      </c>
      <c r="E710" s="4" t="inlineStr">
        <is>
          <t>Finanzas</t>
        </is>
      </c>
      <c r="F710" s="4" t="inlineStr">
        <is>
          <t>Banks - Regional</t>
        </is>
      </c>
      <c r="G710" s="4" t="inlineStr">
        <is>
          <t>MIL</t>
        </is>
      </c>
      <c r="H710" s="4" t="inlineStr">
        <is>
          <t>EUR</t>
        </is>
      </c>
      <c r="I710" s="5" t="n">
        <v>21098.237952</v>
      </c>
      <c r="J710" s="6">
        <f>INDEX(FX!$B:$B,MATCH(H710,FX!$A:$A,0))</f>
        <v/>
      </c>
      <c r="K710" s="5">
        <f>I710*J710</f>
        <v/>
      </c>
      <c r="L710" s="4">
        <f>IF(U710&lt;&gt;"",U710,IF(K710&gt;=Umbrales!$B$2,"Legendaria",IF(K710&gt;=Umbrales!$B$3,"Épica",IF(K710&gt;=Umbrales!$B$4,"Rara",IF(K710&gt;=Umbrales!$B$5,"Poco común","Común")))))</f>
        <v/>
      </c>
      <c r="M710" s="5" t="n">
        <v>5333.326848</v>
      </c>
      <c r="N710" s="5" t="n">
        <v>1927.814016</v>
      </c>
      <c r="O710" s="5">
        <f>IF(M710="","",M710*J710)</f>
        <v/>
      </c>
      <c r="P710" s="5">
        <f>IF(N710="","",N710*J710)</f>
        <v/>
      </c>
      <c r="Q710" s="7" t="n">
        <v>0.0683</v>
      </c>
      <c r="R710" s="8" t="n">
        <v>11.212</v>
      </c>
      <c r="S710" s="4" t="inlineStr">
        <is>
          <t>FTSEMIB</t>
        </is>
      </c>
      <c r="T710" s="9" t="inlineStr">
        <is>
          <t>SI</t>
        </is>
      </c>
      <c r="U710" s="9" t="inlineStr"/>
      <c r="V710" s="10">
        <f>Umbrales!$B$9*(K710/1000)^Umbrales!$B$10</f>
        <v/>
      </c>
    </row>
    <row r="711">
      <c r="A711" s="4" t="inlineStr">
        <is>
          <t>TPR</t>
        </is>
      </c>
      <c r="B711" s="4" t="inlineStr">
        <is>
          <t>Tapestry, Inc.</t>
        </is>
      </c>
      <c r="C711" s="4" t="inlineStr">
        <is>
          <t>United States</t>
        </is>
      </c>
      <c r="D711" s="4" t="inlineStr">
        <is>
          <t>US</t>
        </is>
      </c>
      <c r="E711" s="4" t="inlineStr">
        <is>
          <t>Consumo cíclico</t>
        </is>
      </c>
      <c r="F711" s="4" t="inlineStr">
        <is>
          <t>Luxury Goods</t>
        </is>
      </c>
      <c r="G711" s="4" t="inlineStr">
        <is>
          <t>NYQ</t>
        </is>
      </c>
      <c r="H711" s="4" t="inlineStr">
        <is>
          <t>USD</t>
        </is>
      </c>
      <c r="I711" s="5" t="n">
        <v>23652.501504</v>
      </c>
      <c r="J711" s="6">
        <f>INDEX(FX!$B:$B,MATCH(H711,FX!$A:$A,0))</f>
        <v/>
      </c>
      <c r="K711" s="5">
        <f>I711*J711</f>
        <v/>
      </c>
      <c r="L711" s="4">
        <f>IF(U711&lt;&gt;"",U711,IF(K711&gt;=Umbrales!$B$2,"Legendaria",IF(K711&gt;=Umbrales!$B$3,"Épica",IF(K711&gt;=Umbrales!$B$4,"Rara",IF(K711&gt;=Umbrales!$B$5,"Poco común","Común")))))</f>
        <v/>
      </c>
      <c r="M711" s="5" t="n">
        <v>8004.199936</v>
      </c>
      <c r="N711" s="5" t="n">
        <v>1527.699968</v>
      </c>
      <c r="O711" s="5">
        <f>IF(M711="","",M711*J711)</f>
        <v/>
      </c>
      <c r="P711" s="5">
        <f>IF(N711="","",N711*J711)</f>
        <v/>
      </c>
      <c r="Q711" s="7" t="n">
        <v>0.0161</v>
      </c>
      <c r="R711" s="8" t="n">
        <v>16.418043</v>
      </c>
      <c r="S711" s="4" t="inlineStr">
        <is>
          <t>SP500</t>
        </is>
      </c>
      <c r="T711" s="9" t="inlineStr">
        <is>
          <t>SI</t>
        </is>
      </c>
      <c r="U711" s="9" t="inlineStr"/>
      <c r="V711" s="10">
        <f>Umbrales!$B$9*(K711/1000)^Umbrales!$B$10</f>
        <v/>
      </c>
    </row>
    <row r="712">
      <c r="A712" s="4" t="inlineStr">
        <is>
          <t>SYF</t>
        </is>
      </c>
      <c r="B712" s="4" t="inlineStr">
        <is>
          <t>Synchrony Financial</t>
        </is>
      </c>
      <c r="C712" s="4" t="inlineStr">
        <is>
          <t>United States</t>
        </is>
      </c>
      <c r="D712" s="4" t="inlineStr">
        <is>
          <t>US</t>
        </is>
      </c>
      <c r="E712" s="4" t="inlineStr">
        <is>
          <t>Finanzas</t>
        </is>
      </c>
      <c r="F712" s="4" t="inlineStr">
        <is>
          <t>Credit Services</t>
        </is>
      </c>
      <c r="G712" s="4" t="inlineStr">
        <is>
          <t>NYQ</t>
        </is>
      </c>
      <c r="H712" s="4" t="inlineStr">
        <is>
          <t>USD</t>
        </is>
      </c>
      <c r="I712" s="5" t="n">
        <v>23625.177088</v>
      </c>
      <c r="J712" s="6">
        <f>INDEX(FX!$B:$B,MATCH(H712,FX!$A:$A,0))</f>
        <v/>
      </c>
      <c r="K712" s="5">
        <f>I712*J712</f>
        <v/>
      </c>
      <c r="L712" s="4">
        <f>IF(U712&lt;&gt;"",U712,IF(K712&gt;=Umbrales!$B$2,"Legendaria",IF(K712&gt;=Umbrales!$B$3,"Épica",IF(K712&gt;=Umbrales!$B$4,"Rara",IF(K712&gt;=Umbrales!$B$5,"Poco común","Común")))))</f>
        <v/>
      </c>
      <c r="M712" s="5" t="n">
        <v>9907.999744000001</v>
      </c>
      <c r="N712" s="5" t="n">
        <v>3435.000064</v>
      </c>
      <c r="O712" s="5">
        <f>IF(M712="","",M712*J712)</f>
        <v/>
      </c>
      <c r="P712" s="5">
        <f>IF(N712="","",N712*J712)</f>
        <v/>
      </c>
      <c r="Q712" s="7" t="n">
        <v>0.0185</v>
      </c>
      <c r="R712" s="8" t="n">
        <v>7.6271005</v>
      </c>
      <c r="S712" s="4" t="inlineStr">
        <is>
          <t>SP500</t>
        </is>
      </c>
      <c r="T712" s="9" t="inlineStr">
        <is>
          <t>SI</t>
        </is>
      </c>
      <c r="U712" s="9" t="inlineStr"/>
      <c r="V712" s="10">
        <f>Umbrales!$B$9*(K712/1000)^Umbrales!$B$10</f>
        <v/>
      </c>
    </row>
    <row r="713">
      <c r="A713" s="4" t="inlineStr">
        <is>
          <t>SHRIRAMFIN.NS</t>
        </is>
      </c>
      <c r="B713" s="4" t="inlineStr">
        <is>
          <t>Shriram Finance Limited</t>
        </is>
      </c>
      <c r="C713" s="4" t="inlineStr">
        <is>
          <t>India</t>
        </is>
      </c>
      <c r="D713" s="4" t="inlineStr">
        <is>
          <t>IN</t>
        </is>
      </c>
      <c r="E713" s="4" t="inlineStr">
        <is>
          <t>Finanzas</t>
        </is>
      </c>
      <c r="F713" s="4" t="inlineStr">
        <is>
          <t>Credit Services</t>
        </is>
      </c>
      <c r="G713" s="4" t="inlineStr">
        <is>
          <t>NSI</t>
        </is>
      </c>
      <c r="H713" s="4" t="inlineStr">
        <is>
          <t>INR</t>
        </is>
      </c>
      <c r="I713" s="5" t="n">
        <v>2220843.33568</v>
      </c>
      <c r="J713" s="6">
        <f>INDEX(FX!$B:$B,MATCH(H713,FX!$A:$A,0))</f>
        <v/>
      </c>
      <c r="K713" s="5">
        <f>I713*J713</f>
        <v/>
      </c>
      <c r="L713" s="4">
        <f>IF(U713&lt;&gt;"",U713,IF(K713&gt;=Umbrales!$B$2,"Legendaria",IF(K713&gt;=Umbrales!$B$3,"Épica",IF(K713&gt;=Umbrales!$B$4,"Rara",IF(K713&gt;=Umbrales!$B$5,"Poco común","Común")))))</f>
        <v/>
      </c>
      <c r="M713" s="5" t="n">
        <v>226304.098304</v>
      </c>
      <c r="N713" s="5" t="n">
        <v>113180.30336</v>
      </c>
      <c r="O713" s="5">
        <f>IF(M713="","",M713*J713)</f>
        <v/>
      </c>
      <c r="P713" s="5">
        <f>IF(N713="","",N713*J713)</f>
        <v/>
      </c>
      <c r="Q713" s="7" t="n">
        <v>0.0114</v>
      </c>
      <c r="R713" s="8" t="n">
        <v>16.666077</v>
      </c>
      <c r="S713" s="4" t="inlineStr">
        <is>
          <t>NIFTY50</t>
        </is>
      </c>
      <c r="T713" s="9" t="inlineStr">
        <is>
          <t>SI</t>
        </is>
      </c>
      <c r="U713" s="9" t="inlineStr"/>
      <c r="V713" s="10">
        <f>Umbrales!$B$9*(K713/1000)^Umbrales!$B$10</f>
        <v/>
      </c>
    </row>
    <row r="714">
      <c r="A714" s="4" t="inlineStr">
        <is>
          <t>DLTR</t>
        </is>
      </c>
      <c r="B714" s="4" t="inlineStr">
        <is>
          <t>Dollar Tree, Inc.</t>
        </is>
      </c>
      <c r="C714" s="4" t="inlineStr">
        <is>
          <t>United States</t>
        </is>
      </c>
      <c r="D714" s="4" t="inlineStr">
        <is>
          <t>US</t>
        </is>
      </c>
      <c r="E714" s="4" t="inlineStr">
        <is>
          <t>Consumo básico</t>
        </is>
      </c>
      <c r="F714" s="4" t="inlineStr">
        <is>
          <t>Discount Stores</t>
        </is>
      </c>
      <c r="G714" s="4" t="inlineStr">
        <is>
          <t>NMS</t>
        </is>
      </c>
      <c r="H714" s="4" t="inlineStr">
        <is>
          <t>USD</t>
        </is>
      </c>
      <c r="I714" s="5" t="n">
        <v>23354.343424</v>
      </c>
      <c r="J714" s="6">
        <f>INDEX(FX!$B:$B,MATCH(H714,FX!$A:$A,0))</f>
        <v/>
      </c>
      <c r="K714" s="5">
        <f>I714*J714</f>
        <v/>
      </c>
      <c r="L714" s="4">
        <f>IF(U714&lt;&gt;"",U714,IF(K714&gt;=Umbrales!$B$2,"Legendaria",IF(K714&gt;=Umbrales!$B$3,"Épica",IF(K714&gt;=Umbrales!$B$4,"Rara",IF(K714&gt;=Umbrales!$B$5,"Poco común","Común")))))</f>
        <v/>
      </c>
      <c r="M714" s="5" t="n">
        <v>20068.70016</v>
      </c>
      <c r="N714" s="5" t="n">
        <v>1618.099968</v>
      </c>
      <c r="O714" s="5">
        <f>IF(M714="","",M714*J714)</f>
        <v/>
      </c>
      <c r="P714" s="5">
        <f>IF(N714="","",N714*J714)</f>
        <v/>
      </c>
      <c r="Q714" s="7" t="n">
        <v>0</v>
      </c>
      <c r="R714" s="8" t="n">
        <v>14.473255</v>
      </c>
      <c r="S714" s="4" t="inlineStr">
        <is>
          <t>SP500</t>
        </is>
      </c>
      <c r="T714" s="9" t="inlineStr">
        <is>
          <t>SI</t>
        </is>
      </c>
      <c r="U714" s="9" t="inlineStr"/>
      <c r="V714" s="10">
        <f>Umbrales!$B$9*(K714/1000)^Umbrales!$B$10</f>
        <v/>
      </c>
    </row>
    <row r="715">
      <c r="A715" s="4" t="inlineStr">
        <is>
          <t>RF</t>
        </is>
      </c>
      <c r="B715" s="4" t="inlineStr">
        <is>
          <t>Regions Financial Corporation</t>
        </is>
      </c>
      <c r="C715" s="4" t="inlineStr">
        <is>
          <t>United States</t>
        </is>
      </c>
      <c r="D715" s="4" t="inlineStr">
        <is>
          <t>US</t>
        </is>
      </c>
      <c r="E715" s="4" t="inlineStr">
        <is>
          <t>Finanzas</t>
        </is>
      </c>
      <c r="F715" s="4" t="inlineStr">
        <is>
          <t>Banks - Regional</t>
        </is>
      </c>
      <c r="G715" s="4" t="inlineStr">
        <is>
          <t>NYQ</t>
        </is>
      </c>
      <c r="H715" s="4" t="inlineStr">
        <is>
          <t>USD</t>
        </is>
      </c>
      <c r="I715" s="5" t="n">
        <v>23347.130368</v>
      </c>
      <c r="J715" s="6">
        <f>INDEX(FX!$B:$B,MATCH(H715,FX!$A:$A,0))</f>
        <v/>
      </c>
      <c r="K715" s="5">
        <f>I715*J715</f>
        <v/>
      </c>
      <c r="L715" s="4">
        <f>IF(U715&lt;&gt;"",U715,IF(K715&gt;=Umbrales!$B$2,"Legendaria",IF(K715&gt;=Umbrales!$B$3,"Épica",IF(K715&gt;=Umbrales!$B$4,"Rara",IF(K715&gt;=Umbrales!$B$5,"Poco común","Común")))))</f>
        <v/>
      </c>
      <c r="M715" s="5" t="n">
        <v>7238.000128</v>
      </c>
      <c r="N715" s="5" t="n">
        <v>2150.000128</v>
      </c>
      <c r="O715" s="5">
        <f>IF(M715="","",M715*J715)</f>
        <v/>
      </c>
      <c r="P715" s="5">
        <f>IF(N715="","",N715*J715)</f>
        <v/>
      </c>
      <c r="Q715" s="7" t="n">
        <v>0.0405</v>
      </c>
      <c r="R715" s="8" t="n">
        <v>11.231558</v>
      </c>
      <c r="S715" s="4" t="inlineStr">
        <is>
          <t>SP500</t>
        </is>
      </c>
      <c r="T715" s="9" t="inlineStr">
        <is>
          <t>SI</t>
        </is>
      </c>
      <c r="U715" s="9" t="inlineStr"/>
      <c r="V715" s="10">
        <f>Umbrales!$B$9*(K715/1000)^Umbrales!$B$10</f>
        <v/>
      </c>
    </row>
    <row r="716">
      <c r="A716" s="4" t="inlineStr">
        <is>
          <t>IFF</t>
        </is>
      </c>
      <c r="B716" s="4" t="inlineStr">
        <is>
          <t>International Flavors &amp; Fragrances Inc.</t>
        </is>
      </c>
      <c r="C716" s="4" t="inlineStr">
        <is>
          <t>United States</t>
        </is>
      </c>
      <c r="D716" s="4" t="inlineStr">
        <is>
          <t>US</t>
        </is>
      </c>
      <c r="E716" s="4" t="inlineStr">
        <is>
          <t>Materiales</t>
        </is>
      </c>
      <c r="F716" s="4" t="inlineStr">
        <is>
          <t>Specialty Chemicals</t>
        </is>
      </c>
      <c r="G716" s="4" t="inlineStr">
        <is>
          <t>NYQ</t>
        </is>
      </c>
      <c r="H716" s="4" t="inlineStr">
        <is>
          <t>USD</t>
        </is>
      </c>
      <c r="I716" s="5" t="n">
        <v>23199.42656</v>
      </c>
      <c r="J716" s="6">
        <f>INDEX(FX!$B:$B,MATCH(H716,FX!$A:$A,0))</f>
        <v/>
      </c>
      <c r="K716" s="5">
        <f>I716*J716</f>
        <v/>
      </c>
      <c r="L716" s="4">
        <f>IF(U716&lt;&gt;"",U716,IF(K716&gt;=Umbrales!$B$2,"Legendaria",IF(K716&gt;=Umbrales!$B$3,"Épica",IF(K716&gt;=Umbrales!$B$4,"Rara",IF(K716&gt;=Umbrales!$B$5,"Poco común","Común")))))</f>
        <v/>
      </c>
      <c r="M716" s="5" t="n">
        <v>10780.99968</v>
      </c>
      <c r="N716" s="5" t="n">
        <v>-791</v>
      </c>
      <c r="O716" s="5">
        <f>IF(M716="","",M716*J716)</f>
        <v/>
      </c>
      <c r="P716" s="5">
        <f>IF(N716="","",N716*J716)</f>
        <v/>
      </c>
      <c r="Q716" s="7" t="n">
        <v>0.0181</v>
      </c>
      <c r="R716" s="8" t="n">
        <v>88.223305</v>
      </c>
      <c r="S716" s="4" t="inlineStr">
        <is>
          <t>SP500</t>
        </is>
      </c>
      <c r="T716" s="9" t="inlineStr">
        <is>
          <t>SI</t>
        </is>
      </c>
      <c r="U716" s="9" t="inlineStr"/>
      <c r="V716" s="10">
        <f>Umbrales!$B$9*(K716/1000)^Umbrales!$B$10</f>
        <v/>
      </c>
    </row>
    <row r="717">
      <c r="A717" s="4" t="inlineStr">
        <is>
          <t>INCY</t>
        </is>
      </c>
      <c r="B717" s="4" t="inlineStr">
        <is>
          <t>Incyte Corporation</t>
        </is>
      </c>
      <c r="C717" s="4" t="inlineStr">
        <is>
          <t>United States</t>
        </is>
      </c>
      <c r="D717" s="4" t="inlineStr">
        <is>
          <t>US</t>
        </is>
      </c>
      <c r="E717" s="4" t="inlineStr">
        <is>
          <t>Salud</t>
        </is>
      </c>
      <c r="F717" s="4" t="inlineStr">
        <is>
          <t>Biotechnology</t>
        </is>
      </c>
      <c r="G717" s="4" t="inlineStr">
        <is>
          <t>NMS</t>
        </is>
      </c>
      <c r="H717" s="4" t="inlineStr">
        <is>
          <t>USD</t>
        </is>
      </c>
      <c r="I717" s="5" t="n">
        <v>23193.690112</v>
      </c>
      <c r="J717" s="6">
        <f>INDEX(FX!$B:$B,MATCH(H717,FX!$A:$A,0))</f>
        <v/>
      </c>
      <c r="K717" s="5">
        <f>I717*J717</f>
        <v/>
      </c>
      <c r="L717" s="4">
        <f>IF(U717&lt;&gt;"",U717,IF(K717&gt;=Umbrales!$B$2,"Legendaria",IF(K717&gt;=Umbrales!$B$3,"Épica",IF(K717&gt;=Umbrales!$B$4,"Rara",IF(K717&gt;=Umbrales!$B$5,"Poco común","Común")))))</f>
        <v/>
      </c>
      <c r="M717" s="5" t="n">
        <v>5819.53024</v>
      </c>
      <c r="N717" s="5" t="n">
        <v>1612.382976</v>
      </c>
      <c r="O717" s="5">
        <f>IF(M717="","",M717*J717)</f>
        <v/>
      </c>
      <c r="P717" s="5">
        <f>IF(N717="","",N717*J717)</f>
        <v/>
      </c>
      <c r="Q717" s="7" t="n">
        <v>0</v>
      </c>
      <c r="R717" s="8" t="n">
        <v>14.179059</v>
      </c>
      <c r="S717" s="4" t="inlineStr">
        <is>
          <t>SP500</t>
        </is>
      </c>
      <c r="T717" s="9" t="inlineStr">
        <is>
          <t>SI</t>
        </is>
      </c>
      <c r="U717" s="9" t="inlineStr"/>
      <c r="V717" s="10">
        <f>Umbrales!$B$9*(K717/1000)^Umbrales!$B$10</f>
        <v/>
      </c>
    </row>
    <row r="718">
      <c r="A718" s="4" t="inlineStr">
        <is>
          <t>RL</t>
        </is>
      </c>
      <c r="B718" s="4" t="inlineStr">
        <is>
          <t>Ralph Lauren Corporation</t>
        </is>
      </c>
      <c r="C718" s="4" t="inlineStr">
        <is>
          <t>United States</t>
        </is>
      </c>
      <c r="D718" s="4" t="inlineStr">
        <is>
          <t>US</t>
        </is>
      </c>
      <c r="E718" s="4" t="inlineStr">
        <is>
          <t>Consumo cíclico</t>
        </is>
      </c>
      <c r="F718" s="4" t="inlineStr">
        <is>
          <t>Apparel Manufacturing</t>
        </is>
      </c>
      <c r="G718" s="4" t="inlineStr">
        <is>
          <t>NYQ</t>
        </is>
      </c>
      <c r="H718" s="4" t="inlineStr">
        <is>
          <t>USD</t>
        </is>
      </c>
      <c r="I718" s="5" t="n">
        <v>23190.300672</v>
      </c>
      <c r="J718" s="6">
        <f>INDEX(FX!$B:$B,MATCH(H718,FX!$A:$A,0))</f>
        <v/>
      </c>
      <c r="K718" s="5">
        <f>I718*J718</f>
        <v/>
      </c>
      <c r="L718" s="4">
        <f>IF(U718&lt;&gt;"",U718,IF(K718&gt;=Umbrales!$B$2,"Legendaria",IF(K718&gt;=Umbrales!$B$3,"Épica",IF(K718&gt;=Umbrales!$B$4,"Rara",IF(K718&gt;=Umbrales!$B$5,"Poco común","Común")))))</f>
        <v/>
      </c>
      <c r="M718" s="5" t="n">
        <v>8355.200000000001</v>
      </c>
      <c r="N718" s="5" t="n">
        <v>982.8999679999999</v>
      </c>
      <c r="O718" s="5">
        <f>IF(M718="","",M718*J718)</f>
        <v/>
      </c>
      <c r="P718" s="5">
        <f>IF(N718="","",N718*J718)</f>
        <v/>
      </c>
      <c r="Q718" s="7" t="n">
        <v>0.0107</v>
      </c>
      <c r="R718" s="8" t="n">
        <v>24.525206</v>
      </c>
      <c r="S718" s="4" t="inlineStr">
        <is>
          <t>SP500</t>
        </is>
      </c>
      <c r="T718" s="9" t="inlineStr">
        <is>
          <t>SI</t>
        </is>
      </c>
      <c r="U718" s="9" t="inlineStr"/>
      <c r="V718" s="10">
        <f>Umbrales!$B$9*(K718/1000)^Umbrales!$B$10</f>
        <v/>
      </c>
    </row>
    <row r="719">
      <c r="A719" s="4" t="inlineStr">
        <is>
          <t>TATASTEEL.NS</t>
        </is>
      </c>
      <c r="B719" s="4" t="inlineStr">
        <is>
          <t>Tata Steel Limited</t>
        </is>
      </c>
      <c r="C719" s="4" t="inlineStr">
        <is>
          <t>India</t>
        </is>
      </c>
      <c r="D719" s="4" t="inlineStr">
        <is>
          <t>IN</t>
        </is>
      </c>
      <c r="E719" s="4" t="inlineStr">
        <is>
          <t>Materiales</t>
        </is>
      </c>
      <c r="F719" s="4" t="inlineStr">
        <is>
          <t>Steel</t>
        </is>
      </c>
      <c r="G719" s="4" t="inlineStr">
        <is>
          <t>NSI</t>
        </is>
      </c>
      <c r="H719" s="4" t="inlineStr">
        <is>
          <t>INR</t>
        </is>
      </c>
      <c r="I719" s="5" t="n">
        <v>2200469.241856</v>
      </c>
      <c r="J719" s="6">
        <f>INDEX(FX!$B:$B,MATCH(H719,FX!$A:$A,0))</f>
        <v/>
      </c>
      <c r="K719" s="5">
        <f>I719*J719</f>
        <v/>
      </c>
      <c r="L719" s="4">
        <f>IF(U719&lt;&gt;"",U719,IF(K719&gt;=Umbrales!$B$2,"Legendaria",IF(K719&gt;=Umbrales!$B$3,"Épica",IF(K719&gt;=Umbrales!$B$4,"Rara",IF(K719&gt;=Umbrales!$B$5,"Poco común","Común")))))</f>
        <v/>
      </c>
      <c r="M719" s="5" t="n">
        <v>2397561.15968</v>
      </c>
      <c r="N719" s="5" t="n">
        <v>110345.396224</v>
      </c>
      <c r="O719" s="5">
        <f>IF(M719="","",M719*J719)</f>
        <v/>
      </c>
      <c r="P719" s="5">
        <f>IF(N719="","",N719*J719)</f>
        <v/>
      </c>
      <c r="Q719" s="7" t="n">
        <v>0.0229</v>
      </c>
      <c r="R719" s="8" t="n">
        <v>19.932201</v>
      </c>
      <c r="S719" s="4" t="inlineStr">
        <is>
          <t>NIFTY50</t>
        </is>
      </c>
      <c r="T719" s="9" t="inlineStr">
        <is>
          <t>SI</t>
        </is>
      </c>
      <c r="U719" s="9" t="inlineStr"/>
      <c r="V719" s="10">
        <f>Umbrales!$B$9*(K719/1000)^Umbrales!$B$10</f>
        <v/>
      </c>
    </row>
    <row r="720">
      <c r="A720" s="4" t="inlineStr">
        <is>
          <t>PFG</t>
        </is>
      </c>
      <c r="B720" s="4" t="inlineStr">
        <is>
          <t>Principal Financial Group, Inc.</t>
        </is>
      </c>
      <c r="C720" s="4" t="inlineStr">
        <is>
          <t>United States</t>
        </is>
      </c>
      <c r="D720" s="4" t="inlineStr">
        <is>
          <t>US</t>
        </is>
      </c>
      <c r="E720" s="4" t="inlineStr">
        <is>
          <t>Finanzas</t>
        </is>
      </c>
      <c r="F720" s="4" t="inlineStr">
        <is>
          <t>Asset Management</t>
        </is>
      </c>
      <c r="G720" s="4" t="inlineStr">
        <is>
          <t>NMS</t>
        </is>
      </c>
      <c r="H720" s="4" t="inlineStr">
        <is>
          <t>USD</t>
        </is>
      </c>
      <c r="I720" s="5" t="n">
        <v>23097.608192</v>
      </c>
      <c r="J720" s="6">
        <f>INDEX(FX!$B:$B,MATCH(H720,FX!$A:$A,0))</f>
        <v/>
      </c>
      <c r="K720" s="5">
        <f>I720*J720</f>
        <v/>
      </c>
      <c r="L720" s="4">
        <f>IF(U720&lt;&gt;"",U720,IF(K720&gt;=Umbrales!$B$2,"Legendaria",IF(K720&gt;=Umbrales!$B$3,"Épica",IF(K720&gt;=Umbrales!$B$4,"Rara",IF(K720&gt;=Umbrales!$B$5,"Poco común","Común")))))</f>
        <v/>
      </c>
      <c r="M720" s="5" t="n">
        <v>15693.200384</v>
      </c>
      <c r="N720" s="5" t="n">
        <v>1558.8</v>
      </c>
      <c r="O720" s="5">
        <f>IF(M720="","",M720*J720)</f>
        <v/>
      </c>
      <c r="P720" s="5">
        <f>IF(N720="","",N720*J720)</f>
        <v/>
      </c>
      <c r="Q720" s="7" t="n">
        <v>0.0312</v>
      </c>
      <c r="R720" s="8" t="n">
        <v>15.367521</v>
      </c>
      <c r="S720" s="4" t="inlineStr">
        <is>
          <t>SP500</t>
        </is>
      </c>
      <c r="T720" s="9" t="inlineStr">
        <is>
          <t>SI</t>
        </is>
      </c>
      <c r="U720" s="9" t="inlineStr"/>
      <c r="V720" s="10">
        <f>Umbrales!$B$9*(K720/1000)^Umbrales!$B$10</f>
        <v/>
      </c>
    </row>
    <row r="721">
      <c r="A721" s="4" t="inlineStr">
        <is>
          <t>NXT.L</t>
        </is>
      </c>
      <c r="B721" s="4" t="inlineStr">
        <is>
          <t>NEXT plc</t>
        </is>
      </c>
      <c r="C721" s="4" t="inlineStr">
        <is>
          <t>United Kingdom</t>
        </is>
      </c>
      <c r="D721" s="4" t="inlineStr">
        <is>
          <t>GB</t>
        </is>
      </c>
      <c r="E721" s="4" t="inlineStr">
        <is>
          <t>Consumo cíclico</t>
        </is>
      </c>
      <c r="F721" s="4" t="inlineStr">
        <is>
          <t>Apparel Retail</t>
        </is>
      </c>
      <c r="G721" s="4" t="inlineStr">
        <is>
          <t>LSE</t>
        </is>
      </c>
      <c r="H721" s="4" t="inlineStr">
        <is>
          <t>GBP</t>
        </is>
      </c>
      <c r="I721" s="5" t="n">
        <v>17396.772864</v>
      </c>
      <c r="J721" s="6">
        <f>INDEX(FX!$B:$B,MATCH(H721,FX!$A:$A,0))</f>
        <v/>
      </c>
      <c r="K721" s="5">
        <f>I721*J721</f>
        <v/>
      </c>
      <c r="L721" s="4">
        <f>IF(U721&lt;&gt;"",U721,IF(K721&gt;=Umbrales!$B$2,"Legendaria",IF(K721&gt;=Umbrales!$B$3,"Épica",IF(K721&gt;=Umbrales!$B$4,"Rara",IF(K721&gt;=Umbrales!$B$5,"Poco común","Común")))))</f>
        <v/>
      </c>
      <c r="M721" s="5" t="n">
        <v>7203.899904</v>
      </c>
      <c r="N721" s="5" t="n">
        <v>928.6</v>
      </c>
      <c r="O721" s="5">
        <f>IF(M721="","",M721*J721)</f>
        <v/>
      </c>
      <c r="P721" s="5">
        <f>IF(N721="","",N721*J721)</f>
        <v/>
      </c>
      <c r="Q721" s="7" t="n">
        <v>0.0181</v>
      </c>
      <c r="R721" s="8" t="n">
        <v>19.438774</v>
      </c>
      <c r="S721" s="4" t="inlineStr">
        <is>
          <t>FTSE100</t>
        </is>
      </c>
      <c r="T721" s="9" t="inlineStr">
        <is>
          <t>SI</t>
        </is>
      </c>
      <c r="U721" s="9" t="inlineStr"/>
      <c r="V721" s="10">
        <f>Umbrales!$B$9*(K721/1000)^Umbrales!$B$10</f>
        <v/>
      </c>
    </row>
    <row r="722">
      <c r="A722" s="4" t="inlineStr">
        <is>
          <t>BRO</t>
        </is>
      </c>
      <c r="B722" s="4" t="inlineStr">
        <is>
          <t>Brown &amp; Brown, Inc.</t>
        </is>
      </c>
      <c r="C722" s="4" t="inlineStr">
        <is>
          <t>United States</t>
        </is>
      </c>
      <c r="D722" s="4" t="inlineStr">
        <is>
          <t>US</t>
        </is>
      </c>
      <c r="E722" s="4" t="inlineStr">
        <is>
          <t>Finanzas</t>
        </is>
      </c>
      <c r="F722" s="4" t="inlineStr">
        <is>
          <t>Insurance Brokers</t>
        </is>
      </c>
      <c r="G722" s="4" t="inlineStr">
        <is>
          <t>NYQ</t>
        </is>
      </c>
      <c r="H722" s="4" t="inlineStr">
        <is>
          <t>USD</t>
        </is>
      </c>
      <c r="I722" s="5" t="n">
        <v>22897.38752</v>
      </c>
      <c r="J722" s="6">
        <f>INDEX(FX!$B:$B,MATCH(H722,FX!$A:$A,0))</f>
        <v/>
      </c>
      <c r="K722" s="5">
        <f>I722*J722</f>
        <v/>
      </c>
      <c r="L722" s="4">
        <f>IF(U722&lt;&gt;"",U722,IF(K722&gt;=Umbrales!$B$2,"Legendaria",IF(K722&gt;=Umbrales!$B$3,"Épica",IF(K722&gt;=Umbrales!$B$4,"Rara",IF(K722&gt;=Umbrales!$B$5,"Poco común","Común")))))</f>
        <v/>
      </c>
      <c r="M722" s="5" t="n">
        <v>6663.000064</v>
      </c>
      <c r="N722" s="5" t="n">
        <v>1191.000064</v>
      </c>
      <c r="O722" s="5">
        <f>IF(M722="","",M722*J722)</f>
        <v/>
      </c>
      <c r="P722" s="5">
        <f>IF(N722="","",N722*J722)</f>
        <v/>
      </c>
      <c r="Q722" s="7" t="n">
        <v>0.0103</v>
      </c>
      <c r="R722" s="8" t="n">
        <v>21.317757</v>
      </c>
      <c r="S722" s="4" t="inlineStr">
        <is>
          <t>SP500</t>
        </is>
      </c>
      <c r="T722" s="9" t="inlineStr">
        <is>
          <t>SI</t>
        </is>
      </c>
      <c r="U722" s="9" t="inlineStr"/>
      <c r="V722" s="10">
        <f>Umbrales!$B$9*(K722/1000)^Umbrales!$B$10</f>
        <v/>
      </c>
    </row>
    <row r="723">
      <c r="A723" s="4" t="inlineStr">
        <is>
          <t>OMC</t>
        </is>
      </c>
      <c r="B723" s="4" t="inlineStr">
        <is>
          <t>Omnicom Group Inc.</t>
        </is>
      </c>
      <c r="C723" s="4" t="inlineStr">
        <is>
          <t>United States</t>
        </is>
      </c>
      <c r="D723" s="4" t="inlineStr">
        <is>
          <t>US</t>
        </is>
      </c>
      <c r="E723" s="4" t="inlineStr">
        <is>
          <t>Comunicación</t>
        </is>
      </c>
      <c r="F723" s="4" t="inlineStr">
        <is>
          <t>Advertising Agencies</t>
        </is>
      </c>
      <c r="G723" s="4" t="inlineStr">
        <is>
          <t>NYQ</t>
        </is>
      </c>
      <c r="H723" s="4" t="inlineStr">
        <is>
          <t>USD</t>
        </is>
      </c>
      <c r="I723" s="5" t="n">
        <v>22893.123584</v>
      </c>
      <c r="J723" s="6">
        <f>INDEX(FX!$B:$B,MATCH(H723,FX!$A:$A,0))</f>
        <v/>
      </c>
      <c r="K723" s="5">
        <f>I723*J723</f>
        <v/>
      </c>
      <c r="L723" s="4">
        <f>IF(U723&lt;&gt;"",U723,IF(K723&gt;=Umbrales!$B$2,"Legendaria",IF(K723&gt;=Umbrales!$B$3,"Épica",IF(K723&gt;=Umbrales!$B$4,"Rara",IF(K723&gt;=Umbrales!$B$5,"Poco común","Común")))))</f>
        <v/>
      </c>
      <c r="M723" s="5" t="n">
        <v>22371.299328</v>
      </c>
      <c r="N723" s="5" t="n">
        <v>390.2</v>
      </c>
      <c r="O723" s="5">
        <f>IF(M723="","",M723*J723)</f>
        <v/>
      </c>
      <c r="P723" s="5">
        <f>IF(N723="","",N723*J723)</f>
        <v/>
      </c>
      <c r="Q723" s="7" t="n">
        <v>0.0408</v>
      </c>
      <c r="R723" s="8" t="n">
        <v>211.38158</v>
      </c>
      <c r="S723" s="4" t="inlineStr">
        <is>
          <t>SP500</t>
        </is>
      </c>
      <c r="T723" s="9" t="inlineStr">
        <is>
          <t>SI</t>
        </is>
      </c>
      <c r="U723" s="9" t="inlineStr"/>
      <c r="V723" s="10">
        <f>Umbrales!$B$9*(K723/1000)^Umbrales!$B$10</f>
        <v/>
      </c>
    </row>
    <row r="724">
      <c r="A724" s="4" t="inlineStr">
        <is>
          <t>MB.MI</t>
        </is>
      </c>
      <c r="B724" s="4" t="inlineStr">
        <is>
          <t>Mediobanca Banca di Credito Finanziario S.p.A.</t>
        </is>
      </c>
      <c r="C724" s="4" t="inlineStr">
        <is>
          <t>Italy</t>
        </is>
      </c>
      <c r="D724" s="4" t="inlineStr">
        <is>
          <t>IT</t>
        </is>
      </c>
      <c r="E724" s="4" t="inlineStr">
        <is>
          <t>Finanzas</t>
        </is>
      </c>
      <c r="F724" s="4" t="inlineStr">
        <is>
          <t>Banks - Regional</t>
        </is>
      </c>
      <c r="G724" s="4" t="inlineStr">
        <is>
          <t>MIL</t>
        </is>
      </c>
      <c r="H724" s="4" t="inlineStr">
        <is>
          <t>EUR</t>
        </is>
      </c>
      <c r="I724" s="5" t="n">
        <v>20413.382656</v>
      </c>
      <c r="J724" s="6">
        <f>INDEX(FX!$B:$B,MATCH(H724,FX!$A:$A,0))</f>
        <v/>
      </c>
      <c r="K724" s="5">
        <f>I724*J724</f>
        <v/>
      </c>
      <c r="L724" s="4">
        <f>IF(U724&lt;&gt;"",U724,IF(K724&gt;=Umbrales!$B$2,"Legendaria",IF(K724&gt;=Umbrales!$B$3,"Épica",IF(K724&gt;=Umbrales!$B$4,"Rara",IF(K724&gt;=Umbrales!$B$5,"Poco común","Común")))))</f>
        <v/>
      </c>
      <c r="M724" s="5" t="n">
        <v>2724.355072</v>
      </c>
      <c r="N724" s="5" t="n">
        <v>1065.112</v>
      </c>
      <c r="O724" s="5">
        <f>IF(M724="","",M724*J724)</f>
        <v/>
      </c>
      <c r="P724" s="5">
        <f>IF(N724="","",N724*J724)</f>
        <v/>
      </c>
      <c r="Q724" s="7" t="n">
        <v>0.0495</v>
      </c>
      <c r="R724" s="8" t="n">
        <v>16.651316</v>
      </c>
      <c r="S724" s="4" t="inlineStr">
        <is>
          <t>FTSEMIB</t>
        </is>
      </c>
      <c r="T724" s="9" t="inlineStr">
        <is>
          <t>SI</t>
        </is>
      </c>
      <c r="U724" s="9" t="inlineStr"/>
      <c r="V724" s="10">
        <f>Umbrales!$B$9*(K724/1000)^Umbrales!$B$10</f>
        <v/>
      </c>
    </row>
    <row r="725">
      <c r="A725" s="4" t="inlineStr">
        <is>
          <t>CAP.PA</t>
        </is>
      </c>
      <c r="B725" s="4" t="inlineStr">
        <is>
          <t>Capgemini SE</t>
        </is>
      </c>
      <c r="C725" s="4" t="inlineStr">
        <is>
          <t>France</t>
        </is>
      </c>
      <c r="D725" s="4" t="inlineStr">
        <is>
          <t>FR</t>
        </is>
      </c>
      <c r="E725" s="4" t="inlineStr">
        <is>
          <t>Tecnología</t>
        </is>
      </c>
      <c r="F725" s="4" t="inlineStr">
        <is>
          <t>Information Technology Services</t>
        </is>
      </c>
      <c r="G725" s="4" t="inlineStr">
        <is>
          <t>PAR</t>
        </is>
      </c>
      <c r="H725" s="4" t="inlineStr">
        <is>
          <t>EUR</t>
        </is>
      </c>
      <c r="I725" s="5" t="n">
        <v>20185.868288</v>
      </c>
      <c r="J725" s="6">
        <f>INDEX(FX!$B:$B,MATCH(H725,FX!$A:$A,0))</f>
        <v/>
      </c>
      <c r="K725" s="5">
        <f>I725*J725</f>
        <v/>
      </c>
      <c r="L725" s="4">
        <f>IF(U725&lt;&gt;"",U725,IF(K725&gt;=Umbrales!$B$2,"Legendaria",IF(K725&gt;=Umbrales!$B$3,"Épica",IF(K725&gt;=Umbrales!$B$4,"Rara",IF(K725&gt;=Umbrales!$B$5,"Poco común","Común")))))</f>
        <v/>
      </c>
      <c r="M725" s="5" t="n">
        <v>23439.998976</v>
      </c>
      <c r="N725" s="5" t="n">
        <v>1375.000064</v>
      </c>
      <c r="O725" s="5">
        <f>IF(M725="","",M725*J725)</f>
        <v/>
      </c>
      <c r="P725" s="5">
        <f>IF(N725="","",N725*J725)</f>
        <v/>
      </c>
      <c r="Q725" s="7" t="n">
        <v>0.0285</v>
      </c>
      <c r="R725" s="8" t="n">
        <v>15.62982</v>
      </c>
      <c r="S725" s="4" t="inlineStr">
        <is>
          <t>CAC40</t>
        </is>
      </c>
      <c r="T725" s="9" t="inlineStr">
        <is>
          <t>SI</t>
        </is>
      </c>
      <c r="U725" s="9" t="inlineStr"/>
      <c r="V725" s="10">
        <f>Umbrales!$B$9*(K725/1000)^Umbrales!$B$10</f>
        <v/>
      </c>
    </row>
    <row r="726">
      <c r="A726" s="4" t="inlineStr">
        <is>
          <t>COL.AX</t>
        </is>
      </c>
      <c r="B726" s="4" t="inlineStr">
        <is>
          <t>Coles Group Limited</t>
        </is>
      </c>
      <c r="C726" s="4" t="inlineStr">
        <is>
          <t>Australia</t>
        </is>
      </c>
      <c r="D726" s="4" t="inlineStr">
        <is>
          <t>AU</t>
        </is>
      </c>
      <c r="E726" s="4" t="inlineStr">
        <is>
          <t>Consumo básico</t>
        </is>
      </c>
      <c r="F726" s="4" t="inlineStr">
        <is>
          <t>Grocery Stores</t>
        </is>
      </c>
      <c r="G726" s="4" t="inlineStr">
        <is>
          <t>ASX</t>
        </is>
      </c>
      <c r="H726" s="4" t="inlineStr">
        <is>
          <t>AUD</t>
        </is>
      </c>
      <c r="I726" s="5" t="n">
        <v>32620.148736</v>
      </c>
      <c r="J726" s="6">
        <f>INDEX(FX!$B:$B,MATCH(H726,FX!$A:$A,0))</f>
        <v/>
      </c>
      <c r="K726" s="5">
        <f>I726*J726</f>
        <v/>
      </c>
      <c r="L726" s="4">
        <f>IF(U726&lt;&gt;"",U726,IF(K726&gt;=Umbrales!$B$2,"Legendaria",IF(K726&gt;=Umbrales!$B$3,"Épica",IF(K726&gt;=Umbrales!$B$4,"Rara",IF(K726&gt;=Umbrales!$B$5,"Poco común","Común")))))</f>
        <v/>
      </c>
      <c r="M726" s="5" t="n">
        <v>45722.001408</v>
      </c>
      <c r="N726" s="5" t="n">
        <v>1090</v>
      </c>
      <c r="O726" s="5">
        <f>IF(M726="","",M726*J726)</f>
        <v/>
      </c>
      <c r="P726" s="5">
        <f>IF(N726="","",N726*J726)</f>
        <v/>
      </c>
      <c r="Q726" s="7" t="n">
        <v>0.0313</v>
      </c>
      <c r="R726" s="8" t="n">
        <v>29.240965</v>
      </c>
      <c r="S726" s="4" t="inlineStr">
        <is>
          <t>ASX50</t>
        </is>
      </c>
      <c r="T726" s="9" t="inlineStr">
        <is>
          <t>SI</t>
        </is>
      </c>
      <c r="U726" s="9" t="inlineStr"/>
      <c r="V726" s="10">
        <f>Umbrales!$B$9*(K726/1000)^Umbrales!$B$10</f>
        <v/>
      </c>
    </row>
    <row r="727">
      <c r="A727" s="4" t="inlineStr">
        <is>
          <t>L</t>
        </is>
      </c>
      <c r="B727" s="4" t="inlineStr">
        <is>
          <t>Loews Corporation</t>
        </is>
      </c>
      <c r="C727" s="4" t="inlineStr">
        <is>
          <t>United States</t>
        </is>
      </c>
      <c r="D727" s="4" t="inlineStr">
        <is>
          <t>US</t>
        </is>
      </c>
      <c r="E727" s="4" t="inlineStr">
        <is>
          <t>Finanzas</t>
        </is>
      </c>
      <c r="F727" s="4" t="inlineStr">
        <is>
          <t>Insurance - Property &amp; Casualty</t>
        </is>
      </c>
      <c r="G727" s="4" t="inlineStr">
        <is>
          <t>NYQ</t>
        </is>
      </c>
      <c r="H727" s="4" t="inlineStr">
        <is>
          <t>USD</t>
        </is>
      </c>
      <c r="I727" s="5" t="n">
        <v>22521.800704</v>
      </c>
      <c r="J727" s="6">
        <f>INDEX(FX!$B:$B,MATCH(H727,FX!$A:$A,0))</f>
        <v/>
      </c>
      <c r="K727" s="5">
        <f>I727*J727</f>
        <v/>
      </c>
      <c r="L727" s="4">
        <f>IF(U727&lt;&gt;"",U727,IF(K727&gt;=Umbrales!$B$2,"Legendaria",IF(K727&gt;=Umbrales!$B$3,"Épica",IF(K727&gt;=Umbrales!$B$4,"Rara",IF(K727&gt;=Umbrales!$B$5,"Poco común","Común")))))</f>
        <v/>
      </c>
      <c r="M727" s="5" t="n">
        <v>18694.00064</v>
      </c>
      <c r="N727" s="5" t="n">
        <v>1687.000064</v>
      </c>
      <c r="O727" s="5">
        <f>IF(M727="","",M727*J727)</f>
        <v/>
      </c>
      <c r="P727" s="5">
        <f>IF(N727="","",N727*J727)</f>
        <v/>
      </c>
      <c r="Q727" s="7" t="n">
        <v>0.0023</v>
      </c>
      <c r="R727" s="8" t="n">
        <v>13.419001</v>
      </c>
      <c r="S727" s="4" t="inlineStr">
        <is>
          <t>SP500</t>
        </is>
      </c>
      <c r="T727" s="9" t="inlineStr">
        <is>
          <t>SI</t>
        </is>
      </c>
      <c r="U727" s="9" t="inlineStr"/>
      <c r="V727" s="10">
        <f>Umbrales!$B$9*(K727/1000)^Umbrales!$B$10</f>
        <v/>
      </c>
    </row>
    <row r="728">
      <c r="A728" s="4" t="inlineStr">
        <is>
          <t>SIG.AX</t>
        </is>
      </c>
      <c r="B728" s="4" t="inlineStr">
        <is>
          <t>Sigma Healthcare Limited</t>
        </is>
      </c>
      <c r="C728" s="4" t="inlineStr">
        <is>
          <t>Australia</t>
        </is>
      </c>
      <c r="D728" s="4" t="inlineStr">
        <is>
          <t>AU</t>
        </is>
      </c>
      <c r="E728" s="4" t="inlineStr">
        <is>
          <t>Salud</t>
        </is>
      </c>
      <c r="F728" s="4" t="inlineStr">
        <is>
          <t>Medical Distribution</t>
        </is>
      </c>
      <c r="G728" s="4" t="inlineStr">
        <is>
          <t>ASX</t>
        </is>
      </c>
      <c r="H728" s="4" t="inlineStr">
        <is>
          <t>AUD</t>
        </is>
      </c>
      <c r="I728" s="5" t="n">
        <v>32322.7136</v>
      </c>
      <c r="J728" s="6">
        <f>INDEX(FX!$B:$B,MATCH(H728,FX!$A:$A,0))</f>
        <v/>
      </c>
      <c r="K728" s="5">
        <f>I728*J728</f>
        <v/>
      </c>
      <c r="L728" s="4">
        <f>IF(U728&lt;&gt;"",U728,IF(K728&gt;=Umbrales!$B$2,"Legendaria",IF(K728&gt;=Umbrales!$B$3,"Épica",IF(K728&gt;=Umbrales!$B$4,"Rara",IF(K728&gt;=Umbrales!$B$5,"Poco común","Común")))))</f>
        <v/>
      </c>
      <c r="M728" s="5" t="n">
        <v>10834.965504</v>
      </c>
      <c r="N728" s="5" t="n">
        <v>709.182016</v>
      </c>
      <c r="O728" s="5">
        <f>IF(M728="","",M728*J728)</f>
        <v/>
      </c>
      <c r="P728" s="5">
        <f>IF(N728="","",N728*J728)</f>
        <v/>
      </c>
      <c r="Q728" s="7" t="n">
        <v>0.0142</v>
      </c>
      <c r="R728" s="8" t="n">
        <v>46.833332</v>
      </c>
      <c r="S728" s="4" t="inlineStr">
        <is>
          <t>ASX50</t>
        </is>
      </c>
      <c r="T728" s="9" t="inlineStr">
        <is>
          <t>SI</t>
        </is>
      </c>
      <c r="U728" s="9" t="inlineStr"/>
      <c r="V728" s="10">
        <f>Umbrales!$B$9*(K728/1000)^Umbrales!$B$10</f>
        <v/>
      </c>
    </row>
    <row r="729">
      <c r="A729" s="4" t="inlineStr">
        <is>
          <t>H.TO</t>
        </is>
      </c>
      <c r="B729" s="4" t="inlineStr">
        <is>
          <t>Hydro One Limited</t>
        </is>
      </c>
      <c r="C729" s="4" t="inlineStr">
        <is>
          <t>Canada</t>
        </is>
      </c>
      <c r="D729" s="4" t="inlineStr">
        <is>
          <t>CA</t>
        </is>
      </c>
      <c r="E729" s="4" t="inlineStr">
        <is>
          <t>Servicios públicos</t>
        </is>
      </c>
      <c r="F729" s="4" t="inlineStr">
        <is>
          <t>Utilities - Regulated Electric</t>
        </is>
      </c>
      <c r="G729" s="4" t="inlineStr">
        <is>
          <t>TOR</t>
        </is>
      </c>
      <c r="H729" s="4" t="inlineStr">
        <is>
          <t>CAD</t>
        </is>
      </c>
      <c r="I729" s="5" t="n">
        <v>31739.0848</v>
      </c>
      <c r="J729" s="6">
        <f>INDEX(FX!$B:$B,MATCH(H729,FX!$A:$A,0))</f>
        <v/>
      </c>
      <c r="K729" s="5">
        <f>I729*J729</f>
        <v/>
      </c>
      <c r="L729" s="4">
        <f>IF(U729&lt;&gt;"",U729,IF(K729&gt;=Umbrales!$B$2,"Legendaria",IF(K729&gt;=Umbrales!$B$3,"Épica",IF(K729&gt;=Umbrales!$B$4,"Rara",IF(K729&gt;=Umbrales!$B$5,"Poco común","Común")))))</f>
        <v/>
      </c>
      <c r="M729" s="5" t="n">
        <v>9516.999680000001</v>
      </c>
      <c r="N729" s="5" t="n">
        <v>1415.000064</v>
      </c>
      <c r="O729" s="5">
        <f>IF(M729="","",M729*J729)</f>
        <v/>
      </c>
      <c r="P729" s="5">
        <f>IF(N729="","",N729*J729)</f>
        <v/>
      </c>
      <c r="Q729" s="7" t="n">
        <v>0.0274</v>
      </c>
      <c r="R729" s="8" t="n">
        <v>22.037498</v>
      </c>
      <c r="S729" s="4" t="inlineStr">
        <is>
          <t>TSX60</t>
        </is>
      </c>
      <c r="T729" s="9" t="inlineStr">
        <is>
          <t>SI</t>
        </is>
      </c>
      <c r="U729" s="9" t="inlineStr"/>
      <c r="V729" s="10">
        <f>Umbrales!$B$9*(K729/1000)^Umbrales!$B$10</f>
        <v/>
      </c>
    </row>
    <row r="730">
      <c r="A730" s="4" t="inlineStr">
        <is>
          <t>STZ</t>
        </is>
      </c>
      <c r="B730" s="4" t="inlineStr">
        <is>
          <t>Constellation Brands, Inc.</t>
        </is>
      </c>
      <c r="C730" s="4" t="inlineStr">
        <is>
          <t>United States</t>
        </is>
      </c>
      <c r="D730" s="4" t="inlineStr">
        <is>
          <t>US</t>
        </is>
      </c>
      <c r="E730" s="4" t="inlineStr">
        <is>
          <t>Consumo básico</t>
        </is>
      </c>
      <c r="F730" s="4" t="inlineStr">
        <is>
          <t>Beverages - Brewers</t>
        </is>
      </c>
      <c r="G730" s="4" t="inlineStr">
        <is>
          <t>NYQ</t>
        </is>
      </c>
      <c r="H730" s="4" t="inlineStr">
        <is>
          <t>USD</t>
        </is>
      </c>
      <c r="I730" s="5" t="n">
        <v>22150.6048</v>
      </c>
      <c r="J730" s="6">
        <f>INDEX(FX!$B:$B,MATCH(H730,FX!$A:$A,0))</f>
        <v/>
      </c>
      <c r="K730" s="5">
        <f>I730*J730</f>
        <v/>
      </c>
      <c r="L730" s="4">
        <f>IF(U730&lt;&gt;"",U730,IF(K730&gt;=Umbrales!$B$2,"Legendaria",IF(K730&gt;=Umbrales!$B$3,"Épica",IF(K730&gt;=Umbrales!$B$4,"Rara",IF(K730&gt;=Umbrales!$B$5,"Poco común","Común")))))</f>
        <v/>
      </c>
      <c r="M730" s="5" t="n">
        <v>9208.699903999999</v>
      </c>
      <c r="N730" s="5" t="n">
        <v>1924.199936</v>
      </c>
      <c r="O730" s="5">
        <f>IF(M730="","",M730*J730)</f>
        <v/>
      </c>
      <c r="P730" s="5">
        <f>IF(N730="","",N730*J730)</f>
        <v/>
      </c>
      <c r="Q730" s="7" t="n">
        <v>0.03240000000000001</v>
      </c>
      <c r="R730" s="8" t="n">
        <v>11.687054</v>
      </c>
      <c r="S730" s="4" t="inlineStr">
        <is>
          <t>SP500</t>
        </is>
      </c>
      <c r="T730" s="9" t="inlineStr">
        <is>
          <t>SI</t>
        </is>
      </c>
      <c r="U730" s="9" t="inlineStr"/>
      <c r="V730" s="10">
        <f>Umbrales!$B$9*(K730/1000)^Umbrales!$B$10</f>
        <v/>
      </c>
    </row>
    <row r="731">
      <c r="A731" s="4" t="inlineStr">
        <is>
          <t>INDU-C.ST</t>
        </is>
      </c>
      <c r="B731" s="4" t="inlineStr">
        <is>
          <t>AB Industrivärden (publ)</t>
        </is>
      </c>
      <c r="C731" s="4" t="inlineStr">
        <is>
          <t>Sweden</t>
        </is>
      </c>
      <c r="D731" s="4" t="inlineStr">
        <is>
          <t>SE</t>
        </is>
      </c>
      <c r="E731" s="4" t="inlineStr">
        <is>
          <t>Finanzas</t>
        </is>
      </c>
      <c r="F731" s="4" t="inlineStr">
        <is>
          <t>Asset Management</t>
        </is>
      </c>
      <c r="G731" s="4" t="inlineStr">
        <is>
          <t>STO</t>
        </is>
      </c>
      <c r="H731" s="4" t="inlineStr">
        <is>
          <t>SEK</t>
        </is>
      </c>
      <c r="I731" s="5" t="n">
        <v>220268.544</v>
      </c>
      <c r="J731" s="6">
        <f>INDEX(FX!$B:$B,MATCH(H731,FX!$A:$A,0))</f>
        <v/>
      </c>
      <c r="K731" s="5">
        <f>I731*J731</f>
        <v/>
      </c>
      <c r="L731" s="4">
        <f>IF(U731&lt;&gt;"",U731,IF(K731&gt;=Umbrales!$B$2,"Legendaria",IF(K731&gt;=Umbrales!$B$3,"Épica",IF(K731&gt;=Umbrales!$B$4,"Rara",IF(K731&gt;=Umbrales!$B$5,"Poco común","Común")))))</f>
        <v/>
      </c>
      <c r="M731" s="5" t="n">
        <v>54248.001536</v>
      </c>
      <c r="N731" s="5" t="n">
        <v>53819.998208</v>
      </c>
      <c r="O731" s="5">
        <f>IF(M731="","",M731*J731)</f>
        <v/>
      </c>
      <c r="P731" s="5">
        <f>IF(N731="","",N731*J731)</f>
        <v/>
      </c>
      <c r="Q731" s="7" t="n">
        <v>0.0172</v>
      </c>
      <c r="R731" s="8" t="n">
        <v>4.054376</v>
      </c>
      <c r="S731" s="4" t="inlineStr">
        <is>
          <t>OMXS30</t>
        </is>
      </c>
      <c r="T731" s="9" t="inlineStr">
        <is>
          <t>SI</t>
        </is>
      </c>
      <c r="U731" s="9" t="inlineStr"/>
      <c r="V731" s="10">
        <f>Umbrales!$B$9*(K731/1000)^Umbrales!$B$10</f>
        <v/>
      </c>
    </row>
    <row r="732">
      <c r="A732" s="4" t="inlineStr">
        <is>
          <t>NN.AS</t>
        </is>
      </c>
      <c r="B732" s="4" t="inlineStr">
        <is>
          <t>NN Group N.V.</t>
        </is>
      </c>
      <c r="C732" s="4" t="inlineStr">
        <is>
          <t>Netherlands</t>
        </is>
      </c>
      <c r="D732" s="4" t="inlineStr">
        <is>
          <t>NL</t>
        </is>
      </c>
      <c r="E732" s="4" t="inlineStr">
        <is>
          <t>Finanzas</t>
        </is>
      </c>
      <c r="F732" s="4" t="inlineStr">
        <is>
          <t>Insurance - Diversified</t>
        </is>
      </c>
      <c r="G732" s="4" t="inlineStr">
        <is>
          <t>AMS</t>
        </is>
      </c>
      <c r="H732" s="4" t="inlineStr">
        <is>
          <t>EUR</t>
        </is>
      </c>
      <c r="I732" s="5" t="n">
        <v>19653.369856</v>
      </c>
      <c r="J732" s="6">
        <f>INDEX(FX!$B:$B,MATCH(H732,FX!$A:$A,0))</f>
        <v/>
      </c>
      <c r="K732" s="5">
        <f>I732*J732</f>
        <v/>
      </c>
      <c r="L732" s="4">
        <f>IF(U732&lt;&gt;"",U732,IF(K732&gt;=Umbrales!$B$2,"Legendaria",IF(K732&gt;=Umbrales!$B$3,"Épica",IF(K732&gt;=Umbrales!$B$4,"Rara",IF(K732&gt;=Umbrales!$B$5,"Poco común","Común")))))</f>
        <v/>
      </c>
      <c r="M732" s="5" t="n">
        <v>14030.999552</v>
      </c>
      <c r="N732" s="5" t="n">
        <v>1783.000064</v>
      </c>
      <c r="O732" s="5">
        <f>IF(M732="","",M732*J732)</f>
        <v/>
      </c>
      <c r="P732" s="5">
        <f>IF(N732="","",N732*J732)</f>
        <v/>
      </c>
      <c r="Q732" s="7" t="n">
        <v>0.0532</v>
      </c>
      <c r="R732" s="8" t="n">
        <v>11.197639</v>
      </c>
      <c r="S732" s="4" t="inlineStr">
        <is>
          <t>AEX</t>
        </is>
      </c>
      <c r="T732" s="9" t="inlineStr">
        <is>
          <t>SI</t>
        </is>
      </c>
      <c r="U732" s="9" t="inlineStr"/>
      <c r="V732" s="10">
        <f>Umbrales!$B$9*(K732/1000)^Umbrales!$B$10</f>
        <v/>
      </c>
    </row>
    <row r="733">
      <c r="A733" s="4" t="inlineStr">
        <is>
          <t>JBHT</t>
        </is>
      </c>
      <c r="B733" s="4" t="inlineStr">
        <is>
          <t>J.B. Hunt Transport Services, Inc.</t>
        </is>
      </c>
      <c r="C733" s="4" t="inlineStr">
        <is>
          <t>United States</t>
        </is>
      </c>
      <c r="D733" s="4" t="inlineStr">
        <is>
          <t>US</t>
        </is>
      </c>
      <c r="E733" s="4" t="inlineStr">
        <is>
          <t>Industria</t>
        </is>
      </c>
      <c r="F733" s="4" t="inlineStr">
        <is>
          <t>Integrated Freight &amp; Logistics</t>
        </is>
      </c>
      <c r="G733" s="4" t="inlineStr">
        <is>
          <t>NMS</t>
        </is>
      </c>
      <c r="H733" s="4" t="inlineStr">
        <is>
          <t>USD</t>
        </is>
      </c>
      <c r="I733" s="5" t="n">
        <v>22003.587072</v>
      </c>
      <c r="J733" s="6">
        <f>INDEX(FX!$B:$B,MATCH(H733,FX!$A:$A,0))</f>
        <v/>
      </c>
      <c r="K733" s="5">
        <f>I733*J733</f>
        <v/>
      </c>
      <c r="L733" s="4">
        <f>IF(U733&lt;&gt;"",U733,IF(K733&gt;=Umbrales!$B$2,"Legendaria",IF(K733&gt;=Umbrales!$B$3,"Épica",IF(K733&gt;=Umbrales!$B$4,"Rara",IF(K733&gt;=Umbrales!$B$5,"Poco común","Común")))))</f>
        <v/>
      </c>
      <c r="M733" s="5" t="n">
        <v>12701.309952</v>
      </c>
      <c r="N733" s="5" t="n">
        <v>674.505024</v>
      </c>
      <c r="O733" s="5">
        <f>IF(M733="","",M733*J733)</f>
        <v/>
      </c>
      <c r="P733" s="5">
        <f>IF(N733="","",N733*J733)</f>
        <v/>
      </c>
      <c r="Q733" s="7" t="n">
        <v>0.007900000000000001</v>
      </c>
      <c r="R733" s="8" t="n">
        <v>33.33286</v>
      </c>
      <c r="S733" s="4" t="inlineStr">
        <is>
          <t>SP500</t>
        </is>
      </c>
      <c r="T733" s="9" t="inlineStr">
        <is>
          <t>SI</t>
        </is>
      </c>
      <c r="U733" s="9" t="inlineStr"/>
      <c r="V733" s="10">
        <f>Umbrales!$B$9*(K733/1000)^Umbrales!$B$10</f>
        <v/>
      </c>
    </row>
    <row r="734">
      <c r="A734" s="4" t="inlineStr">
        <is>
          <t>0762.HK</t>
        </is>
      </c>
      <c r="B734" s="4" t="inlineStr">
        <is>
          <t>China Unicom (Hong Kong) Limited</t>
        </is>
      </c>
      <c r="C734" s="4" t="inlineStr">
        <is>
          <t>Hong Kong</t>
        </is>
      </c>
      <c r="D734" s="4" t="inlineStr">
        <is>
          <t>HK</t>
        </is>
      </c>
      <c r="E734" s="4" t="inlineStr">
        <is>
          <t>Comunicación</t>
        </is>
      </c>
      <c r="F734" s="4" t="inlineStr">
        <is>
          <t>Telecom Services</t>
        </is>
      </c>
      <c r="G734" s="4" t="inlineStr">
        <is>
          <t>HKG</t>
        </is>
      </c>
      <c r="H734" s="4" t="inlineStr">
        <is>
          <t>HKD</t>
        </is>
      </c>
      <c r="I734" s="5" t="n">
        <v>172419.743744</v>
      </c>
      <c r="J734" s="6">
        <f>INDEX(FX!$B:$B,MATCH(H734,FX!$A:$A,0))</f>
        <v/>
      </c>
      <c r="K734" s="5">
        <f>I734*J734</f>
        <v/>
      </c>
      <c r="L734" s="4">
        <f>IF(U734&lt;&gt;"",U734,IF(K734&gt;=Umbrales!$B$2,"Legendaria",IF(K734&gt;=Umbrales!$B$3,"Épica",IF(K734&gt;=Umbrales!$B$4,"Rara",IF(K734&gt;=Umbrales!$B$5,"Poco común","Común")))))</f>
        <v/>
      </c>
      <c r="M734" s="5" t="n">
        <v>393384.984576</v>
      </c>
      <c r="N734" s="5" t="n">
        <v>15800.000512</v>
      </c>
      <c r="O734" s="5">
        <f>IF(M734="","",M734*J734)</f>
        <v/>
      </c>
      <c r="P734" s="5">
        <f>IF(N734="","",N734*J734)</f>
        <v/>
      </c>
      <c r="Q734" s="7" t="n">
        <v>0.08119999999999999</v>
      </c>
      <c r="R734" s="8" t="n">
        <v>9.715517999999999</v>
      </c>
      <c r="S734" s="4" t="inlineStr">
        <is>
          <t>HANGSENG</t>
        </is>
      </c>
      <c r="T734" s="9" t="inlineStr">
        <is>
          <t>SI</t>
        </is>
      </c>
      <c r="U734" s="9" t="inlineStr"/>
      <c r="V734" s="10">
        <f>Umbrales!$B$9*(K734/1000)^Umbrales!$B$10</f>
        <v/>
      </c>
    </row>
    <row r="735">
      <c r="A735" s="4" t="inlineStr">
        <is>
          <t>GPN</t>
        </is>
      </c>
      <c r="B735" s="4" t="inlineStr">
        <is>
          <t>Global Payments Inc.</t>
        </is>
      </c>
      <c r="C735" s="4" t="inlineStr">
        <is>
          <t>United States</t>
        </is>
      </c>
      <c r="D735" s="4" t="inlineStr">
        <is>
          <t>US</t>
        </is>
      </c>
      <c r="E735" s="4" t="inlineStr">
        <is>
          <t>Industria</t>
        </is>
      </c>
      <c r="F735" s="4" t="inlineStr">
        <is>
          <t>Specialty Business Services</t>
        </is>
      </c>
      <c r="G735" s="4" t="inlineStr">
        <is>
          <t>NYQ</t>
        </is>
      </c>
      <c r="H735" s="4" t="inlineStr">
        <is>
          <t>USD</t>
        </is>
      </c>
      <c r="I735" s="5" t="n">
        <v>21935.540224</v>
      </c>
      <c r="J735" s="6">
        <f>INDEX(FX!$B:$B,MATCH(H735,FX!$A:$A,0))</f>
        <v/>
      </c>
      <c r="K735" s="5">
        <f>I735*J735</f>
        <v/>
      </c>
      <c r="L735" s="4">
        <f>IF(U735&lt;&gt;"",U735,IF(K735&gt;=Umbrales!$B$2,"Legendaria",IF(K735&gt;=Umbrales!$B$3,"Épica",IF(K735&gt;=Umbrales!$B$4,"Rara",IF(K735&gt;=Umbrales!$B$5,"Poco común","Común")))))</f>
        <v/>
      </c>
      <c r="M735" s="5" t="n">
        <v>10206.7456</v>
      </c>
      <c r="N735" s="5" t="n">
        <v>494.190016</v>
      </c>
      <c r="O735" s="5">
        <f>IF(M735="","",M735*J735)</f>
        <v/>
      </c>
      <c r="P735" s="5">
        <f>IF(N735="","",N735*J735)</f>
        <v/>
      </c>
      <c r="Q735" s="7" t="n">
        <v>0.0122</v>
      </c>
      <c r="R735" s="8" t="n">
        <v>38.917835</v>
      </c>
      <c r="S735" s="4" t="inlineStr">
        <is>
          <t>SP500</t>
        </is>
      </c>
      <c r="T735" s="9" t="inlineStr">
        <is>
          <t>SI</t>
        </is>
      </c>
      <c r="U735" s="9" t="inlineStr"/>
      <c r="V735" s="10">
        <f>Umbrales!$B$9*(K735/1000)^Umbrales!$B$10</f>
        <v/>
      </c>
    </row>
    <row r="736">
      <c r="A736" s="4" t="inlineStr">
        <is>
          <t>SRG.MI</t>
        </is>
      </c>
      <c r="B736" s="4" t="inlineStr">
        <is>
          <t>Snam S.p.A.</t>
        </is>
      </c>
      <c r="C736" s="4" t="inlineStr">
        <is>
          <t>Italy</t>
        </is>
      </c>
      <c r="D736" s="4" t="inlineStr">
        <is>
          <t>IT</t>
        </is>
      </c>
      <c r="E736" s="4" t="inlineStr">
        <is>
          <t>Servicios públicos</t>
        </is>
      </c>
      <c r="F736" s="4" t="inlineStr">
        <is>
          <t>Utilities - Regulated Gas</t>
        </is>
      </c>
      <c r="G736" s="4" t="inlineStr">
        <is>
          <t>MIL</t>
        </is>
      </c>
      <c r="H736" s="4" t="inlineStr">
        <is>
          <t>EUR</t>
        </is>
      </c>
      <c r="I736" s="5" t="n">
        <v>19500.761088</v>
      </c>
      <c r="J736" s="6">
        <f>INDEX(FX!$B:$B,MATCH(H736,FX!$A:$A,0))</f>
        <v/>
      </c>
      <c r="K736" s="5">
        <f>I736*J736</f>
        <v/>
      </c>
      <c r="L736" s="4">
        <f>IF(U736&lt;&gt;"",U736,IF(K736&gt;=Umbrales!$B$2,"Legendaria",IF(K736&gt;=Umbrales!$B$3,"Épica",IF(K736&gt;=Umbrales!$B$4,"Rara",IF(K736&gt;=Umbrales!$B$5,"Poco común","Común")))))</f>
        <v/>
      </c>
      <c r="M736" s="5" t="n">
        <v>4004.999936</v>
      </c>
      <c r="N736" s="5" t="n">
        <v>1112.999936</v>
      </c>
      <c r="O736" s="5">
        <f>IF(M736="","",M736*J736)</f>
        <v/>
      </c>
      <c r="P736" s="5">
        <f>IF(N736="","",N736*J736)</f>
        <v/>
      </c>
      <c r="Q736" s="7" t="n">
        <v>0.05309999999999999</v>
      </c>
      <c r="R736" s="8" t="n">
        <v>17.60606</v>
      </c>
      <c r="S736" s="4" t="inlineStr">
        <is>
          <t>FTSEMIB</t>
        </is>
      </c>
      <c r="T736" s="9" t="inlineStr">
        <is>
          <t>SI</t>
        </is>
      </c>
      <c r="U736" s="9" t="inlineStr"/>
      <c r="V736" s="10">
        <f>Umbrales!$B$9*(K736/1000)^Umbrales!$B$10</f>
        <v/>
      </c>
    </row>
    <row r="737">
      <c r="A737" s="4" t="inlineStr">
        <is>
          <t>SMT.L</t>
        </is>
      </c>
      <c r="B737" s="4" t="inlineStr">
        <is>
          <t>Scottish Mortgage Ord</t>
        </is>
      </c>
      <c r="C737" s="4" t="inlineStr"/>
      <c r="D737" s="4" t="inlineStr">
        <is>
          <t>UN</t>
        </is>
      </c>
      <c r="E737" s="4" t="inlineStr">
        <is>
          <t>Otros</t>
        </is>
      </c>
      <c r="F737" s="4" t="inlineStr"/>
      <c r="G737" s="4" t="inlineStr">
        <is>
          <t>LSE</t>
        </is>
      </c>
      <c r="H737" s="4" t="inlineStr">
        <is>
          <t>GBP</t>
        </is>
      </c>
      <c r="I737" s="5" t="n">
        <v>16431.348736</v>
      </c>
      <c r="J737" s="6">
        <f>INDEX(FX!$B:$B,MATCH(H737,FX!$A:$A,0))</f>
        <v/>
      </c>
      <c r="K737" s="5">
        <f>I737*J737</f>
        <v/>
      </c>
      <c r="L737" s="4">
        <f>IF(U737&lt;&gt;"",U737,IF(K737&gt;=Umbrales!$B$2,"Legendaria",IF(K737&gt;=Umbrales!$B$3,"Épica",IF(K737&gt;=Umbrales!$B$4,"Rara",IF(K737&gt;=Umbrales!$B$5,"Poco común","Común")))))</f>
        <v/>
      </c>
      <c r="M737" s="5" t="n"/>
      <c r="N737" s="5" t="n"/>
      <c r="O737" s="5">
        <f>IF(M737="","",M737*J737)</f>
        <v/>
      </c>
      <c r="P737" s="5">
        <f>IF(N737="","",N737*J737)</f>
        <v/>
      </c>
      <c r="Q737" s="7" t="n"/>
      <c r="R737" s="8" t="n">
        <v>5.910112</v>
      </c>
      <c r="S737" s="4" t="inlineStr">
        <is>
          <t>FTSE100</t>
        </is>
      </c>
      <c r="T737" s="9" t="inlineStr">
        <is>
          <t>SI</t>
        </is>
      </c>
      <c r="U737" s="9" t="inlineStr"/>
      <c r="V737" s="10">
        <f>Umbrales!$B$9*(K737/1000)^Umbrales!$B$10</f>
        <v/>
      </c>
    </row>
    <row r="738">
      <c r="A738" s="4" t="inlineStr">
        <is>
          <t>FM.TO</t>
        </is>
      </c>
      <c r="B738" s="4" t="inlineStr">
        <is>
          <t>First Quantum Minerals Ltd.</t>
        </is>
      </c>
      <c r="C738" s="4" t="inlineStr">
        <is>
          <t>Canada</t>
        </is>
      </c>
      <c r="D738" s="4" t="inlineStr">
        <is>
          <t>CA</t>
        </is>
      </c>
      <c r="E738" s="4" t="inlineStr">
        <is>
          <t>Materiales</t>
        </is>
      </c>
      <c r="F738" s="4" t="inlineStr">
        <is>
          <t>Copper</t>
        </is>
      </c>
      <c r="G738" s="4" t="inlineStr">
        <is>
          <t>TOR</t>
        </is>
      </c>
      <c r="H738" s="4" t="inlineStr">
        <is>
          <t>CAD</t>
        </is>
      </c>
      <c r="I738" s="5" t="n">
        <v>30898.997248</v>
      </c>
      <c r="J738" s="6">
        <f>INDEX(FX!$B:$B,MATCH(H738,FX!$A:$A,0))</f>
        <v/>
      </c>
      <c r="K738" s="5">
        <f>I738*J738</f>
        <v/>
      </c>
      <c r="L738" s="4">
        <f>IF(U738&lt;&gt;"",U738,IF(K738&gt;=Umbrales!$B$2,"Legendaria",IF(K738&gt;=Umbrales!$B$3,"Épica",IF(K738&gt;=Umbrales!$B$4,"Rara",IF(K738&gt;=Umbrales!$B$5,"Poco común","Común")))))</f>
        <v/>
      </c>
      <c r="M738" s="5" t="n">
        <v>5746.999808</v>
      </c>
      <c r="N738" s="5" t="n">
        <v>-83</v>
      </c>
      <c r="O738" s="5">
        <f>IF(M738="","",M738*J738)</f>
        <v/>
      </c>
      <c r="P738" s="5">
        <f>IF(N738="","",N738*J738)</f>
        <v/>
      </c>
      <c r="Q738" s="7" t="n">
        <v>0</v>
      </c>
      <c r="R738" s="8" t="n"/>
      <c r="S738" s="4" t="inlineStr">
        <is>
          <t>TSX60</t>
        </is>
      </c>
      <c r="T738" s="9" t="inlineStr">
        <is>
          <t>SI</t>
        </is>
      </c>
      <c r="U738" s="9" t="inlineStr"/>
      <c r="V738" s="10">
        <f>Umbrales!$B$9*(K738/1000)^Umbrales!$B$10</f>
        <v/>
      </c>
    </row>
    <row r="739">
      <c r="A739" s="4" t="inlineStr">
        <is>
          <t>SW</t>
        </is>
      </c>
      <c r="B739" s="4" t="inlineStr">
        <is>
          <t>Smurfit Westrock Plc</t>
        </is>
      </c>
      <c r="C739" s="4" t="inlineStr">
        <is>
          <t>Ireland</t>
        </is>
      </c>
      <c r="D739" s="4" t="inlineStr">
        <is>
          <t>IE</t>
        </is>
      </c>
      <c r="E739" s="4" t="inlineStr">
        <is>
          <t>Consumo cíclico</t>
        </is>
      </c>
      <c r="F739" s="4" t="inlineStr">
        <is>
          <t>Packaging &amp; Containers</t>
        </is>
      </c>
      <c r="G739" s="4" t="inlineStr">
        <is>
          <t>NYQ</t>
        </is>
      </c>
      <c r="H739" s="4" t="inlineStr">
        <is>
          <t>USD</t>
        </is>
      </c>
      <c r="I739" s="5" t="n">
        <v>21749.342208</v>
      </c>
      <c r="J739" s="6">
        <f>INDEX(FX!$B:$B,MATCH(H739,FX!$A:$A,0))</f>
        <v/>
      </c>
      <c r="K739" s="5">
        <f>I739*J739</f>
        <v/>
      </c>
      <c r="L739" s="4">
        <f>IF(U739&lt;&gt;"",U739,IF(K739&gt;=Umbrales!$B$2,"Legendaria",IF(K739&gt;=Umbrales!$B$3,"Épica",IF(K739&gt;=Umbrales!$B$4,"Rara",IF(K739&gt;=Umbrales!$B$5,"Poco común","Común")))))</f>
        <v/>
      </c>
      <c r="M739" s="5" t="n">
        <v>31325.999104</v>
      </c>
      <c r="N739" s="5" t="n">
        <v>497</v>
      </c>
      <c r="O739" s="5">
        <f>IF(M739="","",M739*J739)</f>
        <v/>
      </c>
      <c r="P739" s="5">
        <f>IF(N739="","",N739*J739)</f>
        <v/>
      </c>
      <c r="Q739" s="7" t="n">
        <v>0.0436</v>
      </c>
      <c r="R739" s="8" t="n">
        <v>43.64737</v>
      </c>
      <c r="S739" s="4" t="inlineStr">
        <is>
          <t>SP500</t>
        </is>
      </c>
      <c r="T739" s="9" t="inlineStr">
        <is>
          <t>SI</t>
        </is>
      </c>
      <c r="U739" s="9" t="inlineStr"/>
      <c r="V739" s="10">
        <f>Umbrales!$B$9*(K739/1000)^Umbrales!$B$10</f>
        <v/>
      </c>
    </row>
    <row r="740">
      <c r="A740" s="4" t="inlineStr">
        <is>
          <t>EXE</t>
        </is>
      </c>
      <c r="B740" s="4" t="inlineStr">
        <is>
          <t>Expand Energy Corporation</t>
        </is>
      </c>
      <c r="C740" s="4" t="inlineStr">
        <is>
          <t>United States</t>
        </is>
      </c>
      <c r="D740" s="4" t="inlineStr">
        <is>
          <t>US</t>
        </is>
      </c>
      <c r="E740" s="4" t="inlineStr">
        <is>
          <t>Energía</t>
        </is>
      </c>
      <c r="F740" s="4" t="inlineStr">
        <is>
          <t>Oil &amp; Gas E&amp;P</t>
        </is>
      </c>
      <c r="G740" s="4" t="inlineStr">
        <is>
          <t>NMS</t>
        </is>
      </c>
      <c r="H740" s="4" t="inlineStr">
        <is>
          <t>USD</t>
        </is>
      </c>
      <c r="I740" s="5" t="n">
        <v>21743.509504</v>
      </c>
      <c r="J740" s="6">
        <f>INDEX(FX!$B:$B,MATCH(H740,FX!$A:$A,0))</f>
        <v/>
      </c>
      <c r="K740" s="5">
        <f>I740*J740</f>
        <v/>
      </c>
      <c r="L740" s="4">
        <f>IF(U740&lt;&gt;"",U740,IF(K740&gt;=Umbrales!$B$2,"Legendaria",IF(K740&gt;=Umbrales!$B$3,"Épica",IF(K740&gt;=Umbrales!$B$4,"Rara",IF(K740&gt;=Umbrales!$B$5,"Poco común","Común")))))</f>
        <v/>
      </c>
      <c r="M740" s="5" t="n">
        <v>12657.999872</v>
      </c>
      <c r="N740" s="5" t="n">
        <v>2780.999936</v>
      </c>
      <c r="O740" s="5">
        <f>IF(M740="","",M740*J740)</f>
        <v/>
      </c>
      <c r="P740" s="5">
        <f>IF(N740="","",N740*J740)</f>
        <v/>
      </c>
      <c r="Q740" s="7" t="n">
        <v>0.0249</v>
      </c>
      <c r="R740" s="8" t="n">
        <v>7.937991</v>
      </c>
      <c r="S740" s="4" t="inlineStr">
        <is>
          <t>SP500</t>
        </is>
      </c>
      <c r="T740" s="9" t="inlineStr">
        <is>
          <t>SI</t>
        </is>
      </c>
      <c r="U740" s="9" t="inlineStr"/>
      <c r="V740" s="10">
        <f>Umbrales!$B$9*(K740/1000)^Umbrales!$B$10</f>
        <v/>
      </c>
    </row>
    <row r="741">
      <c r="A741" s="4" t="inlineStr">
        <is>
          <t>GEBN.SW</t>
        </is>
      </c>
      <c r="B741" s="4" t="inlineStr">
        <is>
          <t>Geberit AG</t>
        </is>
      </c>
      <c r="C741" s="4" t="inlineStr">
        <is>
          <t>Switzerland</t>
        </is>
      </c>
      <c r="D741" s="4" t="inlineStr">
        <is>
          <t>CH</t>
        </is>
      </c>
      <c r="E741" s="4" t="inlineStr">
        <is>
          <t>Industria</t>
        </is>
      </c>
      <c r="F741" s="4" t="inlineStr">
        <is>
          <t>Building Products &amp; Equipment</t>
        </is>
      </c>
      <c r="G741" s="4" t="inlineStr">
        <is>
          <t>EBS</t>
        </is>
      </c>
      <c r="H741" s="4" t="inlineStr">
        <is>
          <t>CHF</t>
        </is>
      </c>
      <c r="I741" s="5" t="n">
        <v>18010.68544</v>
      </c>
      <c r="J741" s="6">
        <f>INDEX(FX!$B:$B,MATCH(H741,FX!$A:$A,0))</f>
        <v/>
      </c>
      <c r="K741" s="5">
        <f>I741*J741</f>
        <v/>
      </c>
      <c r="L741" s="4">
        <f>IF(U741&lt;&gt;"",U741,IF(K741&gt;=Umbrales!$B$2,"Legendaria",IF(K741&gt;=Umbrales!$B$3,"Épica",IF(K741&gt;=Umbrales!$B$4,"Rara",IF(K741&gt;=Umbrales!$B$5,"Poco común","Común")))))</f>
        <v/>
      </c>
      <c r="M741" s="5" t="n">
        <v>3208.699904</v>
      </c>
      <c r="N741" s="5" t="n">
        <v>622.8999679999999</v>
      </c>
      <c r="O741" s="5">
        <f>IF(M741="","",M741*J741)</f>
        <v/>
      </c>
      <c r="P741" s="5">
        <f>IF(N741="","",N741*J741)</f>
        <v/>
      </c>
      <c r="Q741" s="7" t="n">
        <v>0.0238</v>
      </c>
      <c r="R741" s="8" t="n">
        <v>29.512194</v>
      </c>
      <c r="S741" s="4" t="inlineStr">
        <is>
          <t>SMI</t>
        </is>
      </c>
      <c r="T741" s="9" t="inlineStr">
        <is>
          <t>SI</t>
        </is>
      </c>
      <c r="U741" s="9" t="inlineStr"/>
      <c r="V741" s="10">
        <f>Umbrales!$B$9*(K741/1000)^Umbrales!$B$10</f>
        <v/>
      </c>
    </row>
    <row r="742">
      <c r="A742" s="4" t="inlineStr">
        <is>
          <t>STE</t>
        </is>
      </c>
      <c r="B742" s="4" t="inlineStr">
        <is>
          <t>STERIS plc</t>
        </is>
      </c>
      <c r="C742" s="4" t="inlineStr">
        <is>
          <t>United States</t>
        </is>
      </c>
      <c r="D742" s="4" t="inlineStr">
        <is>
          <t>US</t>
        </is>
      </c>
      <c r="E742" s="4" t="inlineStr">
        <is>
          <t>Salud</t>
        </is>
      </c>
      <c r="F742" s="4" t="inlineStr">
        <is>
          <t>Medical Devices</t>
        </is>
      </c>
      <c r="G742" s="4" t="inlineStr">
        <is>
          <t>NYQ</t>
        </is>
      </c>
      <c r="H742" s="4" t="inlineStr">
        <is>
          <t>USD</t>
        </is>
      </c>
      <c r="I742" s="5" t="n">
        <v>21700.112384</v>
      </c>
      <c r="J742" s="6">
        <f>INDEX(FX!$B:$B,MATCH(H742,FX!$A:$A,0))</f>
        <v/>
      </c>
      <c r="K742" s="5">
        <f>I742*J742</f>
        <v/>
      </c>
      <c r="L742" s="4">
        <f>IF(U742&lt;&gt;"",U742,IF(K742&gt;=Umbrales!$B$2,"Legendaria",IF(K742&gt;=Umbrales!$B$3,"Épica",IF(K742&gt;=Umbrales!$B$4,"Rara",IF(K742&gt;=Umbrales!$B$5,"Poco común","Común")))))</f>
        <v/>
      </c>
      <c r="M742" s="5" t="n">
        <v>6037.499904</v>
      </c>
      <c r="N742" s="5" t="n">
        <v>805</v>
      </c>
      <c r="O742" s="5">
        <f>IF(M742="","",M742*J742)</f>
        <v/>
      </c>
      <c r="P742" s="5">
        <f>IF(N742="","",N742*J742)</f>
        <v/>
      </c>
      <c r="Q742" s="7" t="n">
        <v>0.0118</v>
      </c>
      <c r="R742" s="8" t="n">
        <v>27.275124</v>
      </c>
      <c r="S742" s="4" t="inlineStr">
        <is>
          <t>SP500</t>
        </is>
      </c>
      <c r="T742" s="9" t="inlineStr">
        <is>
          <t>SI</t>
        </is>
      </c>
      <c r="U742" s="9" t="inlineStr"/>
      <c r="V742" s="10">
        <f>Umbrales!$B$9*(K742/1000)^Umbrales!$B$10</f>
        <v/>
      </c>
    </row>
    <row r="743">
      <c r="A743" s="4" t="inlineStr">
        <is>
          <t>1038.HK</t>
        </is>
      </c>
      <c r="B743" s="4" t="inlineStr">
        <is>
          <t>CK Infrastructure Holdings Limited</t>
        </is>
      </c>
      <c r="C743" s="4" t="inlineStr">
        <is>
          <t>Hong Kong</t>
        </is>
      </c>
      <c r="D743" s="4" t="inlineStr">
        <is>
          <t>HK</t>
        </is>
      </c>
      <c r="E743" s="4" t="inlineStr">
        <is>
          <t>Servicios públicos</t>
        </is>
      </c>
      <c r="F743" s="4" t="inlineStr">
        <is>
          <t>Utilities - Regulated Electric</t>
        </is>
      </c>
      <c r="G743" s="4" t="inlineStr">
        <is>
          <t>HKG</t>
        </is>
      </c>
      <c r="H743" s="4" t="inlineStr">
        <is>
          <t>HKD</t>
        </is>
      </c>
      <c r="I743" s="5" t="n">
        <v>169821.782016</v>
      </c>
      <c r="J743" s="6">
        <f>INDEX(FX!$B:$B,MATCH(H743,FX!$A:$A,0))</f>
        <v/>
      </c>
      <c r="K743" s="5">
        <f>I743*J743</f>
        <v/>
      </c>
      <c r="L743" s="4">
        <f>IF(U743&lt;&gt;"",U743,IF(K743&gt;=Umbrales!$B$2,"Legendaria",IF(K743&gt;=Umbrales!$B$3,"Épica",IF(K743&gt;=Umbrales!$B$4,"Rara",IF(K743&gt;=Umbrales!$B$5,"Poco común","Común")))))</f>
        <v/>
      </c>
      <c r="M743" s="5" t="n">
        <v>4944</v>
      </c>
      <c r="N743" s="5" t="n">
        <v>25169.000448</v>
      </c>
      <c r="O743" s="5">
        <f>IF(M743="","",M743*J743)</f>
        <v/>
      </c>
      <c r="P743" s="5">
        <f>IF(N743="","",N743*J743)</f>
        <v/>
      </c>
      <c r="Q743" s="7" t="n">
        <v>0.039</v>
      </c>
      <c r="R743" s="8" t="n">
        <v>6.7535076</v>
      </c>
      <c r="S743" s="4" t="inlineStr">
        <is>
          <t>HANGSENG</t>
        </is>
      </c>
      <c r="T743" s="9" t="inlineStr">
        <is>
          <t>SI</t>
        </is>
      </c>
      <c r="U743" s="9" t="inlineStr"/>
      <c r="V743" s="10">
        <f>Umbrales!$B$9*(K743/1000)^Umbrales!$B$10</f>
        <v/>
      </c>
    </row>
    <row r="744">
      <c r="A744" s="4" t="inlineStr">
        <is>
          <t>SMCI</t>
        </is>
      </c>
      <c r="B744" s="4" t="inlineStr">
        <is>
          <t>Super Micro Computer, Inc.</t>
        </is>
      </c>
      <c r="C744" s="4" t="inlineStr">
        <is>
          <t>United States</t>
        </is>
      </c>
      <c r="D744" s="4" t="inlineStr">
        <is>
          <t>US</t>
        </is>
      </c>
      <c r="E744" s="4" t="inlineStr">
        <is>
          <t>Tecnología</t>
        </is>
      </c>
      <c r="F744" s="4" t="inlineStr">
        <is>
          <t>Computer Hardware</t>
        </is>
      </c>
      <c r="G744" s="4" t="inlineStr">
        <is>
          <t>NMS</t>
        </is>
      </c>
      <c r="H744" s="4" t="inlineStr">
        <is>
          <t>USD</t>
        </is>
      </c>
      <c r="I744" s="5" t="n">
        <v>21618.495488</v>
      </c>
      <c r="J744" s="6">
        <f>INDEX(FX!$B:$B,MATCH(H744,FX!$A:$A,0))</f>
        <v/>
      </c>
      <c r="K744" s="5">
        <f>I744*J744</f>
        <v/>
      </c>
      <c r="L744" s="4">
        <f>IF(U744&lt;&gt;"",U744,IF(K744&gt;=Umbrales!$B$2,"Legendaria",IF(K744&gt;=Umbrales!$B$3,"Épica",IF(K744&gt;=Umbrales!$B$4,"Rara",IF(K744&gt;=Umbrales!$B$5,"Poco común","Común")))))</f>
        <v/>
      </c>
      <c r="M744" s="5" t="n">
        <v>39063.072768</v>
      </c>
      <c r="N744" s="5" t="n">
        <v>2195.842048</v>
      </c>
      <c r="O744" s="5">
        <f>IF(M744="","",M744*J744)</f>
        <v/>
      </c>
      <c r="P744" s="5">
        <f>IF(N744="","",N744*J744)</f>
        <v/>
      </c>
      <c r="Q744" s="7" t="n">
        <v>0</v>
      </c>
      <c r="R744" s="8" t="n">
        <v>11.177257</v>
      </c>
      <c r="S744" s="4" t="inlineStr">
        <is>
          <t>SP500</t>
        </is>
      </c>
      <c r="T744" s="9" t="inlineStr">
        <is>
          <t>SI</t>
        </is>
      </c>
      <c r="U744" s="9" t="inlineStr"/>
      <c r="V744" s="10">
        <f>Umbrales!$B$9*(K744/1000)^Umbrales!$B$10</f>
        <v/>
      </c>
    </row>
    <row r="745">
      <c r="A745" s="4" t="inlineStr">
        <is>
          <t>TROW</t>
        </is>
      </c>
      <c r="B745" s="4" t="inlineStr">
        <is>
          <t>T. Rowe Price Group, Inc.</t>
        </is>
      </c>
      <c r="C745" s="4" t="inlineStr">
        <is>
          <t>United States</t>
        </is>
      </c>
      <c r="D745" s="4" t="inlineStr">
        <is>
          <t>US</t>
        </is>
      </c>
      <c r="E745" s="4" t="inlineStr">
        <is>
          <t>Finanzas</t>
        </is>
      </c>
      <c r="F745" s="4" t="inlineStr">
        <is>
          <t>Asset Management</t>
        </is>
      </c>
      <c r="G745" s="4" t="inlineStr">
        <is>
          <t>NMS</t>
        </is>
      </c>
      <c r="H745" s="4" t="inlineStr">
        <is>
          <t>USD</t>
        </is>
      </c>
      <c r="I745" s="5" t="n">
        <v>21597.16352</v>
      </c>
      <c r="J745" s="6">
        <f>INDEX(FX!$B:$B,MATCH(H745,FX!$A:$A,0))</f>
        <v/>
      </c>
      <c r="K745" s="5">
        <f>I745*J745</f>
        <v/>
      </c>
      <c r="L745" s="4">
        <f>IF(U745&lt;&gt;"",U745,IF(K745&gt;=Umbrales!$B$2,"Legendaria",IF(K745&gt;=Umbrales!$B$3,"Épica",IF(K745&gt;=Umbrales!$B$4,"Rara",IF(K745&gt;=Umbrales!$B$5,"Poco común","Común")))))</f>
        <v/>
      </c>
      <c r="M745" s="5" t="n">
        <v>7592</v>
      </c>
      <c r="N745" s="5" t="n">
        <v>2167.300096</v>
      </c>
      <c r="O745" s="5">
        <f>IF(M745="","",M745*J745)</f>
        <v/>
      </c>
      <c r="P745" s="5">
        <f>IF(N745="","",N745*J745)</f>
        <v/>
      </c>
      <c r="Q745" s="7" t="n">
        <v>0.0513</v>
      </c>
      <c r="R745" s="8" t="n">
        <v>10.341676</v>
      </c>
      <c r="S745" s="4" t="inlineStr">
        <is>
          <t>SP500</t>
        </is>
      </c>
      <c r="T745" s="9" t="inlineStr">
        <is>
          <t>SI</t>
        </is>
      </c>
      <c r="U745" s="9" t="inlineStr"/>
      <c r="V745" s="10">
        <f>Umbrales!$B$9*(K745/1000)^Umbrales!$B$10</f>
        <v/>
      </c>
    </row>
    <row r="746">
      <c r="A746" s="4" t="inlineStr">
        <is>
          <t>DOW</t>
        </is>
      </c>
      <c r="B746" s="4" t="inlineStr">
        <is>
          <t>Dow Inc.</t>
        </is>
      </c>
      <c r="C746" s="4" t="inlineStr">
        <is>
          <t>United States</t>
        </is>
      </c>
      <c r="D746" s="4" t="inlineStr">
        <is>
          <t>US</t>
        </is>
      </c>
      <c r="E746" s="4" t="inlineStr">
        <is>
          <t>Materiales</t>
        </is>
      </c>
      <c r="F746" s="4" t="inlineStr">
        <is>
          <t>Chemicals</t>
        </is>
      </c>
      <c r="G746" s="4" t="inlineStr">
        <is>
          <t>NYQ</t>
        </is>
      </c>
      <c r="H746" s="4" t="inlineStr">
        <is>
          <t>USD</t>
        </is>
      </c>
      <c r="I746" s="5" t="n">
        <v>21572.706304</v>
      </c>
      <c r="J746" s="6">
        <f>INDEX(FX!$B:$B,MATCH(H746,FX!$A:$A,0))</f>
        <v/>
      </c>
      <c r="K746" s="5">
        <f>I746*J746</f>
        <v/>
      </c>
      <c r="L746" s="4">
        <f>IF(U746&lt;&gt;"",U746,IF(K746&gt;=Umbrales!$B$2,"Legendaria",IF(K746&gt;=Umbrales!$B$3,"Épica",IF(K746&gt;=Umbrales!$B$4,"Rara",IF(K746&gt;=Umbrales!$B$5,"Poco común","Común")))))</f>
        <v/>
      </c>
      <c r="M746" s="5" t="n">
        <v>41318.998016</v>
      </c>
      <c r="N746" s="5" t="n">
        <v>-1300.999936</v>
      </c>
      <c r="O746" s="5">
        <f>IF(M746="","",M746*J746)</f>
        <v/>
      </c>
      <c r="P746" s="5">
        <f>IF(N746="","",N746*J746)</f>
        <v/>
      </c>
      <c r="Q746" s="7" t="n">
        <v>0.0491</v>
      </c>
      <c r="R746" s="8" t="n"/>
      <c r="S746" s="4" t="inlineStr">
        <is>
          <t>SP500</t>
        </is>
      </c>
      <c r="T746" s="9" t="inlineStr">
        <is>
          <t>SI</t>
        </is>
      </c>
      <c r="U746" s="9" t="inlineStr"/>
      <c r="V746" s="10">
        <f>Umbrales!$B$9*(K746/1000)^Umbrales!$B$10</f>
        <v/>
      </c>
    </row>
    <row r="747">
      <c r="A747" s="4" t="inlineStr">
        <is>
          <t>MTX.DE</t>
        </is>
      </c>
      <c r="B747" s="4" t="inlineStr">
        <is>
          <t>MTU Aero Engines AG</t>
        </is>
      </c>
      <c r="C747" s="4" t="inlineStr">
        <is>
          <t>Germany</t>
        </is>
      </c>
      <c r="D747" s="4" t="inlineStr">
        <is>
          <t>DE</t>
        </is>
      </c>
      <c r="E747" s="4" t="inlineStr">
        <is>
          <t>Industria</t>
        </is>
      </c>
      <c r="F747" s="4" t="inlineStr">
        <is>
          <t>Aerospace &amp; Defense</t>
        </is>
      </c>
      <c r="G747" s="4" t="inlineStr">
        <is>
          <t>GER</t>
        </is>
      </c>
      <c r="H747" s="4" t="inlineStr">
        <is>
          <t>EUR</t>
        </is>
      </c>
      <c r="I747" s="5" t="n">
        <v>19210.262528</v>
      </c>
      <c r="J747" s="6">
        <f>INDEX(FX!$B:$B,MATCH(H747,FX!$A:$A,0))</f>
        <v/>
      </c>
      <c r="K747" s="5">
        <f>I747*J747</f>
        <v/>
      </c>
      <c r="L747" s="4">
        <f>IF(U747&lt;&gt;"",U747,IF(K747&gt;=Umbrales!$B$2,"Legendaria",IF(K747&gt;=Umbrales!$B$3,"Épica",IF(K747&gt;=Umbrales!$B$4,"Rara",IF(K747&gt;=Umbrales!$B$5,"Poco común","Común")))))</f>
        <v/>
      </c>
      <c r="M747" s="5" t="n">
        <v>9232</v>
      </c>
      <c r="N747" s="5" t="n">
        <v>942</v>
      </c>
      <c r="O747" s="5">
        <f>IF(M747="","",M747*J747)</f>
        <v/>
      </c>
      <c r="P747" s="5">
        <f>IF(N747="","",N747*J747)</f>
        <v/>
      </c>
      <c r="Q747" s="7" t="n">
        <v>0.0103</v>
      </c>
      <c r="R747" s="8" t="n">
        <v>20.793003</v>
      </c>
      <c r="S747" s="4" t="inlineStr">
        <is>
          <t>DAX40</t>
        </is>
      </c>
      <c r="T747" s="9" t="inlineStr">
        <is>
          <t>SI</t>
        </is>
      </c>
      <c r="U747" s="9" t="inlineStr"/>
      <c r="V747" s="10">
        <f>Umbrales!$B$9*(K747/1000)^Umbrales!$B$10</f>
        <v/>
      </c>
    </row>
    <row r="748">
      <c r="A748" s="4" t="inlineStr">
        <is>
          <t>CCH.L</t>
        </is>
      </c>
      <c r="B748" s="4" t="inlineStr">
        <is>
          <t>Coca-Cola HBC AG</t>
        </is>
      </c>
      <c r="C748" s="4" t="inlineStr">
        <is>
          <t>Switzerland</t>
        </is>
      </c>
      <c r="D748" s="4" t="inlineStr">
        <is>
          <t>CH</t>
        </is>
      </c>
      <c r="E748" s="4" t="inlineStr">
        <is>
          <t>Consumo básico</t>
        </is>
      </c>
      <c r="F748" s="4" t="inlineStr">
        <is>
          <t>Beverages - Non-Alcoholic</t>
        </is>
      </c>
      <c r="G748" s="4" t="inlineStr">
        <is>
          <t>LSE</t>
        </is>
      </c>
      <c r="H748" s="4" t="inlineStr">
        <is>
          <t>GBP</t>
        </is>
      </c>
      <c r="I748" s="5" t="n">
        <v>16204.09344</v>
      </c>
      <c r="J748" s="6">
        <f>INDEX(FX!$B:$B,MATCH(H748,FX!$A:$A,0))</f>
        <v/>
      </c>
      <c r="K748" s="5">
        <f>I748*J748</f>
        <v/>
      </c>
      <c r="L748" s="4">
        <f>IF(U748&lt;&gt;"",U748,IF(K748&gt;=Umbrales!$B$2,"Legendaria",IF(K748&gt;=Umbrales!$B$3,"Épica",IF(K748&gt;=Umbrales!$B$4,"Rara",IF(K748&gt;=Umbrales!$B$5,"Poco común","Común")))))</f>
        <v/>
      </c>
      <c r="M748" s="5" t="n">
        <v>12213.600256</v>
      </c>
      <c r="N748" s="5" t="n">
        <v>994.2</v>
      </c>
      <c r="O748" s="5">
        <f>IF(M748="","",M748*J748)</f>
        <v/>
      </c>
      <c r="P748" s="5">
        <f>IF(N748="","",N748*J748)</f>
        <v/>
      </c>
      <c r="Q748" s="7" t="n">
        <v>0.024</v>
      </c>
      <c r="R748" s="8" t="n">
        <v>18.759495</v>
      </c>
      <c r="S748" s="4" t="inlineStr">
        <is>
          <t>FTSE100</t>
        </is>
      </c>
      <c r="T748" s="9" t="inlineStr">
        <is>
          <t>SI</t>
        </is>
      </c>
      <c r="U748" s="9" t="inlineStr"/>
      <c r="V748" s="10">
        <f>Umbrales!$B$9*(K748/1000)^Umbrales!$B$10</f>
        <v/>
      </c>
    </row>
    <row r="749">
      <c r="A749" s="4" t="inlineStr">
        <is>
          <t>PHM</t>
        </is>
      </c>
      <c r="B749" s="4" t="inlineStr">
        <is>
          <t>PulteGroup, Inc.</t>
        </is>
      </c>
      <c r="C749" s="4" t="inlineStr">
        <is>
          <t>United States</t>
        </is>
      </c>
      <c r="D749" s="4" t="inlineStr">
        <is>
          <t>US</t>
        </is>
      </c>
      <c r="E749" s="4" t="inlineStr">
        <is>
          <t>Consumo cíclico</t>
        </is>
      </c>
      <c r="F749" s="4" t="inlineStr">
        <is>
          <t>Residential Construction</t>
        </is>
      </c>
      <c r="G749" s="4" t="inlineStr">
        <is>
          <t>NYQ</t>
        </is>
      </c>
      <c r="H749" s="4" t="inlineStr">
        <is>
          <t>USD</t>
        </is>
      </c>
      <c r="I749" s="5" t="n">
        <v>21404.952576</v>
      </c>
      <c r="J749" s="6">
        <f>INDEX(FX!$B:$B,MATCH(H749,FX!$A:$A,0))</f>
        <v/>
      </c>
      <c r="K749" s="5">
        <f>I749*J749</f>
        <v/>
      </c>
      <c r="L749" s="4">
        <f>IF(U749&lt;&gt;"",U749,IF(K749&gt;=Umbrales!$B$2,"Legendaria",IF(K749&gt;=Umbrales!$B$3,"Épica",IF(K749&gt;=Umbrales!$B$4,"Rara",IF(K749&gt;=Umbrales!$B$5,"Poco común","Común")))))</f>
        <v/>
      </c>
      <c r="M749" s="5" t="n">
        <v>16407.07584</v>
      </c>
      <c r="N749" s="5" t="n">
        <v>1906.445952</v>
      </c>
      <c r="O749" s="5">
        <f>IF(M749="","",M749*J749)</f>
        <v/>
      </c>
      <c r="P749" s="5">
        <f>IF(N749="","",N749*J749)</f>
        <v/>
      </c>
      <c r="Q749" s="7" t="n">
        <v>0.009300000000000001</v>
      </c>
      <c r="R749" s="8" t="n">
        <v>11.705208</v>
      </c>
      <c r="S749" s="4" t="inlineStr">
        <is>
          <t>SP500</t>
        </is>
      </c>
      <c r="T749" s="9" t="inlineStr">
        <is>
          <t>SI</t>
        </is>
      </c>
      <c r="U749" s="9" t="inlineStr"/>
      <c r="V749" s="10">
        <f>Umbrales!$B$9*(K749/1000)^Umbrales!$B$10</f>
        <v/>
      </c>
    </row>
    <row r="750">
      <c r="A750" s="4" t="inlineStr">
        <is>
          <t>SGH.AX</t>
        </is>
      </c>
      <c r="B750" s="4" t="inlineStr">
        <is>
          <t>SGH Limited</t>
        </is>
      </c>
      <c r="C750" s="4" t="inlineStr"/>
      <c r="D750" s="4" t="inlineStr">
        <is>
          <t>UN</t>
        </is>
      </c>
      <c r="E750" s="4" t="inlineStr">
        <is>
          <t>Otros</t>
        </is>
      </c>
      <c r="F750" s="4" t="inlineStr"/>
      <c r="G750" s="4" t="inlineStr">
        <is>
          <t>ASX</t>
        </is>
      </c>
      <c r="H750" s="4" t="inlineStr">
        <is>
          <t>AUD</t>
        </is>
      </c>
      <c r="I750" s="5" t="n">
        <v>30876.862464</v>
      </c>
      <c r="J750" s="6">
        <f>INDEX(FX!$B:$B,MATCH(H750,FX!$A:$A,0))</f>
        <v/>
      </c>
      <c r="K750" s="5">
        <f>I750*J750</f>
        <v/>
      </c>
      <c r="L750" s="4">
        <f>IF(U750&lt;&gt;"",U750,IF(K750&gt;=Umbrales!$B$2,"Legendaria",IF(K750&gt;=Umbrales!$B$3,"Épica",IF(K750&gt;=Umbrales!$B$4,"Rara",IF(K750&gt;=Umbrales!$B$5,"Poco común","Común")))))</f>
        <v/>
      </c>
      <c r="M750" s="5" t="n"/>
      <c r="N750" s="5" t="n"/>
      <c r="O750" s="5">
        <f>IF(M750="","",M750*J750)</f>
        <v/>
      </c>
      <c r="P750" s="5">
        <f>IF(N750="","",N750*J750)</f>
        <v/>
      </c>
      <c r="Q750" s="7" t="n"/>
      <c r="R750" s="8" t="n">
        <v>23.639751</v>
      </c>
      <c r="S750" s="4" t="inlineStr">
        <is>
          <t>ASX50</t>
        </is>
      </c>
      <c r="T750" s="9" t="inlineStr">
        <is>
          <t>SI</t>
        </is>
      </c>
      <c r="U750" s="9" t="inlineStr"/>
      <c r="V750" s="10">
        <f>Umbrales!$B$9*(K750/1000)^Umbrales!$B$10</f>
        <v/>
      </c>
    </row>
    <row r="751">
      <c r="A751" s="4" t="inlineStr">
        <is>
          <t>KEY</t>
        </is>
      </c>
      <c r="B751" s="4" t="inlineStr">
        <is>
          <t>KeyCorp</t>
        </is>
      </c>
      <c r="C751" s="4" t="inlineStr">
        <is>
          <t>United States</t>
        </is>
      </c>
      <c r="D751" s="4" t="inlineStr">
        <is>
          <t>US</t>
        </is>
      </c>
      <c r="E751" s="4" t="inlineStr">
        <is>
          <t>Finanzas</t>
        </is>
      </c>
      <c r="F751" s="4" t="inlineStr">
        <is>
          <t>Banks - Regional</t>
        </is>
      </c>
      <c r="G751" s="4" t="inlineStr">
        <is>
          <t>NYQ</t>
        </is>
      </c>
      <c r="H751" s="4" t="inlineStr">
        <is>
          <t>USD</t>
        </is>
      </c>
      <c r="I751" s="5" t="n">
        <v>21369.249792</v>
      </c>
      <c r="J751" s="6">
        <f>INDEX(FX!$B:$B,MATCH(H751,FX!$A:$A,0))</f>
        <v/>
      </c>
      <c r="K751" s="5">
        <f>I751*J751</f>
        <v/>
      </c>
      <c r="L751" s="4">
        <f>IF(U751&lt;&gt;"",U751,IF(K751&gt;=Umbrales!$B$2,"Legendaria",IF(K751&gt;=Umbrales!$B$3,"Épica",IF(K751&gt;=Umbrales!$B$4,"Rara",IF(K751&gt;=Umbrales!$B$5,"Poco común","Común")))))</f>
        <v/>
      </c>
      <c r="M751" s="5" t="n">
        <v>7370.999808</v>
      </c>
      <c r="N751" s="5" t="n">
        <v>1886</v>
      </c>
      <c r="O751" s="5">
        <f>IF(M751="","",M751*J751)</f>
        <v/>
      </c>
      <c r="P751" s="5">
        <f>IF(N751="","",N751*J751)</f>
        <v/>
      </c>
      <c r="Q751" s="7" t="n">
        <v>0.0412</v>
      </c>
      <c r="R751" s="8" t="n">
        <v>11.7105255</v>
      </c>
      <c r="S751" s="4" t="inlineStr">
        <is>
          <t>SP500</t>
        </is>
      </c>
      <c r="T751" s="9" t="inlineStr">
        <is>
          <t>SI</t>
        </is>
      </c>
      <c r="U751" s="9" t="inlineStr"/>
      <c r="V751" s="10">
        <f>Umbrales!$B$9*(K751/1000)^Umbrales!$B$10</f>
        <v/>
      </c>
    </row>
    <row r="752">
      <c r="A752" s="4" t="inlineStr">
        <is>
          <t>EIX</t>
        </is>
      </c>
      <c r="B752" s="4" t="inlineStr">
        <is>
          <t>Edison International</t>
        </is>
      </c>
      <c r="C752" s="4" t="inlineStr">
        <is>
          <t>United States</t>
        </is>
      </c>
      <c r="D752" s="4" t="inlineStr">
        <is>
          <t>US</t>
        </is>
      </c>
      <c r="E752" s="4" t="inlineStr">
        <is>
          <t>Servicios públicos</t>
        </is>
      </c>
      <c r="F752" s="4" t="inlineStr">
        <is>
          <t>Utilities - Regulated Electric</t>
        </is>
      </c>
      <c r="G752" s="4" t="inlineStr">
        <is>
          <t>NYQ</t>
        </is>
      </c>
      <c r="H752" s="4" t="inlineStr">
        <is>
          <t>USD</t>
        </is>
      </c>
      <c r="I752" s="5" t="n">
        <v>21299.453952</v>
      </c>
      <c r="J752" s="6">
        <f>INDEX(FX!$B:$B,MATCH(H752,FX!$A:$A,0))</f>
        <v/>
      </c>
      <c r="K752" s="5">
        <f>I752*J752</f>
        <v/>
      </c>
      <c r="L752" s="4">
        <f>IF(U752&lt;&gt;"",U752,IF(K752&gt;=Umbrales!$B$2,"Legendaria",IF(K752&gt;=Umbrales!$B$3,"Épica",IF(K752&gt;=Umbrales!$B$4,"Rara",IF(K752&gt;=Umbrales!$B$5,"Poco común","Común")))))</f>
        <v/>
      </c>
      <c r="M752" s="5" t="n">
        <v>19423.000576</v>
      </c>
      <c r="N752" s="5" t="n">
        <v>3744</v>
      </c>
      <c r="O752" s="5">
        <f>IF(M752="","",M752*J752)</f>
        <v/>
      </c>
      <c r="P752" s="5">
        <f>IF(N752="","",N752*J752)</f>
        <v/>
      </c>
      <c r="Q752" s="7" t="n">
        <v>0.0633</v>
      </c>
      <c r="R752" s="8" t="n">
        <v>5.7120743</v>
      </c>
      <c r="S752" s="4" t="inlineStr">
        <is>
          <t>SP500</t>
        </is>
      </c>
      <c r="T752" s="9" t="inlineStr">
        <is>
          <t>SI</t>
        </is>
      </c>
      <c r="U752" s="9" t="inlineStr"/>
      <c r="V752" s="10">
        <f>Umbrales!$B$9*(K752/1000)^Umbrales!$B$10</f>
        <v/>
      </c>
    </row>
    <row r="753">
      <c r="A753" s="4" t="inlineStr">
        <is>
          <t>TRN.MI</t>
        </is>
      </c>
      <c r="B753" s="4" t="inlineStr">
        <is>
          <t>Terna S.p.A.</t>
        </is>
      </c>
      <c r="C753" s="4" t="inlineStr">
        <is>
          <t>Italy</t>
        </is>
      </c>
      <c r="D753" s="4" t="inlineStr">
        <is>
          <t>IT</t>
        </is>
      </c>
      <c r="E753" s="4" t="inlineStr">
        <is>
          <t>Servicios públicos</t>
        </is>
      </c>
      <c r="F753" s="4" t="inlineStr">
        <is>
          <t>Utilities - Regulated Electric</t>
        </is>
      </c>
      <c r="G753" s="4" t="inlineStr">
        <is>
          <t>MIL</t>
        </is>
      </c>
      <c r="H753" s="4" t="inlineStr">
        <is>
          <t>EUR</t>
        </is>
      </c>
      <c r="I753" s="5" t="n">
        <v>18956.61568</v>
      </c>
      <c r="J753" s="6">
        <f>INDEX(FX!$B:$B,MATCH(H753,FX!$A:$A,0))</f>
        <v/>
      </c>
      <c r="K753" s="5">
        <f>I753*J753</f>
        <v/>
      </c>
      <c r="L753" s="4">
        <f>IF(U753&lt;&gt;"",U753,IF(K753&gt;=Umbrales!$B$2,"Legendaria",IF(K753&gt;=Umbrales!$B$3,"Épica",IF(K753&gt;=Umbrales!$B$4,"Rara",IF(K753&gt;=Umbrales!$B$5,"Poco común","Común")))))</f>
        <v/>
      </c>
      <c r="M753" s="5" t="n">
        <v>4217.299968</v>
      </c>
      <c r="N753" s="5" t="n">
        <v>1066</v>
      </c>
      <c r="O753" s="5">
        <f>IF(M753="","",M753*J753)</f>
        <v/>
      </c>
      <c r="P753" s="5">
        <f>IF(N753="","",N753*J753)</f>
        <v/>
      </c>
      <c r="Q753" s="7" t="n">
        <v>0.0428</v>
      </c>
      <c r="R753" s="8" t="n">
        <v>18.533333</v>
      </c>
      <c r="S753" s="4" t="inlineStr">
        <is>
          <t>FTSEMIB</t>
        </is>
      </c>
      <c r="T753" s="9" t="inlineStr">
        <is>
          <t>SI</t>
        </is>
      </c>
      <c r="U753" s="9" t="inlineStr"/>
      <c r="V753" s="10">
        <f>Umbrales!$B$9*(K753/1000)^Umbrales!$B$10</f>
        <v/>
      </c>
    </row>
    <row r="754">
      <c r="A754" s="4" t="inlineStr">
        <is>
          <t>BG</t>
        </is>
      </c>
      <c r="B754" s="4" t="inlineStr">
        <is>
          <t>Bunge Global SA</t>
        </is>
      </c>
      <c r="C754" s="4" t="inlineStr">
        <is>
          <t>United States</t>
        </is>
      </c>
      <c r="D754" s="4" t="inlineStr">
        <is>
          <t>US</t>
        </is>
      </c>
      <c r="E754" s="4" t="inlineStr">
        <is>
          <t>Consumo básico</t>
        </is>
      </c>
      <c r="F754" s="4" t="inlineStr">
        <is>
          <t>Farm Products</t>
        </is>
      </c>
      <c r="G754" s="4" t="inlineStr">
        <is>
          <t>NYQ</t>
        </is>
      </c>
      <c r="H754" s="4" t="inlineStr">
        <is>
          <t>USD</t>
        </is>
      </c>
      <c r="I754" s="5" t="n">
        <v>20997.658624</v>
      </c>
      <c r="J754" s="6">
        <f>INDEX(FX!$B:$B,MATCH(H754,FX!$A:$A,0))</f>
        <v/>
      </c>
      <c r="K754" s="5">
        <f>I754*J754</f>
        <v/>
      </c>
      <c r="L754" s="4">
        <f>IF(U754&lt;&gt;"",U754,IF(K754&gt;=Umbrales!$B$2,"Legendaria",IF(K754&gt;=Umbrales!$B$3,"Épica",IF(K754&gt;=Umbrales!$B$4,"Rara",IF(K754&gt;=Umbrales!$B$5,"Poco común","Común")))))</f>
        <v/>
      </c>
      <c r="M754" s="5" t="n">
        <v>91818.99980799999</v>
      </c>
      <c r="N754" s="5" t="n">
        <v>1010</v>
      </c>
      <c r="O754" s="5">
        <f>IF(M754="","",M754*J754)</f>
        <v/>
      </c>
      <c r="P754" s="5">
        <f>IF(N754="","",N754*J754)</f>
        <v/>
      </c>
      <c r="Q754" s="7" t="n">
        <v>0.0268</v>
      </c>
      <c r="R754" s="8" t="n">
        <v>21.514763</v>
      </c>
      <c r="S754" s="4" t="inlineStr">
        <is>
          <t>SP500</t>
        </is>
      </c>
      <c r="T754" s="9" t="inlineStr">
        <is>
          <t>SI</t>
        </is>
      </c>
      <c r="U754" s="9" t="inlineStr"/>
      <c r="V754" s="10">
        <f>Umbrales!$B$9*(K754/1000)^Umbrales!$B$10</f>
        <v/>
      </c>
    </row>
    <row r="755">
      <c r="A755" s="4" t="inlineStr">
        <is>
          <t>PTC</t>
        </is>
      </c>
      <c r="B755" s="4" t="inlineStr">
        <is>
          <t>PTC Inc.</t>
        </is>
      </c>
      <c r="C755" s="4" t="inlineStr">
        <is>
          <t>United States</t>
        </is>
      </c>
      <c r="D755" s="4" t="inlineStr">
        <is>
          <t>US</t>
        </is>
      </c>
      <c r="E755" s="4" t="inlineStr">
        <is>
          <t>Tecnología</t>
        </is>
      </c>
      <c r="F755" s="4" t="inlineStr">
        <is>
          <t>Software - Application</t>
        </is>
      </c>
      <c r="G755" s="4" t="inlineStr">
        <is>
          <t>NMS</t>
        </is>
      </c>
      <c r="H755" s="4" t="inlineStr">
        <is>
          <t>USD</t>
        </is>
      </c>
      <c r="I755" s="5" t="n">
        <v>20989.919232</v>
      </c>
      <c r="J755" s="6">
        <f>INDEX(FX!$B:$B,MATCH(H755,FX!$A:$A,0))</f>
        <v/>
      </c>
      <c r="K755" s="5">
        <f>I755*J755</f>
        <v/>
      </c>
      <c r="L755" s="4">
        <f>IF(U755&lt;&gt;"",U755,IF(K755&gt;=Umbrales!$B$2,"Legendaria",IF(K755&gt;=Umbrales!$B$3,"Épica",IF(K755&gt;=Umbrales!$B$4,"Rara",IF(K755&gt;=Umbrales!$B$5,"Poco común","Común")))))</f>
        <v/>
      </c>
      <c r="M755" s="5" t="n">
        <v>2953.971968</v>
      </c>
      <c r="N755" s="5" t="n">
        <v>1223.814016</v>
      </c>
      <c r="O755" s="5">
        <f>IF(M755="","",M755*J755)</f>
        <v/>
      </c>
      <c r="P755" s="5">
        <f>IF(N755="","",N755*J755)</f>
        <v/>
      </c>
      <c r="Q755" s="7" t="n">
        <v>0</v>
      </c>
      <c r="R755" s="8" t="n">
        <v>18.777454</v>
      </c>
      <c r="S755" s="4" t="inlineStr">
        <is>
          <t>SP500</t>
        </is>
      </c>
      <c r="T755" s="9" t="inlineStr">
        <is>
          <t>SI</t>
        </is>
      </c>
      <c r="U755" s="9" t="inlineStr"/>
      <c r="V755" s="10">
        <f>Umbrales!$B$9*(K755/1000)^Umbrales!$B$10</f>
        <v/>
      </c>
    </row>
    <row r="756">
      <c r="A756" s="4" t="inlineStr">
        <is>
          <t>NRG</t>
        </is>
      </c>
      <c r="B756" s="4" t="inlineStr">
        <is>
          <t>NRG Energy, Inc.</t>
        </is>
      </c>
      <c r="C756" s="4" t="inlineStr">
        <is>
          <t>United States</t>
        </is>
      </c>
      <c r="D756" s="4" t="inlineStr">
        <is>
          <t>US</t>
        </is>
      </c>
      <c r="E756" s="4" t="inlineStr">
        <is>
          <t>Servicios públicos</t>
        </is>
      </c>
      <c r="F756" s="4" t="inlineStr">
        <is>
          <t>Utilities - Independent Power Producers</t>
        </is>
      </c>
      <c r="G756" s="4" t="inlineStr">
        <is>
          <t>NYQ</t>
        </is>
      </c>
      <c r="H756" s="4" t="inlineStr">
        <is>
          <t>USD</t>
        </is>
      </c>
      <c r="I756" s="5" t="n">
        <v>20910.686208</v>
      </c>
      <c r="J756" s="6">
        <f>INDEX(FX!$B:$B,MATCH(H756,FX!$A:$A,0))</f>
        <v/>
      </c>
      <c r="K756" s="5">
        <f>I756*J756</f>
        <v/>
      </c>
      <c r="L756" s="4">
        <f>IF(U756&lt;&gt;"",U756,IF(K756&gt;=Umbrales!$B$2,"Legendaria",IF(K756&gt;=Umbrales!$B$3,"Épica",IF(K756&gt;=Umbrales!$B$4,"Rara",IF(K756&gt;=Umbrales!$B$5,"Poco común","Común")))))</f>
        <v/>
      </c>
      <c r="M756" s="5" t="n">
        <v>33124.999168</v>
      </c>
      <c r="N756" s="5" t="n">
        <v>782</v>
      </c>
      <c r="O756" s="5">
        <f>IF(M756="","",M756*J756)</f>
        <v/>
      </c>
      <c r="P756" s="5">
        <f>IF(N756="","",N756*J756)</f>
        <v/>
      </c>
      <c r="Q756" s="7" t="n">
        <v>0.0177</v>
      </c>
      <c r="R756" s="8" t="n">
        <v>27.708914</v>
      </c>
      <c r="S756" s="4" t="inlineStr">
        <is>
          <t>SP500</t>
        </is>
      </c>
      <c r="T756" s="9" t="inlineStr">
        <is>
          <t>SI</t>
        </is>
      </c>
      <c r="U756" s="9" t="inlineStr"/>
      <c r="V756" s="10">
        <f>Umbrales!$B$9*(K756/1000)^Umbrales!$B$10</f>
        <v/>
      </c>
    </row>
    <row r="757">
      <c r="A757" s="4" t="inlineStr">
        <is>
          <t>TEF.MC</t>
        </is>
      </c>
      <c r="B757" s="4" t="inlineStr">
        <is>
          <t>Telefónica, S.A.</t>
        </is>
      </c>
      <c r="C757" s="4" t="inlineStr">
        <is>
          <t>Spain</t>
        </is>
      </c>
      <c r="D757" s="4" t="inlineStr">
        <is>
          <t>ES</t>
        </is>
      </c>
      <c r="E757" s="4" t="inlineStr">
        <is>
          <t>Comunicación</t>
        </is>
      </c>
      <c r="F757" s="4" t="inlineStr">
        <is>
          <t>Telecom Services</t>
        </is>
      </c>
      <c r="G757" s="4" t="inlineStr">
        <is>
          <t>MCE</t>
        </is>
      </c>
      <c r="H757" s="4" t="inlineStr">
        <is>
          <t>EUR</t>
        </is>
      </c>
      <c r="I757" s="5" t="n">
        <v>18629.521408</v>
      </c>
      <c r="J757" s="6">
        <f>INDEX(FX!$B:$B,MATCH(H757,FX!$A:$A,0))</f>
        <v/>
      </c>
      <c r="K757" s="5">
        <f>I757*J757</f>
        <v/>
      </c>
      <c r="L757" s="4">
        <f>IF(U757&lt;&gt;"",U757,IF(K757&gt;=Umbrales!$B$2,"Legendaria",IF(K757&gt;=Umbrales!$B$3,"Épica",IF(K757&gt;=Umbrales!$B$4,"Rara",IF(K757&gt;=Umbrales!$B$5,"Poco común","Común")))))</f>
        <v/>
      </c>
      <c r="M757" s="5" t="n">
        <v>36238.999552</v>
      </c>
      <c r="N757" s="5" t="n">
        <v>-2524.999936</v>
      </c>
      <c r="O757" s="5">
        <f>IF(M757="","",M757*J757)</f>
        <v/>
      </c>
      <c r="P757" s="5">
        <f>IF(N757="","",N757*J757)</f>
        <v/>
      </c>
      <c r="Q757" s="7" t="n">
        <v>0.04650000000000001</v>
      </c>
      <c r="R757" s="8" t="n"/>
      <c r="S757" s="4" t="inlineStr">
        <is>
          <t>IBEX35</t>
        </is>
      </c>
      <c r="T757" s="9" t="inlineStr">
        <is>
          <t>SI</t>
        </is>
      </c>
      <c r="U757" s="9" t="inlineStr"/>
      <c r="V757" s="10">
        <f>Umbrales!$B$9*(K757/1000)^Umbrales!$B$10</f>
        <v/>
      </c>
    </row>
    <row r="758">
      <c r="A758" s="4" t="inlineStr">
        <is>
          <t>HINDALCO.NS</t>
        </is>
      </c>
      <c r="B758" s="4" t="inlineStr">
        <is>
          <t>Hindalco Industries Limited</t>
        </is>
      </c>
      <c r="C758" s="4" t="inlineStr">
        <is>
          <t>India</t>
        </is>
      </c>
      <c r="D758" s="4" t="inlineStr">
        <is>
          <t>IN</t>
        </is>
      </c>
      <c r="E758" s="4" t="inlineStr">
        <is>
          <t>Materiales</t>
        </is>
      </c>
      <c r="F758" s="4" t="inlineStr">
        <is>
          <t>Aluminum</t>
        </is>
      </c>
      <c r="G758" s="4" t="inlineStr">
        <is>
          <t>NSI</t>
        </is>
      </c>
      <c r="H758" s="4" t="inlineStr">
        <is>
          <t>INR</t>
        </is>
      </c>
      <c r="I758" s="5" t="n">
        <v>1984201.35936</v>
      </c>
      <c r="J758" s="6">
        <f>INDEX(FX!$B:$B,MATCH(H758,FX!$A:$A,0))</f>
        <v/>
      </c>
      <c r="K758" s="5">
        <f>I758*J758</f>
        <v/>
      </c>
      <c r="L758" s="4">
        <f>IF(U758&lt;&gt;"",U758,IF(K758&gt;=Umbrales!$B$2,"Legendaria",IF(K758&gt;=Umbrales!$B$3,"Épica",IF(K758&gt;=Umbrales!$B$4,"Rara",IF(K758&gt;=Umbrales!$B$5,"Poco común","Común")))))</f>
        <v/>
      </c>
      <c r="M758" s="5" t="n">
        <v>2955370.037248</v>
      </c>
      <c r="N758" s="5" t="n">
        <v>164000.006144</v>
      </c>
      <c r="O758" s="5">
        <f>IF(M758="","",M758*J758)</f>
        <v/>
      </c>
      <c r="P758" s="5">
        <f>IF(N758="","",N758*J758)</f>
        <v/>
      </c>
      <c r="Q758" s="7" t="n">
        <v>0.005699999999999999</v>
      </c>
      <c r="R758" s="8" t="n">
        <v>12.126577</v>
      </c>
      <c r="S758" s="4" t="inlineStr">
        <is>
          <t>NIFTY50</t>
        </is>
      </c>
      <c r="T758" s="9" t="inlineStr">
        <is>
          <t>SI</t>
        </is>
      </c>
      <c r="U758" s="9" t="inlineStr"/>
      <c r="V758" s="10">
        <f>Umbrales!$B$9*(K758/1000)^Umbrales!$B$10</f>
        <v/>
      </c>
    </row>
    <row r="759">
      <c r="A759" s="4" t="inlineStr">
        <is>
          <t>LGEN.L</t>
        </is>
      </c>
      <c r="B759" s="4" t="inlineStr">
        <is>
          <t>Legal &amp; General Group Plc</t>
        </is>
      </c>
      <c r="C759" s="4" t="inlineStr">
        <is>
          <t>United Kingdom</t>
        </is>
      </c>
      <c r="D759" s="4" t="inlineStr">
        <is>
          <t>GB</t>
        </is>
      </c>
      <c r="E759" s="4" t="inlineStr">
        <is>
          <t>Finanzas</t>
        </is>
      </c>
      <c r="F759" s="4" t="inlineStr">
        <is>
          <t>Asset Management</t>
        </is>
      </c>
      <c r="G759" s="4" t="inlineStr">
        <is>
          <t>LSE</t>
        </is>
      </c>
      <c r="H759" s="4" t="inlineStr">
        <is>
          <t>GBP</t>
        </is>
      </c>
      <c r="I759" s="5" t="n">
        <v>15747.51744</v>
      </c>
      <c r="J759" s="6">
        <f>INDEX(FX!$B:$B,MATCH(H759,FX!$A:$A,0))</f>
        <v/>
      </c>
      <c r="K759" s="5">
        <f>I759*J759</f>
        <v/>
      </c>
      <c r="L759" s="4">
        <f>IF(U759&lt;&gt;"",U759,IF(K759&gt;=Umbrales!$B$2,"Legendaria",IF(K759&gt;=Umbrales!$B$3,"Épica",IF(K759&gt;=Umbrales!$B$4,"Rara",IF(K759&gt;=Umbrales!$B$5,"Poco común","Común")))))</f>
        <v/>
      </c>
      <c r="M759" s="5" t="n">
        <v>11825.000448</v>
      </c>
      <c r="N759" s="5" t="n">
        <v>663</v>
      </c>
      <c r="O759" s="5">
        <f>IF(M759="","",M759*J759)</f>
        <v/>
      </c>
      <c r="P759" s="5">
        <f>IF(N759="","",N759*J759)</f>
        <v/>
      </c>
      <c r="Q759" s="7" t="n">
        <v>0.07519999999999999</v>
      </c>
      <c r="R759" s="8" t="n">
        <v>24.537502</v>
      </c>
      <c r="S759" s="4" t="inlineStr">
        <is>
          <t>FTSE100</t>
        </is>
      </c>
      <c r="T759" s="9" t="inlineStr">
        <is>
          <t>SI</t>
        </is>
      </c>
      <c r="U759" s="9" t="inlineStr"/>
      <c r="V759" s="10">
        <f>Umbrales!$B$9*(K759/1000)^Umbrales!$B$10</f>
        <v/>
      </c>
    </row>
    <row r="760">
      <c r="A760" s="4" t="inlineStr">
        <is>
          <t>EICHERMOT.NS</t>
        </is>
      </c>
      <c r="B760" s="4" t="inlineStr">
        <is>
          <t>Eicher Motors Limited</t>
        </is>
      </c>
      <c r="C760" s="4" t="inlineStr">
        <is>
          <t>India</t>
        </is>
      </c>
      <c r="D760" s="4" t="inlineStr">
        <is>
          <t>IN</t>
        </is>
      </c>
      <c r="E760" s="4" t="inlineStr">
        <is>
          <t>Consumo cíclico</t>
        </is>
      </c>
      <c r="F760" s="4" t="inlineStr">
        <is>
          <t>Auto Manufacturers</t>
        </is>
      </c>
      <c r="G760" s="4" t="inlineStr">
        <is>
          <t>NSI</t>
        </is>
      </c>
      <c r="H760" s="4" t="inlineStr">
        <is>
          <t>INR</t>
        </is>
      </c>
      <c r="I760" s="5" t="n">
        <v>1983419.252736</v>
      </c>
      <c r="J760" s="6">
        <f>INDEX(FX!$B:$B,MATCH(H760,FX!$A:$A,0))</f>
        <v/>
      </c>
      <c r="K760" s="5">
        <f>I760*J760</f>
        <v/>
      </c>
      <c r="L760" s="4">
        <f>IF(U760&lt;&gt;"",U760,IF(K760&gt;=Umbrales!$B$2,"Legendaria",IF(K760&gt;=Umbrales!$B$3,"Épica",IF(K760&gt;=Umbrales!$B$4,"Rara",IF(K760&gt;=Umbrales!$B$5,"Poco común","Común")))))</f>
        <v/>
      </c>
      <c r="M760" s="5" t="n">
        <v>248687.296512</v>
      </c>
      <c r="N760" s="5" t="n">
        <v>57725.198336</v>
      </c>
      <c r="O760" s="5">
        <f>IF(M760="","",M760*J760)</f>
        <v/>
      </c>
      <c r="P760" s="5">
        <f>IF(N760="","",N760*J760)</f>
        <v/>
      </c>
      <c r="Q760" s="7" t="n">
        <v>0.0116</v>
      </c>
      <c r="R760" s="8" t="n">
        <v>34.380207</v>
      </c>
      <c r="S760" s="4" t="inlineStr">
        <is>
          <t>NIFTY50</t>
        </is>
      </c>
      <c r="T760" s="9" t="inlineStr">
        <is>
          <t>SI</t>
        </is>
      </c>
      <c r="U760" s="9" t="inlineStr"/>
      <c r="V760" s="10">
        <f>Umbrales!$B$9*(K760/1000)^Umbrales!$B$10</f>
        <v/>
      </c>
    </row>
    <row r="761">
      <c r="A761" s="4" t="inlineStr">
        <is>
          <t>VTRS</t>
        </is>
      </c>
      <c r="B761" s="4" t="inlineStr">
        <is>
          <t>Viatris Inc.</t>
        </is>
      </c>
      <c r="C761" s="4" t="inlineStr">
        <is>
          <t>United States</t>
        </is>
      </c>
      <c r="D761" s="4" t="inlineStr">
        <is>
          <t>US</t>
        </is>
      </c>
      <c r="E761" s="4" t="inlineStr">
        <is>
          <t>Salud</t>
        </is>
      </c>
      <c r="F761" s="4" t="inlineStr">
        <is>
          <t>Drug Manufacturers - Specialty &amp; Generic</t>
        </is>
      </c>
      <c r="G761" s="4" t="inlineStr">
        <is>
          <t>NMS</t>
        </is>
      </c>
      <c r="H761" s="4" t="inlineStr">
        <is>
          <t>USD</t>
        </is>
      </c>
      <c r="I761" s="5" t="n">
        <v>20818.208768</v>
      </c>
      <c r="J761" s="6">
        <f>INDEX(FX!$B:$B,MATCH(H761,FX!$A:$A,0))</f>
        <v/>
      </c>
      <c r="K761" s="5">
        <f>I761*J761</f>
        <v/>
      </c>
      <c r="L761" s="4">
        <f>IF(U761&lt;&gt;"",U761,IF(K761&gt;=Umbrales!$B$2,"Legendaria",IF(K761&gt;=Umbrales!$B$3,"Épica",IF(K761&gt;=Umbrales!$B$4,"Rara",IF(K761&gt;=Umbrales!$B$5,"Poco común","Común")))))</f>
        <v/>
      </c>
      <c r="M761" s="5" t="n">
        <v>14737.30048</v>
      </c>
      <c r="N761" s="5" t="n">
        <v>-410.7</v>
      </c>
      <c r="O761" s="5">
        <f>IF(M761="","",M761*J761)</f>
        <v/>
      </c>
      <c r="P761" s="5">
        <f>IF(N761="","",N761*J761)</f>
        <v/>
      </c>
      <c r="Q761" s="7" t="n">
        <v>0.0278</v>
      </c>
      <c r="R761" s="8" t="n"/>
      <c r="S761" s="4" t="inlineStr">
        <is>
          <t>SP500</t>
        </is>
      </c>
      <c r="T761" s="9" t="inlineStr">
        <is>
          <t>SI</t>
        </is>
      </c>
      <c r="U761" s="9" t="inlineStr"/>
      <c r="V761" s="10">
        <f>Umbrales!$B$9*(K761/1000)^Umbrales!$B$10</f>
        <v/>
      </c>
    </row>
    <row r="762">
      <c r="A762" s="4" t="inlineStr">
        <is>
          <t>PKG</t>
        </is>
      </c>
      <c r="B762" s="4" t="inlineStr">
        <is>
          <t>Packaging Corporation of America</t>
        </is>
      </c>
      <c r="C762" s="4" t="inlineStr">
        <is>
          <t>United States</t>
        </is>
      </c>
      <c r="D762" s="4" t="inlineStr">
        <is>
          <t>US</t>
        </is>
      </c>
      <c r="E762" s="4" t="inlineStr">
        <is>
          <t>Consumo cíclico</t>
        </is>
      </c>
      <c r="F762" s="4" t="inlineStr">
        <is>
          <t>Packaging &amp; Containers</t>
        </is>
      </c>
      <c r="G762" s="4" t="inlineStr">
        <is>
          <t>NYQ</t>
        </is>
      </c>
      <c r="H762" s="4" t="inlineStr">
        <is>
          <t>USD</t>
        </is>
      </c>
      <c r="I762" s="5" t="n">
        <v>20804.898816</v>
      </c>
      <c r="J762" s="6">
        <f>INDEX(FX!$B:$B,MATCH(H762,FX!$A:$A,0))</f>
        <v/>
      </c>
      <c r="K762" s="5">
        <f>I762*J762</f>
        <v/>
      </c>
      <c r="L762" s="4">
        <f>IF(U762&lt;&gt;"",U762,IF(K762&gt;=Umbrales!$B$2,"Legendaria",IF(K762&gt;=Umbrales!$B$3,"Épica",IF(K762&gt;=Umbrales!$B$4,"Rara",IF(K762&gt;=Umbrales!$B$5,"Poco común","Común")))))</f>
        <v/>
      </c>
      <c r="M762" s="5" t="n">
        <v>9534.600192</v>
      </c>
      <c r="N762" s="5" t="n">
        <v>687.4</v>
      </c>
      <c r="O762" s="5">
        <f>IF(M762="","",M762*J762)</f>
        <v/>
      </c>
      <c r="P762" s="5">
        <f>IF(N762="","",N762*J762)</f>
        <v/>
      </c>
      <c r="Q762" s="7" t="n">
        <v>0.0259</v>
      </c>
      <c r="R762" s="8" t="n">
        <v>30.603539</v>
      </c>
      <c r="S762" s="4" t="inlineStr">
        <is>
          <t>SP500</t>
        </is>
      </c>
      <c r="T762" s="9" t="inlineStr">
        <is>
          <t>SI</t>
        </is>
      </c>
      <c r="U762" s="9" t="inlineStr"/>
      <c r="V762" s="10">
        <f>Umbrales!$B$9*(K762/1000)^Umbrales!$B$10</f>
        <v/>
      </c>
    </row>
    <row r="763">
      <c r="A763" s="4" t="inlineStr">
        <is>
          <t>CMS</t>
        </is>
      </c>
      <c r="B763" s="4" t="inlineStr">
        <is>
          <t>CMS Energy Corporation</t>
        </is>
      </c>
      <c r="C763" s="4" t="inlineStr">
        <is>
          <t>United States</t>
        </is>
      </c>
      <c r="D763" s="4" t="inlineStr">
        <is>
          <t>US</t>
        </is>
      </c>
      <c r="E763" s="4" t="inlineStr">
        <is>
          <t>Servicios públicos</t>
        </is>
      </c>
      <c r="F763" s="4" t="inlineStr">
        <is>
          <t>Utilities - Regulated Electric</t>
        </is>
      </c>
      <c r="G763" s="4" t="inlineStr">
        <is>
          <t>NYQ</t>
        </is>
      </c>
      <c r="H763" s="4" t="inlineStr">
        <is>
          <t>USD</t>
        </is>
      </c>
      <c r="I763" s="5" t="n">
        <v>20717.694976</v>
      </c>
      <c r="J763" s="6">
        <f>INDEX(FX!$B:$B,MATCH(H763,FX!$A:$A,0))</f>
        <v/>
      </c>
      <c r="K763" s="5">
        <f>I763*J763</f>
        <v/>
      </c>
      <c r="L763" s="4">
        <f>IF(U763&lt;&gt;"",U763,IF(K763&gt;=Umbrales!$B$2,"Legendaria",IF(K763&gt;=Umbrales!$B$3,"Épica",IF(K763&gt;=Umbrales!$B$4,"Rara",IF(K763&gt;=Umbrales!$B$5,"Poco común","Común")))))</f>
        <v/>
      </c>
      <c r="M763" s="5" t="n">
        <v>8812.999680000001</v>
      </c>
      <c r="N763" s="5" t="n">
        <v>1016</v>
      </c>
      <c r="O763" s="5">
        <f>IF(M763="","",M763*J763)</f>
        <v/>
      </c>
      <c r="P763" s="5">
        <f>IF(N763="","",N763*J763)</f>
        <v/>
      </c>
      <c r="Q763" s="7" t="n">
        <v>0.0344</v>
      </c>
      <c r="R763" s="8" t="n">
        <v>19.959824</v>
      </c>
      <c r="S763" s="4" t="inlineStr">
        <is>
          <t>SP500</t>
        </is>
      </c>
      <c r="T763" s="9" t="inlineStr">
        <is>
          <t>SI</t>
        </is>
      </c>
      <c r="U763" s="9" t="inlineStr"/>
      <c r="V763" s="10">
        <f>Umbrales!$B$9*(K763/1000)^Umbrales!$B$10</f>
        <v/>
      </c>
    </row>
    <row r="764">
      <c r="A764" s="4" t="inlineStr">
        <is>
          <t>UNI.MI</t>
        </is>
      </c>
      <c r="B764" s="4" t="inlineStr">
        <is>
          <t>Unipol Assicurazioni S.p.A.</t>
        </is>
      </c>
      <c r="C764" s="4" t="inlineStr">
        <is>
          <t>Italy</t>
        </is>
      </c>
      <c r="D764" s="4" t="inlineStr">
        <is>
          <t>IT</t>
        </is>
      </c>
      <c r="E764" s="4" t="inlineStr">
        <is>
          <t>Finanzas</t>
        </is>
      </c>
      <c r="F764" s="4" t="inlineStr">
        <is>
          <t>Insurance - Property &amp; Casualty</t>
        </is>
      </c>
      <c r="G764" s="4" t="inlineStr">
        <is>
          <t>MIL</t>
        </is>
      </c>
      <c r="H764" s="4" t="inlineStr">
        <is>
          <t>EUR</t>
        </is>
      </c>
      <c r="I764" s="5" t="n">
        <v>18439.374848</v>
      </c>
      <c r="J764" s="6">
        <f>INDEX(FX!$B:$B,MATCH(H764,FX!$A:$A,0))</f>
        <v/>
      </c>
      <c r="K764" s="5">
        <f>I764*J764</f>
        <v/>
      </c>
      <c r="L764" s="4">
        <f>IF(U764&lt;&gt;"",U764,IF(K764&gt;=Umbrales!$B$2,"Legendaria",IF(K764&gt;=Umbrales!$B$3,"Épica",IF(K764&gt;=Umbrales!$B$4,"Rara",IF(K764&gt;=Umbrales!$B$5,"Poco común","Común")))))</f>
        <v/>
      </c>
      <c r="M764" s="5" t="n">
        <v>11512.000512</v>
      </c>
      <c r="N764" s="5" t="n">
        <v>1720</v>
      </c>
      <c r="O764" s="5">
        <f>IF(M764="","",M764*J764)</f>
        <v/>
      </c>
      <c r="P764" s="5">
        <f>IF(N764="","",N764*J764)</f>
        <v/>
      </c>
      <c r="Q764" s="7" t="n">
        <v>0.0429</v>
      </c>
      <c r="R764" s="8" t="n">
        <v>10.460251</v>
      </c>
      <c r="S764" s="4" t="inlineStr">
        <is>
          <t>FTSEMIB</t>
        </is>
      </c>
      <c r="T764" s="9" t="inlineStr">
        <is>
          <t>SI</t>
        </is>
      </c>
      <c r="U764" s="9" t="inlineStr"/>
      <c r="V764" s="10">
        <f>Umbrales!$B$9*(K764/1000)^Umbrales!$B$10</f>
        <v/>
      </c>
    </row>
    <row r="765">
      <c r="A765" s="4" t="inlineStr">
        <is>
          <t>STO.AX</t>
        </is>
      </c>
      <c r="B765" s="4" t="inlineStr">
        <is>
          <t>Santos Limited</t>
        </is>
      </c>
      <c r="C765" s="4" t="inlineStr">
        <is>
          <t>Australia</t>
        </is>
      </c>
      <c r="D765" s="4" t="inlineStr">
        <is>
          <t>AU</t>
        </is>
      </c>
      <c r="E765" s="4" t="inlineStr">
        <is>
          <t>Energía</t>
        </is>
      </c>
      <c r="F765" s="4" t="inlineStr">
        <is>
          <t>Oil &amp; Gas E&amp;P</t>
        </is>
      </c>
      <c r="G765" s="4" t="inlineStr">
        <is>
          <t>ASX</t>
        </is>
      </c>
      <c r="H765" s="4" t="inlineStr">
        <is>
          <t>AUD</t>
        </is>
      </c>
      <c r="I765" s="5" t="n">
        <v>29847.031808</v>
      </c>
      <c r="J765" s="6">
        <f>INDEX(FX!$B:$B,MATCH(H765,FX!$A:$A,0))</f>
        <v/>
      </c>
      <c r="K765" s="5">
        <f>I765*J765</f>
        <v/>
      </c>
      <c r="L765" s="4">
        <f>IF(U765&lt;&gt;"",U765,IF(K765&gt;=Umbrales!$B$2,"Legendaria",IF(K765&gt;=Umbrales!$B$3,"Épica",IF(K765&gt;=Umbrales!$B$4,"Rara",IF(K765&gt;=Umbrales!$B$5,"Poco común","Común")))))</f>
        <v/>
      </c>
      <c r="M765" s="5" t="n">
        <v>4979.999744</v>
      </c>
      <c r="N765" s="5" t="n">
        <v>734</v>
      </c>
      <c r="O765" s="5">
        <f>IF(M765="","",M765*J765)</f>
        <v/>
      </c>
      <c r="P765" s="5">
        <f>IF(N765="","",N765*J765)</f>
        <v/>
      </c>
      <c r="Q765" s="7" t="n">
        <v>0.0341</v>
      </c>
      <c r="R765" s="8" t="n">
        <v>27.848482</v>
      </c>
      <c r="S765" s="4" t="inlineStr">
        <is>
          <t>ASX50</t>
        </is>
      </c>
      <c r="T765" s="9" t="inlineStr">
        <is>
          <t>SI</t>
        </is>
      </c>
      <c r="U765" s="9" t="inlineStr"/>
      <c r="V765" s="10">
        <f>Umbrales!$B$9*(K765/1000)^Umbrales!$B$10</f>
        <v/>
      </c>
    </row>
    <row r="766">
      <c r="A766" s="4" t="inlineStr">
        <is>
          <t>0175.HK</t>
        </is>
      </c>
      <c r="B766" s="4" t="inlineStr">
        <is>
          <t>Geely Automobile Holdings Limited</t>
        </is>
      </c>
      <c r="C766" s="4" t="inlineStr">
        <is>
          <t>Hong Kong</t>
        </is>
      </c>
      <c r="D766" s="4" t="inlineStr">
        <is>
          <t>HK</t>
        </is>
      </c>
      <c r="E766" s="4" t="inlineStr">
        <is>
          <t>Consumo cíclico</t>
        </is>
      </c>
      <c r="F766" s="4" t="inlineStr">
        <is>
          <t>Auto Manufacturers</t>
        </is>
      </c>
      <c r="G766" s="4" t="inlineStr">
        <is>
          <t>HKG</t>
        </is>
      </c>
      <c r="H766" s="4" t="inlineStr">
        <is>
          <t>HKD</t>
        </is>
      </c>
      <c r="I766" s="5" t="n">
        <v>162111.799296</v>
      </c>
      <c r="J766" s="6">
        <f>INDEX(FX!$B:$B,MATCH(H766,FX!$A:$A,0))</f>
        <v/>
      </c>
      <c r="K766" s="5">
        <f>I766*J766</f>
        <v/>
      </c>
      <c r="L766" s="4">
        <f>IF(U766&lt;&gt;"",U766,IF(K766&gt;=Umbrales!$B$2,"Legendaria",IF(K766&gt;=Umbrales!$B$3,"Épica",IF(K766&gt;=Umbrales!$B$4,"Rara",IF(K766&gt;=Umbrales!$B$5,"Poco común","Común")))))</f>
        <v/>
      </c>
      <c r="M766" s="5" t="n">
        <v>367442.296832</v>
      </c>
      <c r="N766" s="5" t="n">
        <v>16686.629888</v>
      </c>
      <c r="O766" s="5">
        <f>IF(M766="","",M766*J766)</f>
        <v/>
      </c>
      <c r="P766" s="5">
        <f>IF(N766="","",N766*J766)</f>
        <v/>
      </c>
      <c r="Q766" s="7" t="n">
        <v>0.0329</v>
      </c>
      <c r="R766" s="8" t="n">
        <v>8.687861</v>
      </c>
      <c r="S766" s="4" t="inlineStr">
        <is>
          <t>HANGSENG</t>
        </is>
      </c>
      <c r="T766" s="9" t="inlineStr">
        <is>
          <t>SI</t>
        </is>
      </c>
      <c r="U766" s="9" t="inlineStr"/>
      <c r="V766" s="10">
        <f>Umbrales!$B$9*(K766/1000)^Umbrales!$B$10</f>
        <v/>
      </c>
    </row>
    <row r="767">
      <c r="A767" s="4" t="inlineStr">
        <is>
          <t>GRASIM.NS</t>
        </is>
      </c>
      <c r="B767" s="4" t="inlineStr">
        <is>
          <t>Grasim Industries Limited</t>
        </is>
      </c>
      <c r="C767" s="4" t="inlineStr">
        <is>
          <t>India</t>
        </is>
      </c>
      <c r="D767" s="4" t="inlineStr">
        <is>
          <t>IN</t>
        </is>
      </c>
      <c r="E767" s="4" t="inlineStr">
        <is>
          <t>Materiales</t>
        </is>
      </c>
      <c r="F767" s="4" t="inlineStr">
        <is>
          <t>Building Materials</t>
        </is>
      </c>
      <c r="G767" s="4" t="inlineStr">
        <is>
          <t>NSI</t>
        </is>
      </c>
      <c r="H767" s="4" t="inlineStr">
        <is>
          <t>INR</t>
        </is>
      </c>
      <c r="I767" s="5" t="n">
        <v>1957475.1232</v>
      </c>
      <c r="J767" s="6">
        <f>INDEX(FX!$B:$B,MATCH(H767,FX!$A:$A,0))</f>
        <v/>
      </c>
      <c r="K767" s="5">
        <f>I767*J767</f>
        <v/>
      </c>
      <c r="L767" s="4">
        <f>IF(U767&lt;&gt;"",U767,IF(K767&gt;=Umbrales!$B$2,"Legendaria",IF(K767&gt;=Umbrales!$B$3,"Épica",IF(K767&gt;=Umbrales!$B$4,"Rara",IF(K767&gt;=Umbrales!$B$5,"Poco común","Común")))))</f>
        <v/>
      </c>
      <c r="M767" s="5" t="n">
        <v>1840288.628736</v>
      </c>
      <c r="N767" s="5" t="n">
        <v>56918.499328</v>
      </c>
      <c r="O767" s="5">
        <f>IF(M767="","",M767*J767)</f>
        <v/>
      </c>
      <c r="P767" s="5">
        <f>IF(N767="","",N767*J767)</f>
        <v/>
      </c>
      <c r="Q767" s="7" t="n">
        <v>0.0035</v>
      </c>
      <c r="R767" s="8" t="n">
        <v>34.41741</v>
      </c>
      <c r="S767" s="4" t="inlineStr">
        <is>
          <t>NIFTY50</t>
        </is>
      </c>
      <c r="T767" s="9" t="inlineStr">
        <is>
          <t>SI</t>
        </is>
      </c>
      <c r="U767" s="9" t="inlineStr"/>
      <c r="V767" s="10">
        <f>Umbrales!$B$9*(K767/1000)^Umbrales!$B$10</f>
        <v/>
      </c>
    </row>
    <row r="768">
      <c r="A768" s="4" t="inlineStr">
        <is>
          <t>AMRZ.SW</t>
        </is>
      </c>
      <c r="B768" s="4" t="inlineStr">
        <is>
          <t>Amrize AG</t>
        </is>
      </c>
      <c r="C768" s="4" t="inlineStr">
        <is>
          <t>Switzerland</t>
        </is>
      </c>
      <c r="D768" s="4" t="inlineStr">
        <is>
          <t>CH</t>
        </is>
      </c>
      <c r="E768" s="4" t="inlineStr">
        <is>
          <t>Materiales</t>
        </is>
      </c>
      <c r="F768" s="4" t="inlineStr">
        <is>
          <t>Building Materials</t>
        </is>
      </c>
      <c r="G768" s="4" t="inlineStr">
        <is>
          <t>EBS</t>
        </is>
      </c>
      <c r="H768" s="4" t="inlineStr">
        <is>
          <t>CHF</t>
        </is>
      </c>
      <c r="I768" s="5" t="n">
        <v>16883.59424</v>
      </c>
      <c r="J768" s="6">
        <f>INDEX(FX!$B:$B,MATCH(H768,FX!$A:$A,0))</f>
        <v/>
      </c>
      <c r="K768" s="5">
        <f>I768*J768</f>
        <v/>
      </c>
      <c r="L768" s="4">
        <f>IF(U768&lt;&gt;"",U768,IF(K768&gt;=Umbrales!$B$2,"Legendaria",IF(K768&gt;=Umbrales!$B$3,"Épica",IF(K768&gt;=Umbrales!$B$4,"Rara",IF(K768&gt;=Umbrales!$B$5,"Poco común","Común")))))</f>
        <v/>
      </c>
      <c r="M768" s="5" t="n">
        <v>12183.000064</v>
      </c>
      <c r="N768" s="5" t="n">
        <v>1235.000064</v>
      </c>
      <c r="O768" s="5">
        <f>IF(M768="","",M768*J768)</f>
        <v/>
      </c>
      <c r="P768" s="5">
        <f>IF(N768="","",N768*J768)</f>
        <v/>
      </c>
      <c r="Q768" s="7" t="n">
        <v>0</v>
      </c>
      <c r="R768" s="8" t="n">
        <v>17.741379</v>
      </c>
      <c r="S768" s="4" t="inlineStr">
        <is>
          <t>SMI</t>
        </is>
      </c>
      <c r="T768" s="9" t="inlineStr">
        <is>
          <t>SI</t>
        </is>
      </c>
      <c r="U768" s="9" t="inlineStr"/>
      <c r="V768" s="10">
        <f>Umbrales!$B$9*(K768/1000)^Umbrales!$B$10</f>
        <v/>
      </c>
    </row>
    <row r="769">
      <c r="A769" s="4" t="inlineStr">
        <is>
          <t>AMCR</t>
        </is>
      </c>
      <c r="B769" s="4" t="inlineStr">
        <is>
          <t>Amcor plc</t>
        </is>
      </c>
      <c r="C769" s="4" t="inlineStr">
        <is>
          <t>Switzerland</t>
        </is>
      </c>
      <c r="D769" s="4" t="inlineStr">
        <is>
          <t>CH</t>
        </is>
      </c>
      <c r="E769" s="4" t="inlineStr">
        <is>
          <t>Consumo cíclico</t>
        </is>
      </c>
      <c r="F769" s="4" t="inlineStr">
        <is>
          <t>Packaging &amp; Containers</t>
        </is>
      </c>
      <c r="G769" s="4" t="inlineStr">
        <is>
          <t>NYQ</t>
        </is>
      </c>
      <c r="H769" s="4" t="inlineStr">
        <is>
          <t>USD</t>
        </is>
      </c>
      <c r="I769" s="5" t="n">
        <v>20256.31744</v>
      </c>
      <c r="J769" s="6">
        <f>INDEX(FX!$B:$B,MATCH(H769,FX!$A:$A,0))</f>
        <v/>
      </c>
      <c r="K769" s="5">
        <f>I769*J769</f>
        <v/>
      </c>
      <c r="L769" s="4">
        <f>IF(U769&lt;&gt;"",U769,IF(K769&gt;=Umbrales!$B$2,"Legendaria",IF(K769&gt;=Umbrales!$B$3,"Épica",IF(K769&gt;=Umbrales!$B$4,"Rara",IF(K769&gt;=Umbrales!$B$5,"Poco común","Común")))))</f>
        <v/>
      </c>
      <c r="M769" s="5" t="n">
        <v>23505.999872</v>
      </c>
      <c r="N769" s="5" t="n">
        <v>1106</v>
      </c>
      <c r="O769" s="5">
        <f>IF(M769="","",M769*J769)</f>
        <v/>
      </c>
      <c r="P769" s="5">
        <f>IF(N769="","",N769*J769)</f>
        <v/>
      </c>
      <c r="Q769" s="7" t="n">
        <v>0.0622</v>
      </c>
      <c r="R769" s="8" t="n">
        <v>18.424368</v>
      </c>
      <c r="S769" s="4" t="inlineStr">
        <is>
          <t>SP500</t>
        </is>
      </c>
      <c r="T769" s="9" t="inlineStr">
        <is>
          <t>SI</t>
        </is>
      </c>
      <c r="U769" s="9" t="inlineStr"/>
      <c r="V769" s="10">
        <f>Umbrales!$B$9*(K769/1000)^Umbrales!$B$10</f>
        <v/>
      </c>
    </row>
    <row r="770">
      <c r="A770" s="4" t="inlineStr">
        <is>
          <t>LYB</t>
        </is>
      </c>
      <c r="B770" s="4" t="inlineStr">
        <is>
          <t>LyondellBasell Industries N.V.</t>
        </is>
      </c>
      <c r="C770" s="4" t="inlineStr">
        <is>
          <t>Netherlands</t>
        </is>
      </c>
      <c r="D770" s="4" t="inlineStr">
        <is>
          <t>NL</t>
        </is>
      </c>
      <c r="E770" s="4" t="inlineStr">
        <is>
          <t>Materiales</t>
        </is>
      </c>
      <c r="F770" s="4" t="inlineStr">
        <is>
          <t>Specialty Chemicals</t>
        </is>
      </c>
      <c r="G770" s="4" t="inlineStr">
        <is>
          <t>NYQ</t>
        </is>
      </c>
      <c r="H770" s="4" t="inlineStr">
        <is>
          <t>USD</t>
        </is>
      </c>
      <c r="I770" s="5" t="n">
        <v>20238.327808</v>
      </c>
      <c r="J770" s="6">
        <f>INDEX(FX!$B:$B,MATCH(H770,FX!$A:$A,0))</f>
        <v/>
      </c>
      <c r="K770" s="5">
        <f>I770*J770</f>
        <v/>
      </c>
      <c r="L770" s="4">
        <f>IF(U770&lt;&gt;"",U770,IF(K770&gt;=Umbrales!$B$2,"Legendaria",IF(K770&gt;=Umbrales!$B$3,"Épica",IF(K770&gt;=Umbrales!$B$4,"Rara",IF(K770&gt;=Umbrales!$B$5,"Poco común","Común")))))</f>
        <v/>
      </c>
      <c r="M770" s="5" t="n">
        <v>31192.000512</v>
      </c>
      <c r="N770" s="5" t="n">
        <v>-265</v>
      </c>
      <c r="O770" s="5">
        <f>IF(M770="","",M770*J770)</f>
        <v/>
      </c>
      <c r="P770" s="5">
        <f>IF(N770="","",N770*J770)</f>
        <v/>
      </c>
      <c r="Q770" s="7" t="n">
        <v>0.046</v>
      </c>
      <c r="R770" s="8" t="n"/>
      <c r="S770" s="4" t="inlineStr">
        <is>
          <t>SP500</t>
        </is>
      </c>
      <c r="T770" s="9" t="inlineStr">
        <is>
          <t>SI</t>
        </is>
      </c>
      <c r="U770" s="9" t="inlineStr"/>
      <c r="V770" s="10">
        <f>Umbrales!$B$9*(K770/1000)^Umbrales!$B$10</f>
        <v/>
      </c>
    </row>
    <row r="771">
      <c r="A771" s="4" t="inlineStr">
        <is>
          <t>BEI.DE</t>
        </is>
      </c>
      <c r="B771" s="4" t="inlineStr">
        <is>
          <t>Beiersdorf Aktiengesellschaft</t>
        </is>
      </c>
      <c r="C771" s="4" t="inlineStr">
        <is>
          <t>Germany</t>
        </is>
      </c>
      <c r="D771" s="4" t="inlineStr">
        <is>
          <t>DE</t>
        </is>
      </c>
      <c r="E771" s="4" t="inlineStr">
        <is>
          <t>Consumo básico</t>
        </is>
      </c>
      <c r="F771" s="4" t="inlineStr">
        <is>
          <t>Household &amp; Personal Products</t>
        </is>
      </c>
      <c r="G771" s="4" t="inlineStr">
        <is>
          <t>GER</t>
        </is>
      </c>
      <c r="H771" s="4" t="inlineStr">
        <is>
          <t>EUR</t>
        </is>
      </c>
      <c r="I771" s="5" t="n">
        <v>17888.354304</v>
      </c>
      <c r="J771" s="6">
        <f>INDEX(FX!$B:$B,MATCH(H771,FX!$A:$A,0))</f>
        <v/>
      </c>
      <c r="K771" s="5">
        <f>I771*J771</f>
        <v/>
      </c>
      <c r="L771" s="4">
        <f>IF(U771&lt;&gt;"",U771,IF(K771&gt;=Umbrales!$B$2,"Legendaria",IF(K771&gt;=Umbrales!$B$3,"Épica",IF(K771&gt;=Umbrales!$B$4,"Rara",IF(K771&gt;=Umbrales!$B$5,"Poco común","Común")))))</f>
        <v/>
      </c>
      <c r="M771" s="5" t="n">
        <v>9616</v>
      </c>
      <c r="N771" s="5" t="n">
        <v>938</v>
      </c>
      <c r="O771" s="5">
        <f>IF(M771="","",M771*J771)</f>
        <v/>
      </c>
      <c r="P771" s="5">
        <f>IF(N771="","",N771*J771)</f>
        <v/>
      </c>
      <c r="Q771" s="7" t="n">
        <v>0.013</v>
      </c>
      <c r="R771" s="8" t="n">
        <v>18.818392</v>
      </c>
      <c r="S771" s="4" t="inlineStr">
        <is>
          <t>DAX40</t>
        </is>
      </c>
      <c r="T771" s="9" t="inlineStr">
        <is>
          <t>SI</t>
        </is>
      </c>
      <c r="U771" s="9" t="inlineStr"/>
      <c r="V771" s="10">
        <f>Umbrales!$B$9*(K771/1000)^Umbrales!$B$10</f>
        <v/>
      </c>
    </row>
    <row r="772">
      <c r="A772" s="4" t="inlineStr">
        <is>
          <t>SRT3.DE</t>
        </is>
      </c>
      <c r="B772" s="4" t="inlineStr">
        <is>
          <t>Sartorius Aktiengesellschaft</t>
        </is>
      </c>
      <c r="C772" s="4" t="inlineStr">
        <is>
          <t>Germany</t>
        </is>
      </c>
      <c r="D772" s="4" t="inlineStr">
        <is>
          <t>DE</t>
        </is>
      </c>
      <c r="E772" s="4" t="inlineStr">
        <is>
          <t>Salud</t>
        </is>
      </c>
      <c r="F772" s="4" t="inlineStr">
        <is>
          <t>Medical Instruments &amp; Supplies</t>
        </is>
      </c>
      <c r="G772" s="4" t="inlineStr">
        <is>
          <t>GER</t>
        </is>
      </c>
      <c r="H772" s="4" t="inlineStr">
        <is>
          <t>EUR</t>
        </is>
      </c>
      <c r="I772" s="5" t="n">
        <v>17753.344</v>
      </c>
      <c r="J772" s="6">
        <f>INDEX(FX!$B:$B,MATCH(H772,FX!$A:$A,0))</f>
        <v/>
      </c>
      <c r="K772" s="5">
        <f>I772*J772</f>
        <v/>
      </c>
      <c r="L772" s="4">
        <f>IF(U772&lt;&gt;"",U772,IF(K772&gt;=Umbrales!$B$2,"Legendaria",IF(K772&gt;=Umbrales!$B$3,"Épica",IF(K772&gt;=Umbrales!$B$4,"Rara",IF(K772&gt;=Umbrales!$B$5,"Poco común","Común")))))</f>
        <v/>
      </c>
      <c r="M772" s="5" t="n">
        <v>3581.700096</v>
      </c>
      <c r="N772" s="5" t="n">
        <v>196.1</v>
      </c>
      <c r="O772" s="5">
        <f>IF(M772="","",M772*J772)</f>
        <v/>
      </c>
      <c r="P772" s="5">
        <f>IF(N772="","",N772*J772)</f>
        <v/>
      </c>
      <c r="Q772" s="7" t="n">
        <v>0.0028</v>
      </c>
      <c r="R772" s="8" t="n">
        <v>90.84806</v>
      </c>
      <c r="S772" s="4" t="inlineStr">
        <is>
          <t>DAX40</t>
        </is>
      </c>
      <c r="T772" s="9" t="inlineStr">
        <is>
          <t>SI</t>
        </is>
      </c>
      <c r="U772" s="9" t="inlineStr"/>
      <c r="V772" s="10">
        <f>Umbrales!$B$9*(K772/1000)^Umbrales!$B$10</f>
        <v/>
      </c>
    </row>
    <row r="773">
      <c r="A773" s="4" t="inlineStr">
        <is>
          <t>NI</t>
        </is>
      </c>
      <c r="B773" s="4" t="inlineStr">
        <is>
          <t>NiSource Inc.</t>
        </is>
      </c>
      <c r="C773" s="4" t="inlineStr">
        <is>
          <t>United States</t>
        </is>
      </c>
      <c r="D773" s="4" t="inlineStr">
        <is>
          <t>US</t>
        </is>
      </c>
      <c r="E773" s="4" t="inlineStr">
        <is>
          <t>Servicios públicos</t>
        </is>
      </c>
      <c r="F773" s="4" t="inlineStr">
        <is>
          <t>Utilities - Regulated Gas</t>
        </is>
      </c>
      <c r="G773" s="4" t="inlineStr">
        <is>
          <t>NYQ</t>
        </is>
      </c>
      <c r="H773" s="4" t="inlineStr">
        <is>
          <t>USD</t>
        </is>
      </c>
      <c r="I773" s="5" t="n">
        <v>19803.43296</v>
      </c>
      <c r="J773" s="6">
        <f>INDEX(FX!$B:$B,MATCH(H773,FX!$A:$A,0))</f>
        <v/>
      </c>
      <c r="K773" s="5">
        <f>I773*J773</f>
        <v/>
      </c>
      <c r="L773" s="4">
        <f>IF(U773&lt;&gt;"",U773,IF(K773&gt;=Umbrales!$B$2,"Legendaria",IF(K773&gt;=Umbrales!$B$3,"Épica",IF(K773&gt;=Umbrales!$B$4,"Rara",IF(K773&gt;=Umbrales!$B$5,"Poco común","Común")))))</f>
        <v/>
      </c>
      <c r="M773" s="5" t="n">
        <v>6881.50016</v>
      </c>
      <c r="N773" s="5" t="n">
        <v>906</v>
      </c>
      <c r="O773" s="5">
        <f>IF(M773="","",M773*J773)</f>
        <v/>
      </c>
      <c r="P773" s="5">
        <f>IF(N773="","",N773*J773)</f>
        <v/>
      </c>
      <c r="Q773" s="7" t="n">
        <v>0.0289</v>
      </c>
      <c r="R773" s="8" t="n">
        <v>21.965425</v>
      </c>
      <c r="S773" s="4" t="inlineStr">
        <is>
          <t>SP500</t>
        </is>
      </c>
      <c r="T773" s="9" t="inlineStr">
        <is>
          <t>SI</t>
        </is>
      </c>
      <c r="U773" s="9" t="inlineStr"/>
      <c r="V773" s="10">
        <f>Umbrales!$B$9*(K773/1000)^Umbrales!$B$10</f>
        <v/>
      </c>
    </row>
    <row r="774">
      <c r="A774" s="4" t="inlineStr">
        <is>
          <t>WKL.AS</t>
        </is>
      </c>
      <c r="B774" s="4" t="inlineStr">
        <is>
          <t>Wolters Kluwer N.V.</t>
        </is>
      </c>
      <c r="C774" s="4" t="inlineStr">
        <is>
          <t>Netherlands</t>
        </is>
      </c>
      <c r="D774" s="4" t="inlineStr">
        <is>
          <t>NL</t>
        </is>
      </c>
      <c r="E774" s="4" t="inlineStr">
        <is>
          <t>Industria</t>
        </is>
      </c>
      <c r="F774" s="4" t="inlineStr">
        <is>
          <t>Specialty Business Services</t>
        </is>
      </c>
      <c r="G774" s="4" t="inlineStr">
        <is>
          <t>AMS</t>
        </is>
      </c>
      <c r="H774" s="4" t="inlineStr">
        <is>
          <t>EUR</t>
        </is>
      </c>
      <c r="I774" s="5" t="n">
        <v>17643.710464</v>
      </c>
      <c r="J774" s="6">
        <f>INDEX(FX!$B:$B,MATCH(H774,FX!$A:$A,0))</f>
        <v/>
      </c>
      <c r="K774" s="5">
        <f>I774*J774</f>
        <v/>
      </c>
      <c r="L774" s="4">
        <f>IF(U774&lt;&gt;"",U774,IF(K774&gt;=Umbrales!$B$2,"Legendaria",IF(K774&gt;=Umbrales!$B$3,"Épica",IF(K774&gt;=Umbrales!$B$4,"Rara",IF(K774&gt;=Umbrales!$B$5,"Poco común","Común")))))</f>
        <v/>
      </c>
      <c r="M774" s="5" t="n">
        <v>6105.999872</v>
      </c>
      <c r="N774" s="5" t="n">
        <v>1335.000064</v>
      </c>
      <c r="O774" s="5">
        <f>IF(M774="","",M774*J774)</f>
        <v/>
      </c>
      <c r="P774" s="5">
        <f>IF(N774="","",N774*J774)</f>
        <v/>
      </c>
      <c r="Q774" s="7" t="n">
        <v>0.033</v>
      </c>
      <c r="R774" s="8" t="n">
        <v>13.558974</v>
      </c>
      <c r="S774" s="4" t="inlineStr">
        <is>
          <t>AEX, EUROSTOXX50</t>
        </is>
      </c>
      <c r="T774" s="9" t="inlineStr">
        <is>
          <t>SI</t>
        </is>
      </c>
      <c r="U774" s="9" t="inlineStr"/>
      <c r="V774" s="10">
        <f>Umbrales!$B$9*(K774/1000)^Umbrales!$B$10</f>
        <v/>
      </c>
    </row>
    <row r="775">
      <c r="A775" s="4" t="inlineStr">
        <is>
          <t>BR</t>
        </is>
      </c>
      <c r="B775" s="4" t="inlineStr">
        <is>
          <t>Broadridge Financial Solutions, Inc.</t>
        </is>
      </c>
      <c r="C775" s="4" t="inlineStr">
        <is>
          <t>United States</t>
        </is>
      </c>
      <c r="D775" s="4" t="inlineStr">
        <is>
          <t>US</t>
        </is>
      </c>
      <c r="E775" s="4" t="inlineStr">
        <is>
          <t>Tecnología</t>
        </is>
      </c>
      <c r="F775" s="4" t="inlineStr">
        <is>
          <t>Information Technology Services</t>
        </is>
      </c>
      <c r="G775" s="4" t="inlineStr">
        <is>
          <t>NYQ</t>
        </is>
      </c>
      <c r="H775" s="4" t="inlineStr">
        <is>
          <t>USD</t>
        </is>
      </c>
      <c r="I775" s="5" t="n">
        <v>19635.572736</v>
      </c>
      <c r="J775" s="6">
        <f>INDEX(FX!$B:$B,MATCH(H775,FX!$A:$A,0))</f>
        <v/>
      </c>
      <c r="K775" s="5">
        <f>I775*J775</f>
        <v/>
      </c>
      <c r="L775" s="4">
        <f>IF(U775&lt;&gt;"",U775,IF(K775&gt;=Umbrales!$B$2,"Legendaria",IF(K775&gt;=Umbrales!$B$3,"Épica",IF(K775&gt;=Umbrales!$B$4,"Rara",IF(K775&gt;=Umbrales!$B$5,"Poco común","Común")))))</f>
        <v/>
      </c>
      <c r="M775" s="5" t="n">
        <v>7476.8</v>
      </c>
      <c r="N775" s="5" t="n">
        <v>1124.300032</v>
      </c>
      <c r="O775" s="5">
        <f>IF(M775="","",M775*J775)</f>
        <v/>
      </c>
      <c r="P775" s="5">
        <f>IF(N775="","",N775*J775)</f>
        <v/>
      </c>
      <c r="Q775" s="7" t="n">
        <v>0.0259</v>
      </c>
      <c r="R775" s="8" t="n">
        <v>18.135557</v>
      </c>
      <c r="S775" s="4" t="inlineStr">
        <is>
          <t>SP500</t>
        </is>
      </c>
      <c r="T775" s="9" t="inlineStr">
        <is>
          <t>SI</t>
        </is>
      </c>
      <c r="U775" s="9" t="inlineStr"/>
      <c r="V775" s="10">
        <f>Umbrales!$B$9*(K775/1000)^Umbrales!$B$10</f>
        <v/>
      </c>
    </row>
    <row r="776">
      <c r="A776" s="4" t="inlineStr">
        <is>
          <t>AMC.AX</t>
        </is>
      </c>
      <c r="B776" s="4" t="inlineStr">
        <is>
          <t>Amcor plc</t>
        </is>
      </c>
      <c r="C776" s="4" t="inlineStr">
        <is>
          <t>Switzerland</t>
        </is>
      </c>
      <c r="D776" s="4" t="inlineStr">
        <is>
          <t>CH</t>
        </is>
      </c>
      <c r="E776" s="4" t="inlineStr">
        <is>
          <t>Consumo cíclico</t>
        </is>
      </c>
      <c r="F776" s="4" t="inlineStr">
        <is>
          <t>Packaging &amp; Containers</t>
        </is>
      </c>
      <c r="G776" s="4" t="inlineStr">
        <is>
          <t>ASX</t>
        </is>
      </c>
      <c r="H776" s="4" t="inlineStr">
        <is>
          <t>AUD</t>
        </is>
      </c>
      <c r="I776" s="5" t="n">
        <v>28363.466752</v>
      </c>
      <c r="J776" s="6">
        <f>INDEX(FX!$B:$B,MATCH(H776,FX!$A:$A,0))</f>
        <v/>
      </c>
      <c r="K776" s="5">
        <f>I776*J776</f>
        <v/>
      </c>
      <c r="L776" s="4">
        <f>IF(U776&lt;&gt;"",U776,IF(K776&gt;=Umbrales!$B$2,"Legendaria",IF(K776&gt;=Umbrales!$B$3,"Épica",IF(K776&gt;=Umbrales!$B$4,"Rara",IF(K776&gt;=Umbrales!$B$5,"Poco común","Común")))))</f>
        <v/>
      </c>
      <c r="M776" s="5" t="n">
        <v>23505.999872</v>
      </c>
      <c r="N776" s="5" t="n">
        <v>1106</v>
      </c>
      <c r="O776" s="5">
        <f>IF(M776="","",M776*J776)</f>
        <v/>
      </c>
      <c r="P776" s="5">
        <f>IF(N776="","",N776*J776)</f>
        <v/>
      </c>
      <c r="Q776" s="7" t="n">
        <v>0.06150000000000001</v>
      </c>
      <c r="R776" s="8" t="n">
        <v>17.492878</v>
      </c>
      <c r="S776" s="4" t="inlineStr">
        <is>
          <t>ASX50</t>
        </is>
      </c>
      <c r="T776" s="9" t="inlineStr">
        <is>
          <t>SI</t>
        </is>
      </c>
      <c r="U776" s="9" t="inlineStr"/>
      <c r="V776" s="10">
        <f>Umbrales!$B$9*(K776/1000)^Umbrales!$B$10</f>
        <v/>
      </c>
    </row>
    <row r="777">
      <c r="A777" s="4" t="inlineStr">
        <is>
          <t>LUV</t>
        </is>
      </c>
      <c r="B777" s="4" t="inlineStr">
        <is>
          <t>Southwest Airlines Co.</t>
        </is>
      </c>
      <c r="C777" s="4" t="inlineStr">
        <is>
          <t>United States</t>
        </is>
      </c>
      <c r="D777" s="4" t="inlineStr">
        <is>
          <t>US</t>
        </is>
      </c>
      <c r="E777" s="4" t="inlineStr">
        <is>
          <t>Industria</t>
        </is>
      </c>
      <c r="F777" s="4" t="inlineStr">
        <is>
          <t>Airlines</t>
        </is>
      </c>
      <c r="G777" s="4" t="inlineStr">
        <is>
          <t>NYQ</t>
        </is>
      </c>
      <c r="H777" s="4" t="inlineStr">
        <is>
          <t>USD</t>
        </is>
      </c>
      <c r="I777" s="5" t="n">
        <v>19587.897344</v>
      </c>
      <c r="J777" s="6">
        <f>INDEX(FX!$B:$B,MATCH(H777,FX!$A:$A,0))</f>
        <v/>
      </c>
      <c r="K777" s="5">
        <f>I777*J777</f>
        <v/>
      </c>
      <c r="L777" s="4">
        <f>IF(U777&lt;&gt;"",U777,IF(K777&gt;=Umbrales!$B$2,"Legendaria",IF(K777&gt;=Umbrales!$B$3,"Épica",IF(K777&gt;=Umbrales!$B$4,"Rara",IF(K777&gt;=Umbrales!$B$5,"Poco común","Común")))))</f>
        <v/>
      </c>
      <c r="M777" s="5" t="n">
        <v>30072.999936</v>
      </c>
      <c r="N777" s="5" t="n">
        <v>837</v>
      </c>
      <c r="O777" s="5">
        <f>IF(M777="","",M777*J777)</f>
        <v/>
      </c>
      <c r="P777" s="5">
        <f>IF(N777="","",N777*J777)</f>
        <v/>
      </c>
      <c r="Q777" s="7" t="n">
        <v>0.0177</v>
      </c>
      <c r="R777" s="8" t="n">
        <v>25.025</v>
      </c>
      <c r="S777" s="4" t="inlineStr">
        <is>
          <t>SP500</t>
        </is>
      </c>
      <c r="T777" s="9" t="inlineStr">
        <is>
          <t>SI</t>
        </is>
      </c>
      <c r="U777" s="9" t="inlineStr"/>
      <c r="V777" s="10">
        <f>Umbrales!$B$9*(K777/1000)^Umbrales!$B$10</f>
        <v/>
      </c>
    </row>
    <row r="778">
      <c r="A778" s="4" t="inlineStr">
        <is>
          <t>BBY</t>
        </is>
      </c>
      <c r="B778" s="4" t="inlineStr">
        <is>
          <t>Best Buy Co., Inc.</t>
        </is>
      </c>
      <c r="C778" s="4" t="inlineStr">
        <is>
          <t>United States</t>
        </is>
      </c>
      <c r="D778" s="4" t="inlineStr">
        <is>
          <t>US</t>
        </is>
      </c>
      <c r="E778" s="4" t="inlineStr">
        <is>
          <t>Consumo cíclico</t>
        </is>
      </c>
      <c r="F778" s="4" t="inlineStr">
        <is>
          <t>Specialty Retail</t>
        </is>
      </c>
      <c r="G778" s="4" t="inlineStr">
        <is>
          <t>NYQ</t>
        </is>
      </c>
      <c r="H778" s="4" t="inlineStr">
        <is>
          <t>USD</t>
        </is>
      </c>
      <c r="I778" s="5" t="n">
        <v>19582.275584</v>
      </c>
      <c r="J778" s="6">
        <f>INDEX(FX!$B:$B,MATCH(H778,FX!$A:$A,0))</f>
        <v/>
      </c>
      <c r="K778" s="5">
        <f>I778*J778</f>
        <v/>
      </c>
      <c r="L778" s="4">
        <f>IF(U778&lt;&gt;"",U778,IF(K778&gt;=Umbrales!$B$2,"Legendaria",IF(K778&gt;=Umbrales!$B$3,"Épica",IF(K778&gt;=Umbrales!$B$4,"Rara",IF(K778&gt;=Umbrales!$B$5,"Poco común","Común")))))</f>
        <v/>
      </c>
      <c r="M778" s="5" t="n">
        <v>42201.001984</v>
      </c>
      <c r="N778" s="5" t="n">
        <v>1272</v>
      </c>
      <c r="O778" s="5">
        <f>IF(M778="","",M778*J778)</f>
        <v/>
      </c>
      <c r="P778" s="5">
        <f>IF(N778="","",N778*J778)</f>
        <v/>
      </c>
      <c r="Q778" s="7" t="n">
        <v>0.0437</v>
      </c>
      <c r="R778" s="8" t="n">
        <v>15.331692</v>
      </c>
      <c r="S778" s="4" t="inlineStr">
        <is>
          <t>SP500</t>
        </is>
      </c>
      <c r="T778" s="9" t="inlineStr">
        <is>
          <t>SI</t>
        </is>
      </c>
      <c r="U778" s="9" t="inlineStr"/>
      <c r="V778" s="10">
        <f>Umbrales!$B$9*(K778/1000)^Umbrales!$B$10</f>
        <v/>
      </c>
    </row>
    <row r="779">
      <c r="A779" s="4" t="inlineStr">
        <is>
          <t>1113.HK</t>
        </is>
      </c>
      <c r="B779" s="4" t="inlineStr">
        <is>
          <t>CK Asset Holdings Limited</t>
        </is>
      </c>
      <c r="C779" s="4" t="inlineStr">
        <is>
          <t>Hong Kong</t>
        </is>
      </c>
      <c r="D779" s="4" t="inlineStr">
        <is>
          <t>HK</t>
        </is>
      </c>
      <c r="E779" s="4" t="inlineStr">
        <is>
          <t>Inmobiliario</t>
        </is>
      </c>
      <c r="F779" s="4" t="inlineStr">
        <is>
          <t>Real Estate - Development</t>
        </is>
      </c>
      <c r="G779" s="4" t="inlineStr">
        <is>
          <t>HKG</t>
        </is>
      </c>
      <c r="H779" s="4" t="inlineStr">
        <is>
          <t>HKD</t>
        </is>
      </c>
      <c r="I779" s="5" t="n">
        <v>153640.271872</v>
      </c>
      <c r="J779" s="6">
        <f>INDEX(FX!$B:$B,MATCH(H779,FX!$A:$A,0))</f>
        <v/>
      </c>
      <c r="K779" s="5">
        <f>I779*J779</f>
        <v/>
      </c>
      <c r="L779" s="4">
        <f>IF(U779&lt;&gt;"",U779,IF(K779&gt;=Umbrales!$B$2,"Legendaria",IF(K779&gt;=Umbrales!$B$3,"Épica",IF(K779&gt;=Umbrales!$B$4,"Rara",IF(K779&gt;=Umbrales!$B$5,"Poco común","Común")))))</f>
        <v/>
      </c>
      <c r="M779" s="5" t="n">
        <v>72855.003136</v>
      </c>
      <c r="N779" s="5" t="n">
        <v>13228.000256</v>
      </c>
      <c r="O779" s="5">
        <f>IF(M779="","",M779*J779)</f>
        <v/>
      </c>
      <c r="P779" s="5">
        <f>IF(N779="","",N779*J779)</f>
        <v/>
      </c>
      <c r="Q779" s="7" t="n">
        <v>0.0406</v>
      </c>
      <c r="R779" s="8" t="n">
        <v>11.613757</v>
      </c>
      <c r="S779" s="4" t="inlineStr">
        <is>
          <t>HANGSENG</t>
        </is>
      </c>
      <c r="T779" s="9" t="inlineStr">
        <is>
          <t>SI</t>
        </is>
      </c>
      <c r="U779" s="9" t="inlineStr"/>
      <c r="V779" s="10">
        <f>Umbrales!$B$9*(K779/1000)^Umbrales!$B$10</f>
        <v/>
      </c>
    </row>
    <row r="780">
      <c r="A780" s="4" t="inlineStr">
        <is>
          <t>SBAC</t>
        </is>
      </c>
      <c r="B780" s="4" t="inlineStr">
        <is>
          <t>SBA Communications Corporation</t>
        </is>
      </c>
      <c r="C780" s="4" t="inlineStr">
        <is>
          <t>United States</t>
        </is>
      </c>
      <c r="D780" s="4" t="inlineStr">
        <is>
          <t>US</t>
        </is>
      </c>
      <c r="E780" s="4" t="inlineStr">
        <is>
          <t>Inmobiliario</t>
        </is>
      </c>
      <c r="F780" s="4" t="inlineStr">
        <is>
          <t>REIT - Specialty</t>
        </is>
      </c>
      <c r="G780" s="4" t="inlineStr">
        <is>
          <t>NMS</t>
        </is>
      </c>
      <c r="H780" s="4" t="inlineStr">
        <is>
          <t>USD</t>
        </is>
      </c>
      <c r="I780" s="5" t="n">
        <v>19572.72576</v>
      </c>
      <c r="J780" s="6">
        <f>INDEX(FX!$B:$B,MATCH(H780,FX!$A:$A,0))</f>
        <v/>
      </c>
      <c r="K780" s="5">
        <f>I780*J780</f>
        <v/>
      </c>
      <c r="L780" s="4">
        <f>IF(U780&lt;&gt;"",U780,IF(K780&gt;=Umbrales!$B$2,"Legendaria",IF(K780&gt;=Umbrales!$B$3,"Épica",IF(K780&gt;=Umbrales!$B$4,"Rara",IF(K780&gt;=Umbrales!$B$5,"Poco común","Común")))))</f>
        <v/>
      </c>
      <c r="M780" s="5" t="n">
        <v>2870.621952</v>
      </c>
      <c r="N780" s="5" t="n">
        <v>990.718016</v>
      </c>
      <c r="O780" s="5">
        <f>IF(M780="","",M780*J780)</f>
        <v/>
      </c>
      <c r="P780" s="5">
        <f>IF(N780="","",N780*J780)</f>
        <v/>
      </c>
      <c r="Q780" s="7" t="n">
        <v>0.0275</v>
      </c>
      <c r="R780" s="8" t="n">
        <v>20.010303</v>
      </c>
      <c r="S780" s="4" t="inlineStr">
        <is>
          <t>SP500</t>
        </is>
      </c>
      <c r="T780" s="9" t="inlineStr">
        <is>
          <t>SI</t>
        </is>
      </c>
      <c r="U780" s="9" t="inlineStr"/>
      <c r="V780" s="10">
        <f>Umbrales!$B$9*(K780/1000)^Umbrales!$B$10</f>
        <v/>
      </c>
    </row>
    <row r="781">
      <c r="A781" s="4" t="inlineStr">
        <is>
          <t>INDIGO.NS</t>
        </is>
      </c>
      <c r="B781" s="4" t="inlineStr">
        <is>
          <t>InterGlobe Aviation Limited</t>
        </is>
      </c>
      <c r="C781" s="4" t="inlineStr">
        <is>
          <t>India</t>
        </is>
      </c>
      <c r="D781" s="4" t="inlineStr">
        <is>
          <t>IN</t>
        </is>
      </c>
      <c r="E781" s="4" t="inlineStr">
        <is>
          <t>Industria</t>
        </is>
      </c>
      <c r="F781" s="4" t="inlineStr">
        <is>
          <t>Airlines</t>
        </is>
      </c>
      <c r="G781" s="4" t="inlineStr">
        <is>
          <t>NSI</t>
        </is>
      </c>
      <c r="H781" s="4" t="inlineStr">
        <is>
          <t>INR</t>
        </is>
      </c>
      <c r="I781" s="5" t="n">
        <v>1847608.868864</v>
      </c>
      <c r="J781" s="6">
        <f>INDEX(FX!$B:$B,MATCH(H781,FX!$A:$A,0))</f>
        <v/>
      </c>
      <c r="K781" s="5">
        <f>I781*J781</f>
        <v/>
      </c>
      <c r="L781" s="4">
        <f>IF(U781&lt;&gt;"",U781,IF(K781&gt;=Umbrales!$B$2,"Legendaria",IF(K781&gt;=Umbrales!$B$3,"Épica",IF(K781&gt;=Umbrales!$B$4,"Rara",IF(K781&gt;=Umbrales!$B$5,"Poco común","Común")))))</f>
        <v/>
      </c>
      <c r="M781" s="5" t="n">
        <v>890497.007616</v>
      </c>
      <c r="N781" s="5" t="n">
        <v>-48057.99936</v>
      </c>
      <c r="O781" s="5">
        <f>IF(M781="","",M781*J781)</f>
        <v/>
      </c>
      <c r="P781" s="5">
        <f>IF(N781="","",N781*J781)</f>
        <v/>
      </c>
      <c r="Q781" s="7" t="n">
        <v>0</v>
      </c>
      <c r="R781" s="8" t="n"/>
      <c r="S781" s="4" t="inlineStr">
        <is>
          <t>NIFTY50</t>
        </is>
      </c>
      <c r="T781" s="9" t="inlineStr">
        <is>
          <t>SI</t>
        </is>
      </c>
      <c r="U781" s="9" t="inlineStr"/>
      <c r="V781" s="10">
        <f>Umbrales!$B$9*(K781/1000)^Umbrales!$B$10</f>
        <v/>
      </c>
    </row>
    <row r="782">
      <c r="A782" s="4" t="inlineStr">
        <is>
          <t>TSN</t>
        </is>
      </c>
      <c r="B782" s="4" t="inlineStr">
        <is>
          <t>Tyson Foods, Inc.</t>
        </is>
      </c>
      <c r="C782" s="4" t="inlineStr">
        <is>
          <t>United States</t>
        </is>
      </c>
      <c r="D782" s="4" t="inlineStr">
        <is>
          <t>US</t>
        </is>
      </c>
      <c r="E782" s="4" t="inlineStr">
        <is>
          <t>Consumo básico</t>
        </is>
      </c>
      <c r="F782" s="4" t="inlineStr">
        <is>
          <t>Farm Products</t>
        </is>
      </c>
      <c r="G782" s="4" t="inlineStr">
        <is>
          <t>NYQ</t>
        </is>
      </c>
      <c r="H782" s="4" t="inlineStr">
        <is>
          <t>USD</t>
        </is>
      </c>
      <c r="I782" s="5" t="n">
        <v>19238.264832</v>
      </c>
      <c r="J782" s="6">
        <f>INDEX(FX!$B:$B,MATCH(H782,FX!$A:$A,0))</f>
        <v/>
      </c>
      <c r="K782" s="5">
        <f>I782*J782</f>
        <v/>
      </c>
      <c r="L782" s="4">
        <f>IF(U782&lt;&gt;"",U782,IF(K782&gt;=Umbrales!$B$2,"Legendaria",IF(K782&gt;=Umbrales!$B$3,"Épica",IF(K782&gt;=Umbrales!$B$4,"Rara",IF(K782&gt;=Umbrales!$B$5,"Poco común","Común")))))</f>
        <v/>
      </c>
      <c r="M782" s="5" t="n">
        <v>55694.000128</v>
      </c>
      <c r="N782" s="5" t="n">
        <v>574</v>
      </c>
      <c r="O782" s="5">
        <f>IF(M782="","",M782*J782)</f>
        <v/>
      </c>
      <c r="P782" s="5">
        <f>IF(N782="","",N782*J782)</f>
        <v/>
      </c>
      <c r="Q782" s="7" t="n">
        <v>0.0379</v>
      </c>
      <c r="R782" s="8" t="n">
        <v>33.54908</v>
      </c>
      <c r="S782" s="4" t="inlineStr">
        <is>
          <t>SP500</t>
        </is>
      </c>
      <c r="T782" s="9" t="inlineStr">
        <is>
          <t>SI</t>
        </is>
      </c>
      <c r="U782" s="9" t="inlineStr"/>
      <c r="V782" s="10">
        <f>Umbrales!$B$9*(K782/1000)^Umbrales!$B$10</f>
        <v/>
      </c>
    </row>
    <row r="783">
      <c r="A783" s="4" t="inlineStr">
        <is>
          <t>SAB.MC</t>
        </is>
      </c>
      <c r="B783" s="4" t="inlineStr">
        <is>
          <t>Banco de Sabadell, S.A.</t>
        </is>
      </c>
      <c r="C783" s="4" t="inlineStr">
        <is>
          <t>Spain</t>
        </is>
      </c>
      <c r="D783" s="4" t="inlineStr">
        <is>
          <t>ES</t>
        </is>
      </c>
      <c r="E783" s="4" t="inlineStr">
        <is>
          <t>Finanzas</t>
        </is>
      </c>
      <c r="F783" s="4" t="inlineStr">
        <is>
          <t>Banks - Diversified</t>
        </is>
      </c>
      <c r="G783" s="4" t="inlineStr">
        <is>
          <t>MCE</t>
        </is>
      </c>
      <c r="H783" s="4" t="inlineStr">
        <is>
          <t>EUR</t>
        </is>
      </c>
      <c r="I783" s="5" t="n">
        <v>17036.788736</v>
      </c>
      <c r="J783" s="6">
        <f>INDEX(FX!$B:$B,MATCH(H783,FX!$A:$A,0))</f>
        <v/>
      </c>
      <c r="K783" s="5">
        <f>I783*J783</f>
        <v/>
      </c>
      <c r="L783" s="4">
        <f>IF(U783&lt;&gt;"",U783,IF(K783&gt;=Umbrales!$B$2,"Legendaria",IF(K783&gt;=Umbrales!$B$3,"Épica",IF(K783&gt;=Umbrales!$B$4,"Rara",IF(K783&gt;=Umbrales!$B$5,"Poco común","Común")))))</f>
        <v/>
      </c>
      <c r="M783" s="5" t="n">
        <v>4243.62112</v>
      </c>
      <c r="N783" s="5" t="n">
        <v>909.288</v>
      </c>
      <c r="O783" s="5">
        <f>IF(M783="","",M783*J783)</f>
        <v/>
      </c>
      <c r="P783" s="5">
        <f>IF(N783="","",N783*J783)</f>
        <v/>
      </c>
      <c r="Q783" s="7" t="n">
        <v>0.0565</v>
      </c>
      <c r="R783" s="8" t="n">
        <v>15.1</v>
      </c>
      <c r="S783" s="4" t="inlineStr">
        <is>
          <t>IBEX35</t>
        </is>
      </c>
      <c r="T783" s="9" t="inlineStr">
        <is>
          <t>SI</t>
        </is>
      </c>
      <c r="U783" s="9" t="inlineStr"/>
      <c r="V783" s="10">
        <f>Umbrales!$B$9*(K783/1000)^Umbrales!$B$10</f>
        <v/>
      </c>
    </row>
    <row r="784">
      <c r="A784" s="4" t="inlineStr">
        <is>
          <t>BCE.TO</t>
        </is>
      </c>
      <c r="B784" s="4" t="inlineStr">
        <is>
          <t>BCE Inc.</t>
        </is>
      </c>
      <c r="C784" s="4" t="inlineStr">
        <is>
          <t>Canada</t>
        </is>
      </c>
      <c r="D784" s="4" t="inlineStr">
        <is>
          <t>CA</t>
        </is>
      </c>
      <c r="E784" s="4" t="inlineStr">
        <is>
          <t>Comunicación</t>
        </is>
      </c>
      <c r="F784" s="4" t="inlineStr">
        <is>
          <t>Telecom Services</t>
        </is>
      </c>
      <c r="G784" s="4" t="inlineStr">
        <is>
          <t>TOR</t>
        </is>
      </c>
      <c r="H784" s="4" t="inlineStr">
        <is>
          <t>CAD</t>
        </is>
      </c>
      <c r="I784" s="5" t="n">
        <v>27057.235968</v>
      </c>
      <c r="J784" s="6">
        <f>INDEX(FX!$B:$B,MATCH(H784,FX!$A:$A,0))</f>
        <v/>
      </c>
      <c r="K784" s="5">
        <f>I784*J784</f>
        <v/>
      </c>
      <c r="L784" s="4">
        <f>IF(U784&lt;&gt;"",U784,IF(K784&gt;=Umbrales!$B$2,"Legendaria",IF(K784&gt;=Umbrales!$B$3,"Épica",IF(K784&gt;=Umbrales!$B$4,"Rara",IF(K784&gt;=Umbrales!$B$5,"Poco común","Común")))))</f>
        <v/>
      </c>
      <c r="M784" s="5" t="n">
        <v>24796.99968</v>
      </c>
      <c r="N784" s="5" t="n">
        <v>6270.000128</v>
      </c>
      <c r="O784" s="5">
        <f>IF(M784="","",M784*J784)</f>
        <v/>
      </c>
      <c r="P784" s="5">
        <f>IF(N784="","",N784*J784)</f>
        <v/>
      </c>
      <c r="Q784" s="7" t="n">
        <v>0.06320000000000001</v>
      </c>
      <c r="R784" s="8" t="n">
        <v>4.3048964</v>
      </c>
      <c r="S784" s="4" t="inlineStr">
        <is>
          <t>TSX60</t>
        </is>
      </c>
      <c r="T784" s="9" t="inlineStr">
        <is>
          <t>SI</t>
        </is>
      </c>
      <c r="U784" s="9" t="inlineStr"/>
      <c r="V784" s="10">
        <f>Umbrales!$B$9*(K784/1000)^Umbrales!$B$10</f>
        <v/>
      </c>
    </row>
    <row r="785">
      <c r="A785" s="4" t="inlineStr">
        <is>
          <t>RI.PA</t>
        </is>
      </c>
      <c r="B785" s="4" t="inlineStr">
        <is>
          <t>Pernod Ricard SA</t>
        </is>
      </c>
      <c r="C785" s="4" t="inlineStr">
        <is>
          <t>France</t>
        </is>
      </c>
      <c r="D785" s="4" t="inlineStr">
        <is>
          <t>FR</t>
        </is>
      </c>
      <c r="E785" s="4" t="inlineStr">
        <is>
          <t>Consumo básico</t>
        </is>
      </c>
      <c r="F785" s="4" t="inlineStr">
        <is>
          <t>Beverages - Wineries &amp; Distilleries</t>
        </is>
      </c>
      <c r="G785" s="4" t="inlineStr">
        <is>
          <t>PAR</t>
        </is>
      </c>
      <c r="H785" s="4" t="inlineStr">
        <is>
          <t>EUR</t>
        </is>
      </c>
      <c r="I785" s="5" t="n">
        <v>16952.0896</v>
      </c>
      <c r="J785" s="6">
        <f>INDEX(FX!$B:$B,MATCH(H785,FX!$A:$A,0))</f>
        <v/>
      </c>
      <c r="K785" s="5">
        <f>I785*J785</f>
        <v/>
      </c>
      <c r="L785" s="4">
        <f>IF(U785&lt;&gt;"",U785,IF(K785&gt;=Umbrales!$B$2,"Legendaria",IF(K785&gt;=Umbrales!$B$3,"Épica",IF(K785&gt;=Umbrales!$B$4,"Rara",IF(K785&gt;=Umbrales!$B$5,"Poco común","Común")))))</f>
        <v/>
      </c>
      <c r="M785" s="5" t="n">
        <v>9404.000255999999</v>
      </c>
      <c r="N785" s="5" t="n">
        <v>1203.000064</v>
      </c>
      <c r="O785" s="5">
        <f>IF(M785="","",M785*J785)</f>
        <v/>
      </c>
      <c r="P785" s="5">
        <f>IF(N785="","",N785*J785)</f>
        <v/>
      </c>
      <c r="Q785" s="7" t="n">
        <v>0.0717</v>
      </c>
      <c r="R785" s="8" t="n">
        <v>14.113208</v>
      </c>
      <c r="S785" s="4" t="inlineStr">
        <is>
          <t>CAC40, EUROSTOXX50</t>
        </is>
      </c>
      <c r="T785" s="9" t="inlineStr">
        <is>
          <t>SI</t>
        </is>
      </c>
      <c r="U785" s="9" t="inlineStr"/>
      <c r="V785" s="10">
        <f>Umbrales!$B$9*(K785/1000)^Umbrales!$B$10</f>
        <v/>
      </c>
    </row>
    <row r="786">
      <c r="A786" s="4" t="inlineStr">
        <is>
          <t>FSLR</t>
        </is>
      </c>
      <c r="B786" s="4" t="inlineStr">
        <is>
          <t>First Solar, Inc.</t>
        </is>
      </c>
      <c r="C786" s="4" t="inlineStr">
        <is>
          <t>United States</t>
        </is>
      </c>
      <c r="D786" s="4" t="inlineStr">
        <is>
          <t>US</t>
        </is>
      </c>
      <c r="E786" s="4" t="inlineStr">
        <is>
          <t>Tecnología</t>
        </is>
      </c>
      <c r="F786" s="4" t="inlineStr">
        <is>
          <t>Solar</t>
        </is>
      </c>
      <c r="G786" s="4" t="inlineStr">
        <is>
          <t>NMS</t>
        </is>
      </c>
      <c r="H786" s="4" t="inlineStr">
        <is>
          <t>USD</t>
        </is>
      </c>
      <c r="I786" s="5" t="n">
        <v>18980.23936</v>
      </c>
      <c r="J786" s="6">
        <f>INDEX(FX!$B:$B,MATCH(H786,FX!$A:$A,0))</f>
        <v/>
      </c>
      <c r="K786" s="5">
        <f>I786*J786</f>
        <v/>
      </c>
      <c r="L786" s="4">
        <f>IF(U786&lt;&gt;"",U786,IF(K786&gt;=Umbrales!$B$2,"Legendaria",IF(K786&gt;=Umbrales!$B$3,"Épica",IF(K786&gt;=Umbrales!$B$4,"Rara",IF(K786&gt;=Umbrales!$B$5,"Poco común","Común")))))</f>
        <v/>
      </c>
      <c r="M786" s="5" t="n">
        <v>5378.07104</v>
      </c>
      <c r="N786" s="5" t="n">
        <v>1746.013952</v>
      </c>
      <c r="O786" s="5">
        <f>IF(M786="","",M786*J786)</f>
        <v/>
      </c>
      <c r="P786" s="5">
        <f>IF(N786="","",N786*J786)</f>
        <v/>
      </c>
      <c r="Q786" s="7" t="n">
        <v>0</v>
      </c>
      <c r="R786" s="8" t="n">
        <v>11.342967</v>
      </c>
      <c r="S786" s="4" t="inlineStr">
        <is>
          <t>SP500</t>
        </is>
      </c>
      <c r="T786" s="9" t="inlineStr">
        <is>
          <t>SI</t>
        </is>
      </c>
      <c r="U786" s="9" t="inlineStr"/>
      <c r="V786" s="10">
        <f>Umbrales!$B$9*(K786/1000)^Umbrales!$B$10</f>
        <v/>
      </c>
    </row>
    <row r="787">
      <c r="A787" s="4" t="inlineStr">
        <is>
          <t>SNA</t>
        </is>
      </c>
      <c r="B787" s="4" t="inlineStr">
        <is>
          <t>Snap-on Incorporated</t>
        </is>
      </c>
      <c r="C787" s="4" t="inlineStr">
        <is>
          <t>United States</t>
        </is>
      </c>
      <c r="D787" s="4" t="inlineStr">
        <is>
          <t>US</t>
        </is>
      </c>
      <c r="E787" s="4" t="inlineStr">
        <is>
          <t>Industria</t>
        </is>
      </c>
      <c r="F787" s="4" t="inlineStr">
        <is>
          <t>Tools &amp; Accessories</t>
        </is>
      </c>
      <c r="G787" s="4" t="inlineStr">
        <is>
          <t>NYQ</t>
        </is>
      </c>
      <c r="H787" s="4" t="inlineStr">
        <is>
          <t>USD</t>
        </is>
      </c>
      <c r="I787" s="5" t="n">
        <v>18979.198976</v>
      </c>
      <c r="J787" s="6">
        <f>INDEX(FX!$B:$B,MATCH(H787,FX!$A:$A,0))</f>
        <v/>
      </c>
      <c r="K787" s="5">
        <f>I787*J787</f>
        <v/>
      </c>
      <c r="L787" s="4">
        <f>IF(U787&lt;&gt;"",U787,IF(K787&gt;=Umbrales!$B$2,"Legendaria",IF(K787&gt;=Umbrales!$B$3,"Épica",IF(K787&gt;=Umbrales!$B$4,"Rara",IF(K787&gt;=Umbrales!$B$5,"Poco común","Común")))))</f>
        <v/>
      </c>
      <c r="M787" s="5" t="n">
        <v>5274.899968</v>
      </c>
      <c r="N787" s="5" t="n">
        <v>1033.699968</v>
      </c>
      <c r="O787" s="5">
        <f>IF(M787="","",M787*J787)</f>
        <v/>
      </c>
      <c r="P787" s="5">
        <f>IF(N787="","",N787*J787)</f>
        <v/>
      </c>
      <c r="Q787" s="7" t="n">
        <v>0.0268</v>
      </c>
      <c r="R787" s="8" t="n">
        <v>18.700815</v>
      </c>
      <c r="S787" s="4" t="inlineStr">
        <is>
          <t>SP500</t>
        </is>
      </c>
      <c r="T787" s="9" t="inlineStr">
        <is>
          <t>SI</t>
        </is>
      </c>
      <c r="U787" s="9" t="inlineStr"/>
      <c r="V787" s="10">
        <f>Umbrales!$B$9*(K787/1000)^Umbrales!$B$10</f>
        <v/>
      </c>
    </row>
    <row r="788">
      <c r="A788" s="4" t="inlineStr">
        <is>
          <t>AC.MX</t>
        </is>
      </c>
      <c r="B788" s="4" t="inlineStr">
        <is>
          <t>Arca Continental, S.A.B. de C.V.</t>
        </is>
      </c>
      <c r="C788" s="4" t="inlineStr">
        <is>
          <t>Mexico</t>
        </is>
      </c>
      <c r="D788" s="4" t="inlineStr">
        <is>
          <t>MX</t>
        </is>
      </c>
      <c r="E788" s="4" t="inlineStr">
        <is>
          <t>Consumo básico</t>
        </is>
      </c>
      <c r="F788" s="4" t="inlineStr">
        <is>
          <t>Beverages - Non-Alcoholic</t>
        </is>
      </c>
      <c r="G788" s="4" t="inlineStr">
        <is>
          <t>MEX</t>
        </is>
      </c>
      <c r="H788" s="4" t="inlineStr">
        <is>
          <t>MXN</t>
        </is>
      </c>
      <c r="I788" s="5" t="n">
        <v>350031.314944</v>
      </c>
      <c r="J788" s="6">
        <f>INDEX(FX!$B:$B,MATCH(H788,FX!$A:$A,0))</f>
        <v/>
      </c>
      <c r="K788" s="5">
        <f>I788*J788</f>
        <v/>
      </c>
      <c r="L788" s="4">
        <f>IF(U788&lt;&gt;"",U788,IF(K788&gt;=Umbrales!$B$2,"Legendaria",IF(K788&gt;=Umbrales!$B$3,"Épica",IF(K788&gt;=Umbrales!$B$4,"Rara",IF(K788&gt;=Umbrales!$B$5,"Poco común","Común")))))</f>
        <v/>
      </c>
      <c r="M788" s="5" t="n">
        <v>250409.04192</v>
      </c>
      <c r="N788" s="5" t="n">
        <v>18712.385536</v>
      </c>
      <c r="O788" s="5">
        <f>IF(M788="","",M788*J788)</f>
        <v/>
      </c>
      <c r="P788" s="5">
        <f>IF(N788="","",N788*J788)</f>
        <v/>
      </c>
      <c r="Q788" s="7" t="n">
        <v>0.0382</v>
      </c>
      <c r="R788" s="8" t="n">
        <v>5.933218</v>
      </c>
      <c r="S788" s="4" t="inlineStr">
        <is>
          <t>IPC</t>
        </is>
      </c>
      <c r="T788" s="9" t="inlineStr">
        <is>
          <t>SI</t>
        </is>
      </c>
      <c r="U788" s="9" t="inlineStr"/>
      <c r="V788" s="10">
        <f>Umbrales!$B$9*(K788/1000)^Umbrales!$B$10</f>
        <v/>
      </c>
    </row>
    <row r="789">
      <c r="A789" s="4" t="inlineStr">
        <is>
          <t>EVRG</t>
        </is>
      </c>
      <c r="B789" s="4" t="inlineStr">
        <is>
          <t>Evergy, Inc.</t>
        </is>
      </c>
      <c r="C789" s="4" t="inlineStr">
        <is>
          <t>United States</t>
        </is>
      </c>
      <c r="D789" s="4" t="inlineStr">
        <is>
          <t>US</t>
        </is>
      </c>
      <c r="E789" s="4" t="inlineStr">
        <is>
          <t>Servicios públicos</t>
        </is>
      </c>
      <c r="F789" s="4" t="inlineStr">
        <is>
          <t>Utilities - Regulated Electric</t>
        </is>
      </c>
      <c r="G789" s="4" t="inlineStr">
        <is>
          <t>NMS</t>
        </is>
      </c>
      <c r="H789" s="4" t="inlineStr">
        <is>
          <t>USD</t>
        </is>
      </c>
      <c r="I789" s="5" t="n">
        <v>18891.52</v>
      </c>
      <c r="J789" s="6">
        <f>INDEX(FX!$B:$B,MATCH(H789,FX!$A:$A,0))</f>
        <v/>
      </c>
      <c r="K789" s="5">
        <f>I789*J789</f>
        <v/>
      </c>
      <c r="L789" s="4">
        <f>IF(U789&lt;&gt;"",U789,IF(K789&gt;=Umbrales!$B$2,"Legendaria",IF(K789&gt;=Umbrales!$B$3,"Épica",IF(K789&gt;=Umbrales!$B$4,"Rara",IF(K789&gt;=Umbrales!$B$5,"Poco común","Común")))))</f>
        <v/>
      </c>
      <c r="M789" s="5" t="n">
        <v>6093.899776</v>
      </c>
      <c r="N789" s="5" t="n">
        <v>925.8</v>
      </c>
      <c r="O789" s="5">
        <f>IF(M789="","",M789*J789)</f>
        <v/>
      </c>
      <c r="P789" s="5">
        <f>IF(N789="","",N789*J789)</f>
        <v/>
      </c>
      <c r="Q789" s="7" t="n">
        <v>0.0338</v>
      </c>
      <c r="R789" s="8" t="n">
        <v>20.690657</v>
      </c>
      <c r="S789" s="4" t="inlineStr">
        <is>
          <t>SP500</t>
        </is>
      </c>
      <c r="T789" s="9" t="inlineStr">
        <is>
          <t>SI</t>
        </is>
      </c>
      <c r="U789" s="9" t="inlineStr"/>
      <c r="V789" s="10">
        <f>Umbrales!$B$9*(K789/1000)^Umbrales!$B$10</f>
        <v/>
      </c>
    </row>
    <row r="790">
      <c r="A790" s="4" t="inlineStr">
        <is>
          <t>FIS</t>
        </is>
      </c>
      <c r="B790" s="4" t="inlineStr">
        <is>
          <t>Fidelity National Information Services, Inc.</t>
        </is>
      </c>
      <c r="C790" s="4" t="inlineStr">
        <is>
          <t>United States</t>
        </is>
      </c>
      <c r="D790" s="4" t="inlineStr">
        <is>
          <t>US</t>
        </is>
      </c>
      <c r="E790" s="4" t="inlineStr">
        <is>
          <t>Tecnología</t>
        </is>
      </c>
      <c r="F790" s="4" t="inlineStr">
        <is>
          <t>Information Technology Services</t>
        </is>
      </c>
      <c r="G790" s="4" t="inlineStr">
        <is>
          <t>NYQ</t>
        </is>
      </c>
      <c r="H790" s="4" t="inlineStr">
        <is>
          <t>USD</t>
        </is>
      </c>
      <c r="I790" s="5" t="n">
        <v>18840.244224</v>
      </c>
      <c r="J790" s="6">
        <f>INDEX(FX!$B:$B,MATCH(H790,FX!$A:$A,0))</f>
        <v/>
      </c>
      <c r="K790" s="5">
        <f>I790*J790</f>
        <v/>
      </c>
      <c r="L790" s="4">
        <f>IF(U790&lt;&gt;"",U790,IF(K790&gt;=Umbrales!$B$2,"Legendaria",IF(K790&gt;=Umbrales!$B$3,"Épica",IF(K790&gt;=Umbrales!$B$4,"Rara",IF(K790&gt;=Umbrales!$B$5,"Poco común","Común")))))</f>
        <v/>
      </c>
      <c r="M790" s="5" t="n">
        <v>12199.999488</v>
      </c>
      <c r="N790" s="5" t="n">
        <v>3372.999936</v>
      </c>
      <c r="O790" s="5">
        <f>IF(M790="","",M790*J790)</f>
        <v/>
      </c>
      <c r="P790" s="5">
        <f>IF(N790="","",N790*J790)</f>
        <v/>
      </c>
      <c r="Q790" s="7" t="n">
        <v>0.05</v>
      </c>
      <c r="R790" s="8" t="n">
        <v>5.5564027</v>
      </c>
      <c r="S790" s="4" t="inlineStr">
        <is>
          <t>SP500</t>
        </is>
      </c>
      <c r="T790" s="9" t="inlineStr">
        <is>
          <t>SI</t>
        </is>
      </c>
      <c r="U790" s="9" t="inlineStr"/>
      <c r="V790" s="10">
        <f>Umbrales!$B$9*(K790/1000)^Umbrales!$B$10</f>
        <v/>
      </c>
    </row>
    <row r="791">
      <c r="A791" s="4" t="inlineStr">
        <is>
          <t>BMED.MI</t>
        </is>
      </c>
      <c r="B791" s="4" t="inlineStr">
        <is>
          <t>Banca Mediolanum S.p.A.</t>
        </is>
      </c>
      <c r="C791" s="4" t="inlineStr">
        <is>
          <t>Italy</t>
        </is>
      </c>
      <c r="D791" s="4" t="inlineStr">
        <is>
          <t>IT</t>
        </is>
      </c>
      <c r="E791" s="4" t="inlineStr">
        <is>
          <t>Finanzas</t>
        </is>
      </c>
      <c r="F791" s="4" t="inlineStr">
        <is>
          <t>Banks - Regional</t>
        </is>
      </c>
      <c r="G791" s="4" t="inlineStr">
        <is>
          <t>MIL</t>
        </is>
      </c>
      <c r="H791" s="4" t="inlineStr">
        <is>
          <t>EUR</t>
        </is>
      </c>
      <c r="I791" s="5" t="n">
        <v>16767.6672</v>
      </c>
      <c r="J791" s="6">
        <f>INDEX(FX!$B:$B,MATCH(H791,FX!$A:$A,0))</f>
        <v/>
      </c>
      <c r="K791" s="5">
        <f>I791*J791</f>
        <v/>
      </c>
      <c r="L791" s="4">
        <f>IF(U791&lt;&gt;"",U791,IF(K791&gt;=Umbrales!$B$2,"Legendaria",IF(K791&gt;=Umbrales!$B$3,"Épica",IF(K791&gt;=Umbrales!$B$4,"Rara",IF(K791&gt;=Umbrales!$B$5,"Poco común","Común")))))</f>
        <v/>
      </c>
      <c r="M791" s="5" t="n">
        <v>2560.43008</v>
      </c>
      <c r="N791" s="5" t="n">
        <v>1316.144</v>
      </c>
      <c r="O791" s="5">
        <f>IF(M791="","",M791*J791)</f>
        <v/>
      </c>
      <c r="P791" s="5">
        <f>IF(N791="","",N791*J791)</f>
        <v/>
      </c>
      <c r="Q791" s="7" t="n">
        <v>0.0558</v>
      </c>
      <c r="R791" s="8" t="n">
        <v>13.034483</v>
      </c>
      <c r="S791" s="4" t="inlineStr">
        <is>
          <t>FTSEMIB</t>
        </is>
      </c>
      <c r="T791" s="9" t="inlineStr">
        <is>
          <t>SI</t>
        </is>
      </c>
      <c r="U791" s="9" t="inlineStr"/>
      <c r="V791" s="10">
        <f>Umbrales!$B$9*(K791/1000)^Umbrales!$B$10</f>
        <v/>
      </c>
    </row>
    <row r="792">
      <c r="A792" s="4" t="inlineStr">
        <is>
          <t>CDW</t>
        </is>
      </c>
      <c r="B792" s="4" t="inlineStr">
        <is>
          <t>CDW Corporation</t>
        </is>
      </c>
      <c r="C792" s="4" t="inlineStr">
        <is>
          <t>United States</t>
        </is>
      </c>
      <c r="D792" s="4" t="inlineStr">
        <is>
          <t>US</t>
        </is>
      </c>
      <c r="E792" s="4" t="inlineStr">
        <is>
          <t>Tecnología</t>
        </is>
      </c>
      <c r="F792" s="4" t="inlineStr">
        <is>
          <t>Information Technology Services</t>
        </is>
      </c>
      <c r="G792" s="4" t="inlineStr">
        <is>
          <t>NMS</t>
        </is>
      </c>
      <c r="H792" s="4" t="inlineStr">
        <is>
          <t>USD</t>
        </is>
      </c>
      <c r="I792" s="5" t="n">
        <v>18765.115392</v>
      </c>
      <c r="J792" s="6">
        <f>INDEX(FX!$B:$B,MATCH(H792,FX!$A:$A,0))</f>
        <v/>
      </c>
      <c r="K792" s="5">
        <f>I792*J792</f>
        <v/>
      </c>
      <c r="L792" s="4">
        <f>IF(U792&lt;&gt;"",U792,IF(K792&gt;=Umbrales!$B$2,"Legendaria",IF(K792&gt;=Umbrales!$B$3,"Épica",IF(K792&gt;=Umbrales!$B$4,"Rara",IF(K792&gt;=Umbrales!$B$5,"Poco común","Común")))))</f>
        <v/>
      </c>
      <c r="M792" s="5" t="n">
        <v>23500.40064</v>
      </c>
      <c r="N792" s="5" t="n">
        <v>1080.300032</v>
      </c>
      <c r="O792" s="5">
        <f>IF(M792="","",M792*J792)</f>
        <v/>
      </c>
      <c r="P792" s="5">
        <f>IF(N792="","",N792*J792)</f>
        <v/>
      </c>
      <c r="Q792" s="7" t="n">
        <v>0.0166</v>
      </c>
      <c r="R792" s="8" t="n">
        <v>18.260342</v>
      </c>
      <c r="S792" s="4" t="inlineStr">
        <is>
          <t>NASDAQ100, SP500</t>
        </is>
      </c>
      <c r="T792" s="9" t="inlineStr">
        <is>
          <t>SI</t>
        </is>
      </c>
      <c r="U792" s="9" t="inlineStr"/>
      <c r="V792" s="10">
        <f>Umbrales!$B$9*(K792/1000)^Umbrales!$B$10</f>
        <v/>
      </c>
    </row>
    <row r="793">
      <c r="A793" s="4" t="inlineStr">
        <is>
          <t>PE&amp;OLES.MX</t>
        </is>
      </c>
      <c r="B793" s="4" t="inlineStr">
        <is>
          <t>Industrias Peñoles, S.A.B. de C.V.</t>
        </is>
      </c>
      <c r="C793" s="4" t="inlineStr">
        <is>
          <t>Mexico</t>
        </is>
      </c>
      <c r="D793" s="4" t="inlineStr">
        <is>
          <t>MX</t>
        </is>
      </c>
      <c r="E793" s="4" t="inlineStr">
        <is>
          <t>Materiales</t>
        </is>
      </c>
      <c r="F793" s="4" t="inlineStr">
        <is>
          <t>Other Industrial Metals &amp; Mining</t>
        </is>
      </c>
      <c r="G793" s="4" t="inlineStr">
        <is>
          <t>MEX</t>
        </is>
      </c>
      <c r="H793" s="4" t="inlineStr">
        <is>
          <t>MXN</t>
        </is>
      </c>
      <c r="I793" s="5" t="n">
        <v>345251.414016</v>
      </c>
      <c r="J793" s="6">
        <f>INDEX(FX!$B:$B,MATCH(H793,FX!$A:$A,0))</f>
        <v/>
      </c>
      <c r="K793" s="5">
        <f>I793*J793</f>
        <v/>
      </c>
      <c r="L793" s="4">
        <f>IF(U793&lt;&gt;"",U793,IF(K793&gt;=Umbrales!$B$2,"Legendaria",IF(K793&gt;=Umbrales!$B$3,"Épica",IF(K793&gt;=Umbrales!$B$4,"Rara",IF(K793&gt;=Umbrales!$B$5,"Poco común","Común")))))</f>
        <v/>
      </c>
      <c r="M793" s="5" t="n">
        <v>11102.041088</v>
      </c>
      <c r="N793" s="5" t="n">
        <v>2160.505088</v>
      </c>
      <c r="O793" s="5">
        <f>IF(M793="","",M793*J793)</f>
        <v/>
      </c>
      <c r="P793" s="5">
        <f>IF(N793="","",N793*J793)</f>
        <v/>
      </c>
      <c r="Q793" s="7" t="n">
        <v>0.0073</v>
      </c>
      <c r="R793" s="8" t="n">
        <v>9.161587000000001</v>
      </c>
      <c r="S793" s="4" t="inlineStr">
        <is>
          <t>IPC</t>
        </is>
      </c>
      <c r="T793" s="9" t="inlineStr">
        <is>
          <t>SI</t>
        </is>
      </c>
      <c r="U793" s="9" t="inlineStr"/>
      <c r="V793" s="10">
        <f>Umbrales!$B$9*(K793/1000)^Umbrales!$B$10</f>
        <v/>
      </c>
    </row>
    <row r="794">
      <c r="A794" s="4" t="inlineStr">
        <is>
          <t>EFX</t>
        </is>
      </c>
      <c r="B794" s="4" t="inlineStr">
        <is>
          <t>Equifax Inc.</t>
        </is>
      </c>
      <c r="C794" s="4" t="inlineStr">
        <is>
          <t>United States</t>
        </is>
      </c>
      <c r="D794" s="4" t="inlineStr">
        <is>
          <t>US</t>
        </is>
      </c>
      <c r="E794" s="4" t="inlineStr">
        <is>
          <t>Industria</t>
        </is>
      </c>
      <c r="F794" s="4" t="inlineStr">
        <is>
          <t>Consulting Services</t>
        </is>
      </c>
      <c r="G794" s="4" t="inlineStr">
        <is>
          <t>NYQ</t>
        </is>
      </c>
      <c r="H794" s="4" t="inlineStr">
        <is>
          <t>USD</t>
        </is>
      </c>
      <c r="I794" s="5" t="n">
        <v>18681.27232</v>
      </c>
      <c r="J794" s="6">
        <f>INDEX(FX!$B:$B,MATCH(H794,FX!$A:$A,0))</f>
        <v/>
      </c>
      <c r="K794" s="5">
        <f>I794*J794</f>
        <v/>
      </c>
      <c r="L794" s="4">
        <f>IF(U794&lt;&gt;"",U794,IF(K794&gt;=Umbrales!$B$2,"Legendaria",IF(K794&gt;=Umbrales!$B$3,"Épica",IF(K794&gt;=Umbrales!$B$4,"Rara",IF(K794&gt;=Umbrales!$B$5,"Poco común","Común")))))</f>
        <v/>
      </c>
      <c r="M794" s="5" t="n">
        <v>6444.499968</v>
      </c>
      <c r="N794" s="5" t="n">
        <v>691.4</v>
      </c>
      <c r="O794" s="5">
        <f>IF(M794="","",M794*J794)</f>
        <v/>
      </c>
      <c r="P794" s="5">
        <f>IF(N794="","",N794*J794)</f>
        <v/>
      </c>
      <c r="Q794" s="7" t="n">
        <v>0.015</v>
      </c>
      <c r="R794" s="8" t="n">
        <v>27.750435</v>
      </c>
      <c r="S794" s="4" t="inlineStr">
        <is>
          <t>SP500</t>
        </is>
      </c>
      <c r="T794" s="9" t="inlineStr">
        <is>
          <t>SI</t>
        </is>
      </c>
      <c r="U794" s="9" t="inlineStr"/>
      <c r="V794" s="10">
        <f>Umbrales!$B$9*(K794/1000)^Umbrales!$B$10</f>
        <v/>
      </c>
    </row>
    <row r="795">
      <c r="A795" s="4" t="inlineStr">
        <is>
          <t>ESS</t>
        </is>
      </c>
      <c r="B795" s="4" t="inlineStr">
        <is>
          <t>Essex Property Trust, Inc.</t>
        </is>
      </c>
      <c r="C795" s="4" t="inlineStr">
        <is>
          <t>United States</t>
        </is>
      </c>
      <c r="D795" s="4" t="inlineStr">
        <is>
          <t>US</t>
        </is>
      </c>
      <c r="E795" s="4" t="inlineStr">
        <is>
          <t>Inmobiliario</t>
        </is>
      </c>
      <c r="F795" s="4" t="inlineStr">
        <is>
          <t>REIT - Residential</t>
        </is>
      </c>
      <c r="G795" s="4" t="inlineStr">
        <is>
          <t>NYQ</t>
        </is>
      </c>
      <c r="H795" s="4" t="inlineStr">
        <is>
          <t>USD</t>
        </is>
      </c>
      <c r="I795" s="5" t="n">
        <v>18672.795648</v>
      </c>
      <c r="J795" s="6">
        <f>INDEX(FX!$B:$B,MATCH(H795,FX!$A:$A,0))</f>
        <v/>
      </c>
      <c r="K795" s="5">
        <f>I795*J795</f>
        <v/>
      </c>
      <c r="L795" s="4">
        <f>IF(U795&lt;&gt;"",U795,IF(K795&gt;=Umbrales!$B$2,"Legendaria",IF(K795&gt;=Umbrales!$B$3,"Épica",IF(K795&gt;=Umbrales!$B$4,"Rara",IF(K795&gt;=Umbrales!$B$5,"Poco común","Común")))))</f>
        <v/>
      </c>
      <c r="M795" s="5" t="n">
        <v>1980.775936</v>
      </c>
      <c r="N795" s="5" t="n">
        <v>413.841984</v>
      </c>
      <c r="O795" s="5">
        <f>IF(M795="","",M795*J795)</f>
        <v/>
      </c>
      <c r="P795" s="5">
        <f>IF(N795="","",N795*J795)</f>
        <v/>
      </c>
      <c r="Q795" s="7" t="n">
        <v>0.0381</v>
      </c>
      <c r="R795" s="8" t="n">
        <v>42.529045</v>
      </c>
      <c r="S795" s="4" t="inlineStr">
        <is>
          <t>SP500</t>
        </is>
      </c>
      <c r="T795" s="9" t="inlineStr">
        <is>
          <t>SI</t>
        </is>
      </c>
      <c r="U795" s="9" t="inlineStr"/>
      <c r="V795" s="10">
        <f>Umbrales!$B$9*(K795/1000)^Umbrales!$B$10</f>
        <v/>
      </c>
    </row>
    <row r="796">
      <c r="A796" s="4" t="inlineStr">
        <is>
          <t>CLNX.MC</t>
        </is>
      </c>
      <c r="B796" s="4" t="inlineStr">
        <is>
          <t>Cellnex Telecom, S.A.</t>
        </is>
      </c>
      <c r="C796" s="4" t="inlineStr">
        <is>
          <t>Spain</t>
        </is>
      </c>
      <c r="D796" s="4" t="inlineStr">
        <is>
          <t>ES</t>
        </is>
      </c>
      <c r="E796" s="4" t="inlineStr">
        <is>
          <t>Inmobiliario</t>
        </is>
      </c>
      <c r="F796" s="4" t="inlineStr">
        <is>
          <t>Real Estate Services</t>
        </is>
      </c>
      <c r="G796" s="4" t="inlineStr">
        <is>
          <t>MCE</t>
        </is>
      </c>
      <c r="H796" s="4" t="inlineStr">
        <is>
          <t>EUR</t>
        </is>
      </c>
      <c r="I796" s="5" t="n">
        <v>16654.16704</v>
      </c>
      <c r="J796" s="6">
        <f>INDEX(FX!$B:$B,MATCH(H796,FX!$A:$A,0))</f>
        <v/>
      </c>
      <c r="K796" s="5">
        <f>I796*J796</f>
        <v/>
      </c>
      <c r="L796" s="4">
        <f>IF(U796&lt;&gt;"",U796,IF(K796&gt;=Umbrales!$B$2,"Legendaria",IF(K796&gt;=Umbrales!$B$3,"Épica",IF(K796&gt;=Umbrales!$B$4,"Rara",IF(K796&gt;=Umbrales!$B$5,"Poco común","Común")))))</f>
        <v/>
      </c>
      <c r="M796" s="5" t="n">
        <v>4174.724096</v>
      </c>
      <c r="N796" s="5" t="n">
        <v>-343.035008</v>
      </c>
      <c r="O796" s="5">
        <f>IF(M796="","",M796*J796)</f>
        <v/>
      </c>
      <c r="P796" s="5">
        <f>IF(N796="","",N796*J796)</f>
        <v/>
      </c>
      <c r="Q796" s="7" t="n">
        <v>0.0308</v>
      </c>
      <c r="R796" s="8" t="n"/>
      <c r="S796" s="4" t="inlineStr">
        <is>
          <t>IBEX35</t>
        </is>
      </c>
      <c r="T796" s="9" t="inlineStr">
        <is>
          <t>SI</t>
        </is>
      </c>
      <c r="U796" s="9" t="inlineStr"/>
      <c r="V796" s="10">
        <f>Umbrales!$B$9*(K796/1000)^Umbrales!$B$10</f>
        <v/>
      </c>
    </row>
    <row r="797">
      <c r="A797" s="4" t="inlineStr">
        <is>
          <t>ENX.PA</t>
        </is>
      </c>
      <c r="B797" s="4" t="inlineStr">
        <is>
          <t>Euronext N.V.</t>
        </is>
      </c>
      <c r="C797" s="4" t="inlineStr">
        <is>
          <t>Netherlands</t>
        </is>
      </c>
      <c r="D797" s="4" t="inlineStr">
        <is>
          <t>NL</t>
        </is>
      </c>
      <c r="E797" s="4" t="inlineStr">
        <is>
          <t>Finanzas</t>
        </is>
      </c>
      <c r="F797" s="4" t="inlineStr">
        <is>
          <t>Financial Data &amp; Stock Exchanges</t>
        </is>
      </c>
      <c r="G797" s="4" t="inlineStr">
        <is>
          <t>PAR</t>
        </is>
      </c>
      <c r="H797" s="4" t="inlineStr">
        <is>
          <t>EUR</t>
        </is>
      </c>
      <c r="I797" s="5" t="n">
        <v>16646.624256</v>
      </c>
      <c r="J797" s="6">
        <f>INDEX(FX!$B:$B,MATCH(H797,FX!$A:$A,0))</f>
        <v/>
      </c>
      <c r="K797" s="5">
        <f>I797*J797</f>
        <v/>
      </c>
      <c r="L797" s="4">
        <f>IF(U797&lt;&gt;"",U797,IF(K797&gt;=Umbrales!$B$2,"Legendaria",IF(K797&gt;=Umbrales!$B$3,"Épica",IF(K797&gt;=Umbrales!$B$4,"Rara",IF(K797&gt;=Umbrales!$B$5,"Poco común","Común")))))</f>
        <v/>
      </c>
      <c r="M797" s="5" t="n">
        <v>1964.728064</v>
      </c>
      <c r="N797" s="5" t="n">
        <v>705.563008</v>
      </c>
      <c r="O797" s="5">
        <f>IF(M797="","",M797*J797)</f>
        <v/>
      </c>
      <c r="P797" s="5">
        <f>IF(N797="","",N797*J797)</f>
        <v/>
      </c>
      <c r="Q797" s="7" t="n">
        <v>0.0192</v>
      </c>
      <c r="R797" s="8" t="n">
        <v>24.25872</v>
      </c>
      <c r="S797" s="4" t="inlineStr">
        <is>
          <t>CAC40</t>
        </is>
      </c>
      <c r="T797" s="9" t="inlineStr">
        <is>
          <t>SI</t>
        </is>
      </c>
      <c r="U797" s="9" t="inlineStr"/>
      <c r="V797" s="10">
        <f>Umbrales!$B$9*(K797/1000)^Umbrales!$B$10</f>
        <v/>
      </c>
    </row>
    <row r="798">
      <c r="A798" s="4" t="inlineStr">
        <is>
          <t>ESSITY-B.ST</t>
        </is>
      </c>
      <c r="B798" s="4" t="inlineStr">
        <is>
          <t>Essity AB (publ)</t>
        </is>
      </c>
      <c r="C798" s="4" t="inlineStr">
        <is>
          <t>Sweden</t>
        </is>
      </c>
      <c r="D798" s="4" t="inlineStr">
        <is>
          <t>SE</t>
        </is>
      </c>
      <c r="E798" s="4" t="inlineStr">
        <is>
          <t>Consumo básico</t>
        </is>
      </c>
      <c r="F798" s="4" t="inlineStr">
        <is>
          <t>Household &amp; Personal Products</t>
        </is>
      </c>
      <c r="G798" s="4" t="inlineStr">
        <is>
          <t>STO</t>
        </is>
      </c>
      <c r="H798" s="4" t="inlineStr">
        <is>
          <t>SEK</t>
        </is>
      </c>
      <c r="I798" s="5" t="n">
        <v>185320.013824</v>
      </c>
      <c r="J798" s="6">
        <f>INDEX(FX!$B:$B,MATCH(H798,FX!$A:$A,0))</f>
        <v/>
      </c>
      <c r="K798" s="5">
        <f>I798*J798</f>
        <v/>
      </c>
      <c r="L798" s="4">
        <f>IF(U798&lt;&gt;"",U798,IF(K798&gt;=Umbrales!$B$2,"Legendaria",IF(K798&gt;=Umbrales!$B$3,"Épica",IF(K798&gt;=Umbrales!$B$4,"Rara",IF(K798&gt;=Umbrales!$B$5,"Poco común","Común")))))</f>
        <v/>
      </c>
      <c r="M798" s="5" t="n">
        <v>137570.992128</v>
      </c>
      <c r="N798" s="5" t="n">
        <v>12117.000192</v>
      </c>
      <c r="O798" s="5">
        <f>IF(M798="","",M798*J798)</f>
        <v/>
      </c>
      <c r="P798" s="5">
        <f>IF(N798="","",N798*J798)</f>
        <v/>
      </c>
      <c r="Q798" s="7" t="n">
        <v>0.0329</v>
      </c>
      <c r="R798" s="8" t="n">
        <v>15.510435</v>
      </c>
      <c r="S798" s="4" t="inlineStr">
        <is>
          <t>OMXS30</t>
        </is>
      </c>
      <c r="T798" s="9" t="inlineStr">
        <is>
          <t>SI</t>
        </is>
      </c>
      <c r="U798" s="9" t="inlineStr"/>
      <c r="V798" s="10">
        <f>Umbrales!$B$9*(K798/1000)^Umbrales!$B$10</f>
        <v/>
      </c>
    </row>
    <row r="799">
      <c r="A799" s="4" t="inlineStr">
        <is>
          <t>PGHN.SW</t>
        </is>
      </c>
      <c r="B799" s="4" t="inlineStr">
        <is>
          <t>Partners Group Holding AG</t>
        </is>
      </c>
      <c r="C799" s="4" t="inlineStr">
        <is>
          <t>Switzerland</t>
        </is>
      </c>
      <c r="D799" s="4" t="inlineStr">
        <is>
          <t>CH</t>
        </is>
      </c>
      <c r="E799" s="4" t="inlineStr">
        <is>
          <t>Finanzas</t>
        </is>
      </c>
      <c r="F799" s="4" t="inlineStr">
        <is>
          <t>Asset Management</t>
        </is>
      </c>
      <c r="G799" s="4" t="inlineStr">
        <is>
          <t>EBS</t>
        </is>
      </c>
      <c r="H799" s="4" t="inlineStr">
        <is>
          <t>CHF</t>
        </is>
      </c>
      <c r="I799" s="5" t="n">
        <v>15413.157888</v>
      </c>
      <c r="J799" s="6">
        <f>INDEX(FX!$B:$B,MATCH(H799,FX!$A:$A,0))</f>
        <v/>
      </c>
      <c r="K799" s="5">
        <f>I799*J799</f>
        <v/>
      </c>
      <c r="L799" s="4">
        <f>IF(U799&lt;&gt;"",U799,IF(K799&gt;=Umbrales!$B$2,"Legendaria",IF(K799&gt;=Umbrales!$B$3,"Épica",IF(K799&gt;=Umbrales!$B$4,"Rara",IF(K799&gt;=Umbrales!$B$5,"Poco común","Común")))))</f>
        <v/>
      </c>
      <c r="M799" s="5" t="n">
        <v>2465.700096</v>
      </c>
      <c r="N799" s="5" t="n">
        <v>1184.600064</v>
      </c>
      <c r="O799" s="5">
        <f>IF(M799="","",M799*J799)</f>
        <v/>
      </c>
      <c r="P799" s="5">
        <f>IF(N799="","",N799*J799)</f>
        <v/>
      </c>
      <c r="Q799" s="7" t="n">
        <v>0.077</v>
      </c>
      <c r="R799" s="8" t="n">
        <v>13.052402</v>
      </c>
      <c r="S799" s="4" t="inlineStr">
        <is>
          <t>SMI</t>
        </is>
      </c>
      <c r="T799" s="9" t="inlineStr">
        <is>
          <t>SI</t>
        </is>
      </c>
      <c r="U799" s="9" t="inlineStr"/>
      <c r="V799" s="10">
        <f>Umbrales!$B$9*(K799/1000)^Umbrales!$B$10</f>
        <v/>
      </c>
    </row>
    <row r="800">
      <c r="A800" s="4" t="inlineStr">
        <is>
          <t>GPC</t>
        </is>
      </c>
      <c r="B800" s="4" t="inlineStr">
        <is>
          <t>Genuine Parts Company</t>
        </is>
      </c>
      <c r="C800" s="4" t="inlineStr">
        <is>
          <t>United States</t>
        </is>
      </c>
      <c r="D800" s="4" t="inlineStr">
        <is>
          <t>US</t>
        </is>
      </c>
      <c r="E800" s="4" t="inlineStr">
        <is>
          <t>Consumo cíclico</t>
        </is>
      </c>
      <c r="F800" s="4" t="inlineStr">
        <is>
          <t>Auto Parts</t>
        </is>
      </c>
      <c r="G800" s="4" t="inlineStr">
        <is>
          <t>NYQ</t>
        </is>
      </c>
      <c r="H800" s="4" t="inlineStr">
        <is>
          <t>USD</t>
        </is>
      </c>
      <c r="I800" s="5" t="n">
        <v>18586.253312</v>
      </c>
      <c r="J800" s="6">
        <f>INDEX(FX!$B:$B,MATCH(H800,FX!$A:$A,0))</f>
        <v/>
      </c>
      <c r="K800" s="5">
        <f>I800*J800</f>
        <v/>
      </c>
      <c r="L800" s="4">
        <f>IF(U800&lt;&gt;"",U800,IF(K800&gt;=Umbrales!$B$2,"Legendaria",IF(K800&gt;=Umbrales!$B$3,"Épica",IF(K800&gt;=Umbrales!$B$4,"Rara",IF(K800&gt;=Umbrales!$B$5,"Poco común","Común")))))</f>
        <v/>
      </c>
      <c r="M800" s="5" t="n">
        <v>25071.538176</v>
      </c>
      <c r="N800" s="5" t="n">
        <v>32.766</v>
      </c>
      <c r="O800" s="5">
        <f>IF(M800="","",M800*J800)</f>
        <v/>
      </c>
      <c r="P800" s="5">
        <f>IF(N800="","",N800*J800)</f>
        <v/>
      </c>
      <c r="Q800" s="7" t="n">
        <v>0.0325</v>
      </c>
      <c r="R800" s="8" t="n">
        <v>539.28</v>
      </c>
      <c r="S800" s="4" t="inlineStr">
        <is>
          <t>SP500</t>
        </is>
      </c>
      <c r="T800" s="9" t="inlineStr">
        <is>
          <t>SI</t>
        </is>
      </c>
      <c r="U800" s="9" t="inlineStr"/>
      <c r="V800" s="10">
        <f>Umbrales!$B$9*(K800/1000)^Umbrales!$B$10</f>
        <v/>
      </c>
    </row>
    <row r="801">
      <c r="A801" s="4" t="inlineStr">
        <is>
          <t>0027.HK</t>
        </is>
      </c>
      <c r="B801" s="4" t="inlineStr">
        <is>
          <t>Galaxy Entertainment Group Limited</t>
        </is>
      </c>
      <c r="C801" s="4" t="inlineStr">
        <is>
          <t>Hong Kong</t>
        </is>
      </c>
      <c r="D801" s="4" t="inlineStr">
        <is>
          <t>HK</t>
        </is>
      </c>
      <c r="E801" s="4" t="inlineStr">
        <is>
          <t>Consumo cíclico</t>
        </is>
      </c>
      <c r="F801" s="4" t="inlineStr">
        <is>
          <t>Resorts &amp; Casinos</t>
        </is>
      </c>
      <c r="G801" s="4" t="inlineStr">
        <is>
          <t>HKG</t>
        </is>
      </c>
      <c r="H801" s="4" t="inlineStr">
        <is>
          <t>HKD</t>
        </is>
      </c>
      <c r="I801" s="5" t="n">
        <v>145741.135872</v>
      </c>
      <c r="J801" s="6">
        <f>INDEX(FX!$B:$B,MATCH(H801,FX!$A:$A,0))</f>
        <v/>
      </c>
      <c r="K801" s="5">
        <f>I801*J801</f>
        <v/>
      </c>
      <c r="L801" s="4">
        <f>IF(U801&lt;&gt;"",U801,IF(K801&gt;=Umbrales!$B$2,"Legendaria",IF(K801&gt;=Umbrales!$B$3,"Épica",IF(K801&gt;=Umbrales!$B$4,"Rara",IF(K801&gt;=Umbrales!$B$5,"Poco común","Común")))))</f>
        <v/>
      </c>
      <c r="M801" s="5" t="n">
        <v>50279.85408</v>
      </c>
      <c r="N801" s="5" t="n">
        <v>10713.628672</v>
      </c>
      <c r="O801" s="5">
        <f>IF(M801="","",M801*J801)</f>
        <v/>
      </c>
      <c r="P801" s="5">
        <f>IF(N801="","",N801*J801)</f>
        <v/>
      </c>
      <c r="Q801" s="7" t="n">
        <v>0.0544</v>
      </c>
      <c r="R801" s="8" t="n">
        <v>13.639343</v>
      </c>
      <c r="S801" s="4" t="inlineStr">
        <is>
          <t>HANGSENG</t>
        </is>
      </c>
      <c r="T801" s="9" t="inlineStr">
        <is>
          <t>SI</t>
        </is>
      </c>
      <c r="U801" s="9" t="inlineStr"/>
      <c r="V801" s="10">
        <f>Umbrales!$B$9*(K801/1000)^Umbrales!$B$10</f>
        <v/>
      </c>
    </row>
    <row r="802">
      <c r="A802" s="4" t="inlineStr">
        <is>
          <t>SWKS</t>
        </is>
      </c>
      <c r="B802" s="4" t="inlineStr">
        <is>
          <t>Skyworks Solutions, Inc.</t>
        </is>
      </c>
      <c r="C802" s="4" t="inlineStr">
        <is>
          <t>United States</t>
        </is>
      </c>
      <c r="D802" s="4" t="inlineStr">
        <is>
          <t>US</t>
        </is>
      </c>
      <c r="E802" s="4" t="inlineStr">
        <is>
          <t>Tecnología</t>
        </is>
      </c>
      <c r="F802" s="4" t="inlineStr">
        <is>
          <t>Semiconductors</t>
        </is>
      </c>
      <c r="G802" s="4" t="inlineStr">
        <is>
          <t>NMS</t>
        </is>
      </c>
      <c r="H802" s="4" t="inlineStr">
        <is>
          <t>USD</t>
        </is>
      </c>
      <c r="I802" s="5" t="n">
        <v>18492.243968</v>
      </c>
      <c r="J802" s="6">
        <f>INDEX(FX!$B:$B,MATCH(H802,FX!$A:$A,0))</f>
        <v/>
      </c>
      <c r="K802" s="5">
        <f>I802*J802</f>
        <v/>
      </c>
      <c r="L802" s="4">
        <f>IF(U802&lt;&gt;"",U802,IF(K802&gt;=Umbrales!$B$2,"Legendaria",IF(K802&gt;=Umbrales!$B$3,"Épica",IF(K802&gt;=Umbrales!$B$4,"Rara",IF(K802&gt;=Umbrales!$B$5,"Poco común","Común")))))</f>
        <v/>
      </c>
      <c r="M802" s="5" t="n">
        <v>4014.099968</v>
      </c>
      <c r="N802" s="5" t="n">
        <v>290.1</v>
      </c>
      <c r="O802" s="5">
        <f>IF(M802="","",M802*J802)</f>
        <v/>
      </c>
      <c r="P802" s="5">
        <f>IF(N802="","",N802*J802)</f>
        <v/>
      </c>
      <c r="Q802" s="7" t="n">
        <v>0</v>
      </c>
      <c r="R802" s="8" t="n">
        <v>40.533504</v>
      </c>
      <c r="S802" s="4" t="inlineStr">
        <is>
          <t>SP500</t>
        </is>
      </c>
      <c r="T802" s="9" t="inlineStr">
        <is>
          <t>SI</t>
        </is>
      </c>
      <c r="U802" s="9" t="inlineStr"/>
      <c r="V802" s="10">
        <f>Umbrales!$B$9*(K802/1000)^Umbrales!$B$10</f>
        <v/>
      </c>
    </row>
    <row r="803">
      <c r="A803" s="4" t="inlineStr">
        <is>
          <t>CF</t>
        </is>
      </c>
      <c r="B803" s="4" t="inlineStr">
        <is>
          <t>CF Industries Holdings, Inc.</t>
        </is>
      </c>
      <c r="C803" s="4" t="inlineStr">
        <is>
          <t>United States</t>
        </is>
      </c>
      <c r="D803" s="4" t="inlineStr">
        <is>
          <t>US</t>
        </is>
      </c>
      <c r="E803" s="4" t="inlineStr">
        <is>
          <t>Materiales</t>
        </is>
      </c>
      <c r="F803" s="4" t="inlineStr">
        <is>
          <t>Agricultural Inputs</t>
        </is>
      </c>
      <c r="G803" s="4" t="inlineStr">
        <is>
          <t>NYQ</t>
        </is>
      </c>
      <c r="H803" s="4" t="inlineStr">
        <is>
          <t>USD</t>
        </is>
      </c>
      <c r="I803" s="5" t="n">
        <v>18411.79648</v>
      </c>
      <c r="J803" s="6">
        <f>INDEX(FX!$B:$B,MATCH(H803,FX!$A:$A,0))</f>
        <v/>
      </c>
      <c r="K803" s="5">
        <f>I803*J803</f>
        <v/>
      </c>
      <c r="L803" s="4">
        <f>IF(U803&lt;&gt;"",U803,IF(K803&gt;=Umbrales!$B$2,"Legendaria",IF(K803&gt;=Umbrales!$B$3,"Épica",IF(K803&gt;=Umbrales!$B$4,"Rara",IF(K803&gt;=Umbrales!$B$5,"Poco común","Común")))))</f>
        <v/>
      </c>
      <c r="M803" s="5" t="n">
        <v>7738.999808</v>
      </c>
      <c r="N803" s="5" t="n">
        <v>2099.000064</v>
      </c>
      <c r="O803" s="5">
        <f>IF(M803="","",M803*J803)</f>
        <v/>
      </c>
      <c r="P803" s="5">
        <f>IF(N803="","",N803*J803)</f>
        <v/>
      </c>
      <c r="Q803" s="7" t="n">
        <v>0.0205</v>
      </c>
      <c r="R803" s="8" t="n">
        <v>8.860889</v>
      </c>
      <c r="S803" s="4" t="inlineStr">
        <is>
          <t>SP500</t>
        </is>
      </c>
      <c r="T803" s="9" t="inlineStr">
        <is>
          <t>SI</t>
        </is>
      </c>
      <c r="U803" s="9" t="inlineStr"/>
      <c r="V803" s="10">
        <f>Umbrales!$B$9*(K803/1000)^Umbrales!$B$10</f>
        <v/>
      </c>
    </row>
    <row r="804">
      <c r="A804" s="4" t="inlineStr">
        <is>
          <t>LEN</t>
        </is>
      </c>
      <c r="B804" s="4" t="inlineStr">
        <is>
          <t>Lennar Corporation</t>
        </is>
      </c>
      <c r="C804" s="4" t="inlineStr">
        <is>
          <t>United States</t>
        </is>
      </c>
      <c r="D804" s="4" t="inlineStr">
        <is>
          <t>US</t>
        </is>
      </c>
      <c r="E804" s="4" t="inlineStr">
        <is>
          <t>Consumo cíclico</t>
        </is>
      </c>
      <c r="F804" s="4" t="inlineStr">
        <is>
          <t>Residential Construction</t>
        </is>
      </c>
      <c r="G804" s="4" t="inlineStr">
        <is>
          <t>NYQ</t>
        </is>
      </c>
      <c r="H804" s="4" t="inlineStr">
        <is>
          <t>USD</t>
        </is>
      </c>
      <c r="I804" s="5" t="n">
        <v>18263.601152</v>
      </c>
      <c r="J804" s="6">
        <f>INDEX(FX!$B:$B,MATCH(H804,FX!$A:$A,0))</f>
        <v/>
      </c>
      <c r="K804" s="5">
        <f>I804*J804</f>
        <v/>
      </c>
      <c r="L804" s="4">
        <f>IF(U804&lt;&gt;"",U804,IF(K804&gt;=Umbrales!$B$2,"Legendaria",IF(K804&gt;=Umbrales!$B$3,"Épica",IF(K804&gt;=Umbrales!$B$4,"Rara",IF(K804&gt;=Umbrales!$B$5,"Poco común","Común")))))</f>
        <v/>
      </c>
      <c r="M804" s="5" t="n">
        <v>31973.076992</v>
      </c>
      <c r="N804" s="5" t="n">
        <v>1295.213056</v>
      </c>
      <c r="O804" s="5">
        <f>IF(M804="","",M804*J804)</f>
        <v/>
      </c>
      <c r="P804" s="5">
        <f>IF(N804="","",N804*J804)</f>
        <v/>
      </c>
      <c r="Q804" s="7" t="n">
        <v>0.0267</v>
      </c>
      <c r="R804" s="8" t="n">
        <v>14.539771</v>
      </c>
      <c r="S804" s="4" t="inlineStr">
        <is>
          <t>SP500</t>
        </is>
      </c>
      <c r="T804" s="9" t="inlineStr">
        <is>
          <t>SI</t>
        </is>
      </c>
      <c r="U804" s="9" t="inlineStr"/>
      <c r="V804" s="10">
        <f>Umbrales!$B$9*(K804/1000)^Umbrales!$B$10</f>
        <v/>
      </c>
    </row>
    <row r="805">
      <c r="A805" s="4" t="inlineStr">
        <is>
          <t>NDSN</t>
        </is>
      </c>
      <c r="B805" s="4" t="inlineStr">
        <is>
          <t>Nordson Corporation</t>
        </is>
      </c>
      <c r="C805" s="4" t="inlineStr">
        <is>
          <t>United States</t>
        </is>
      </c>
      <c r="D805" s="4" t="inlineStr">
        <is>
          <t>US</t>
        </is>
      </c>
      <c r="E805" s="4" t="inlineStr">
        <is>
          <t>Industria</t>
        </is>
      </c>
      <c r="F805" s="4" t="inlineStr">
        <is>
          <t>Specialty Industrial Machinery</t>
        </is>
      </c>
      <c r="G805" s="4" t="inlineStr">
        <is>
          <t>NMS</t>
        </is>
      </c>
      <c r="H805" s="4" t="inlineStr">
        <is>
          <t>USD</t>
        </is>
      </c>
      <c r="I805" s="5" t="n">
        <v>18250.860544</v>
      </c>
      <c r="J805" s="6">
        <f>INDEX(FX!$B:$B,MATCH(H805,FX!$A:$A,0))</f>
        <v/>
      </c>
      <c r="K805" s="5">
        <f>I805*J805</f>
        <v/>
      </c>
      <c r="L805" s="4">
        <f>IF(U805&lt;&gt;"",U805,IF(K805&gt;=Umbrales!$B$2,"Legendaria",IF(K805&gt;=Umbrales!$B$3,"Épica",IF(K805&gt;=Umbrales!$B$4,"Rara",IF(K805&gt;=Umbrales!$B$5,"Poco común","Común")))))</f>
        <v/>
      </c>
      <c r="M805" s="5" t="n">
        <v>2979.794944</v>
      </c>
      <c r="N805" s="5" t="n">
        <v>555.177984</v>
      </c>
      <c r="O805" s="5">
        <f>IF(M805="","",M805*J805)</f>
        <v/>
      </c>
      <c r="P805" s="5">
        <f>IF(N805="","",N805*J805)</f>
        <v/>
      </c>
      <c r="Q805" s="7" t="n">
        <v>0.0114</v>
      </c>
      <c r="R805" s="8" t="n">
        <v>33.32228</v>
      </c>
      <c r="S805" s="4" t="inlineStr">
        <is>
          <t>SP500</t>
        </is>
      </c>
      <c r="T805" s="9" t="inlineStr">
        <is>
          <t>SI</t>
        </is>
      </c>
      <c r="U805" s="9" t="inlineStr"/>
      <c r="V805" s="10">
        <f>Umbrales!$B$9*(K805/1000)^Umbrales!$B$10</f>
        <v/>
      </c>
    </row>
    <row r="806">
      <c r="A806" s="4" t="inlineStr">
        <is>
          <t>BXB.AX</t>
        </is>
      </c>
      <c r="B806" s="4" t="inlineStr">
        <is>
          <t>Brambles Limited</t>
        </is>
      </c>
      <c r="C806" s="4" t="inlineStr">
        <is>
          <t>Australia</t>
        </is>
      </c>
      <c r="D806" s="4" t="inlineStr">
        <is>
          <t>AU</t>
        </is>
      </c>
      <c r="E806" s="4" t="inlineStr">
        <is>
          <t>Industria</t>
        </is>
      </c>
      <c r="F806" s="4" t="inlineStr">
        <is>
          <t>Specialty Business Services</t>
        </is>
      </c>
      <c r="G806" s="4" t="inlineStr">
        <is>
          <t>ASX</t>
        </is>
      </c>
      <c r="H806" s="4" t="inlineStr">
        <is>
          <t>AUD</t>
        </is>
      </c>
      <c r="I806" s="5" t="n">
        <v>26346.17856</v>
      </c>
      <c r="J806" s="6">
        <f>INDEX(FX!$B:$B,MATCH(H806,FX!$A:$A,0))</f>
        <v/>
      </c>
      <c r="K806" s="5">
        <f>I806*J806</f>
        <v/>
      </c>
      <c r="L806" s="4">
        <f>IF(U806&lt;&gt;"",U806,IF(K806&gt;=Umbrales!$B$2,"Legendaria",IF(K806&gt;=Umbrales!$B$3,"Épica",IF(K806&gt;=Umbrales!$B$4,"Rara",IF(K806&gt;=Umbrales!$B$5,"Poco común","Común")))))</f>
        <v/>
      </c>
      <c r="M806" s="5" t="n">
        <v>7256.699904</v>
      </c>
      <c r="N806" s="5" t="n">
        <v>948.499968</v>
      </c>
      <c r="O806" s="5">
        <f>IF(M806="","",M806*J806)</f>
        <v/>
      </c>
      <c r="P806" s="5">
        <f>IF(N806="","",N806*J806)</f>
        <v/>
      </c>
      <c r="Q806" s="7" t="n">
        <v>0.0335</v>
      </c>
      <c r="R806" s="8" t="n">
        <v>19.076923</v>
      </c>
      <c r="S806" s="4" t="inlineStr">
        <is>
          <t>ASX50</t>
        </is>
      </c>
      <c r="T806" s="9" t="inlineStr">
        <is>
          <t>SI</t>
        </is>
      </c>
      <c r="U806" s="9" t="inlineStr"/>
      <c r="V806" s="10">
        <f>Umbrales!$B$9*(K806/1000)^Umbrales!$B$10</f>
        <v/>
      </c>
    </row>
    <row r="807">
      <c r="A807" s="4" t="inlineStr">
        <is>
          <t>0688.HK</t>
        </is>
      </c>
      <c r="B807" s="4" t="inlineStr">
        <is>
          <t>China Overseas Land &amp; Investment Limited</t>
        </is>
      </c>
      <c r="C807" s="4" t="inlineStr">
        <is>
          <t>Hong Kong</t>
        </is>
      </c>
      <c r="D807" s="4" t="inlineStr">
        <is>
          <t>HK</t>
        </is>
      </c>
      <c r="E807" s="4" t="inlineStr">
        <is>
          <t>Inmobiliario</t>
        </is>
      </c>
      <c r="F807" s="4" t="inlineStr">
        <is>
          <t>Real Estate - Development</t>
        </is>
      </c>
      <c r="G807" s="4" t="inlineStr">
        <is>
          <t>HKG</t>
        </is>
      </c>
      <c r="H807" s="4" t="inlineStr">
        <is>
          <t>HKD</t>
        </is>
      </c>
      <c r="I807" s="5" t="n">
        <v>142830.731264</v>
      </c>
      <c r="J807" s="6">
        <f>INDEX(FX!$B:$B,MATCH(H807,FX!$A:$A,0))</f>
        <v/>
      </c>
      <c r="K807" s="5">
        <f>I807*J807</f>
        <v/>
      </c>
      <c r="L807" s="4">
        <f>IF(U807&lt;&gt;"",U807,IF(K807&gt;=Umbrales!$B$2,"Legendaria",IF(K807&gt;=Umbrales!$B$3,"Épica",IF(K807&gt;=Umbrales!$B$4,"Rara",IF(K807&gt;=Umbrales!$B$5,"Poco común","Común")))))</f>
        <v/>
      </c>
      <c r="M807" s="5" t="n">
        <v>182468.788224</v>
      </c>
      <c r="N807" s="5" t="n">
        <v>11122.527232</v>
      </c>
      <c r="O807" s="5">
        <f>IF(M807="","",M807*J807)</f>
        <v/>
      </c>
      <c r="P807" s="5">
        <f>IF(N807="","",N807*J807)</f>
        <v/>
      </c>
      <c r="Q807" s="7" t="n">
        <v>0.0369</v>
      </c>
      <c r="R807" s="8" t="n">
        <v>11.548673</v>
      </c>
      <c r="S807" s="4" t="inlineStr">
        <is>
          <t>HANGSENG</t>
        </is>
      </c>
      <c r="T807" s="9" t="inlineStr">
        <is>
          <t>SI</t>
        </is>
      </c>
      <c r="U807" s="9" t="inlineStr"/>
      <c r="V807" s="10">
        <f>Umbrales!$B$9*(K807/1000)^Umbrales!$B$10</f>
        <v/>
      </c>
    </row>
    <row r="808">
      <c r="A808" s="4" t="inlineStr">
        <is>
          <t>ZBH</t>
        </is>
      </c>
      <c r="B808" s="4" t="inlineStr">
        <is>
          <t>Zimmer Biomet Holdings, Inc.</t>
        </is>
      </c>
      <c r="C808" s="4" t="inlineStr">
        <is>
          <t>United States</t>
        </is>
      </c>
      <c r="D808" s="4" t="inlineStr">
        <is>
          <t>US</t>
        </is>
      </c>
      <c r="E808" s="4" t="inlineStr">
        <is>
          <t>Salud</t>
        </is>
      </c>
      <c r="F808" s="4" t="inlineStr">
        <is>
          <t>Medical Devices</t>
        </is>
      </c>
      <c r="G808" s="4" t="inlineStr">
        <is>
          <t>NYQ</t>
        </is>
      </c>
      <c r="H808" s="4" t="inlineStr">
        <is>
          <t>USD</t>
        </is>
      </c>
      <c r="I808" s="5" t="n">
        <v>18066.675712</v>
      </c>
      <c r="J808" s="6">
        <f>INDEX(FX!$B:$B,MATCH(H808,FX!$A:$A,0))</f>
        <v/>
      </c>
      <c r="K808" s="5">
        <f>I808*J808</f>
        <v/>
      </c>
      <c r="L808" s="4">
        <f>IF(U808&lt;&gt;"",U808,IF(K808&gt;=Umbrales!$B$2,"Legendaria",IF(K808&gt;=Umbrales!$B$3,"Épica",IF(K808&gt;=Umbrales!$B$4,"Rara",IF(K808&gt;=Umbrales!$B$5,"Poco común","Común")))))</f>
        <v/>
      </c>
      <c r="M808" s="5" t="n">
        <v>8508.799999999999</v>
      </c>
      <c r="N808" s="5" t="n">
        <v>806.700032</v>
      </c>
      <c r="O808" s="5">
        <f>IF(M808="","",M808*J808)</f>
        <v/>
      </c>
      <c r="P808" s="5">
        <f>IF(N808="","",N808*J808)</f>
        <v/>
      </c>
      <c r="Q808" s="7" t="n">
        <v>0.0104</v>
      </c>
      <c r="R808" s="8" t="n">
        <v>22.990292</v>
      </c>
      <c r="S808" s="4" t="inlineStr">
        <is>
          <t>SP500</t>
        </is>
      </c>
      <c r="T808" s="9" t="inlineStr">
        <is>
          <t>SI</t>
        </is>
      </c>
      <c r="U808" s="9" t="inlineStr"/>
      <c r="V808" s="10">
        <f>Umbrales!$B$9*(K808/1000)^Umbrales!$B$10</f>
        <v/>
      </c>
    </row>
    <row r="809">
      <c r="A809" s="4" t="inlineStr">
        <is>
          <t>TELIA.ST</t>
        </is>
      </c>
      <c r="B809" s="4" t="inlineStr">
        <is>
          <t>Telia Company AB (publ)</t>
        </is>
      </c>
      <c r="C809" s="4" t="inlineStr">
        <is>
          <t>Sweden</t>
        </is>
      </c>
      <c r="D809" s="4" t="inlineStr">
        <is>
          <t>SE</t>
        </is>
      </c>
      <c r="E809" s="4" t="inlineStr">
        <is>
          <t>Comunicación</t>
        </is>
      </c>
      <c r="F809" s="4" t="inlineStr">
        <is>
          <t>Telecom Services</t>
        </is>
      </c>
      <c r="G809" s="4" t="inlineStr">
        <is>
          <t>STO</t>
        </is>
      </c>
      <c r="H809" s="4" t="inlineStr">
        <is>
          <t>SEK</t>
        </is>
      </c>
      <c r="I809" s="5" t="n">
        <v>179658.063872</v>
      </c>
      <c r="J809" s="6">
        <f>INDEX(FX!$B:$B,MATCH(H809,FX!$A:$A,0))</f>
        <v/>
      </c>
      <c r="K809" s="5">
        <f>I809*J809</f>
        <v/>
      </c>
      <c r="L809" s="4">
        <f>IF(U809&lt;&gt;"",U809,IF(K809&gt;=Umbrales!$B$2,"Legendaria",IF(K809&gt;=Umbrales!$B$3,"Épica",IF(K809&gt;=Umbrales!$B$4,"Rara",IF(K809&gt;=Umbrales!$B$5,"Poco común","Común")))))</f>
        <v/>
      </c>
      <c r="M809" s="5" t="n">
        <v>81834.000384</v>
      </c>
      <c r="N809" s="5" t="n">
        <v>4908.000256</v>
      </c>
      <c r="O809" s="5">
        <f>IF(M809="","",M809*J809)</f>
        <v/>
      </c>
      <c r="P809" s="5">
        <f>IF(N809="","",N809*J809)</f>
        <v/>
      </c>
      <c r="Q809" s="7" t="n">
        <v>0.04769999999999999</v>
      </c>
      <c r="R809" s="8" t="n">
        <v>36.552</v>
      </c>
      <c r="S809" s="4" t="inlineStr">
        <is>
          <t>OMXS30</t>
        </is>
      </c>
      <c r="T809" s="9" t="inlineStr">
        <is>
          <t>SI</t>
        </is>
      </c>
      <c r="U809" s="9" t="inlineStr"/>
      <c r="V809" s="10">
        <f>Umbrales!$B$9*(K809/1000)^Umbrales!$B$10</f>
        <v/>
      </c>
    </row>
    <row r="810">
      <c r="A810" s="4" t="inlineStr">
        <is>
          <t>ABF.L</t>
        </is>
      </c>
      <c r="B810" s="4" t="inlineStr">
        <is>
          <t>Associated British Foods plc</t>
        </is>
      </c>
      <c r="C810" s="4" t="inlineStr">
        <is>
          <t>United Kingdom</t>
        </is>
      </c>
      <c r="D810" s="4" t="inlineStr">
        <is>
          <t>GB</t>
        </is>
      </c>
      <c r="E810" s="4" t="inlineStr">
        <is>
          <t>Consumo básico</t>
        </is>
      </c>
      <c r="F810" s="4" t="inlineStr">
        <is>
          <t>Packaged Foods</t>
        </is>
      </c>
      <c r="G810" s="4" t="inlineStr">
        <is>
          <t>LSE</t>
        </is>
      </c>
      <c r="H810" s="4" t="inlineStr">
        <is>
          <t>GBP</t>
        </is>
      </c>
      <c r="I810" s="5" t="n">
        <v>13578.856448</v>
      </c>
      <c r="J810" s="6">
        <f>INDEX(FX!$B:$B,MATCH(H810,FX!$A:$A,0))</f>
        <v/>
      </c>
      <c r="K810" s="5">
        <f>I810*J810</f>
        <v/>
      </c>
      <c r="L810" s="4">
        <f>IF(U810&lt;&gt;"",U810,IF(K810&gt;=Umbrales!$B$2,"Legendaria",IF(K810&gt;=Umbrales!$B$3,"Épica",IF(K810&gt;=Umbrales!$B$4,"Rara",IF(K810&gt;=Umbrales!$B$5,"Poco común","Común")))))</f>
        <v/>
      </c>
      <c r="M810" s="5" t="n">
        <v>19420.000256</v>
      </c>
      <c r="N810" s="5" t="n">
        <v>950</v>
      </c>
      <c r="O810" s="5">
        <f>IF(M810="","",M810*J810)</f>
        <v/>
      </c>
      <c r="P810" s="5">
        <f>IF(N810="","",N810*J810)</f>
        <v/>
      </c>
      <c r="Q810" s="7" t="n">
        <v>0.0337</v>
      </c>
      <c r="R810" s="8" t="n">
        <v>14.403704</v>
      </c>
      <c r="S810" s="4" t="inlineStr">
        <is>
          <t>FTSE100</t>
        </is>
      </c>
      <c r="T810" s="9" t="inlineStr">
        <is>
          <t>SI</t>
        </is>
      </c>
      <c r="U810" s="9" t="inlineStr"/>
      <c r="V810" s="10">
        <f>Umbrales!$B$9*(K810/1000)^Umbrales!$B$10</f>
        <v/>
      </c>
    </row>
    <row r="811">
      <c r="A811" s="4" t="inlineStr">
        <is>
          <t>IP</t>
        </is>
      </c>
      <c r="B811" s="4" t="inlineStr">
        <is>
          <t>International Paper Company</t>
        </is>
      </c>
      <c r="C811" s="4" t="inlineStr">
        <is>
          <t>United States</t>
        </is>
      </c>
      <c r="D811" s="4" t="inlineStr">
        <is>
          <t>US</t>
        </is>
      </c>
      <c r="E811" s="4" t="inlineStr">
        <is>
          <t>Consumo cíclico</t>
        </is>
      </c>
      <c r="F811" s="4" t="inlineStr">
        <is>
          <t>Packaging &amp; Containers</t>
        </is>
      </c>
      <c r="G811" s="4" t="inlineStr">
        <is>
          <t>NYQ</t>
        </is>
      </c>
      <c r="H811" s="4" t="inlineStr">
        <is>
          <t>USD</t>
        </is>
      </c>
      <c r="I811" s="5" t="n">
        <v>17904.758784</v>
      </c>
      <c r="J811" s="6">
        <f>INDEX(FX!$B:$B,MATCH(H811,FX!$A:$A,0))</f>
        <v/>
      </c>
      <c r="K811" s="5">
        <f>I811*J811</f>
        <v/>
      </c>
      <c r="L811" s="4">
        <f>IF(U811&lt;&gt;"",U811,IF(K811&gt;=Umbrales!$B$2,"Legendaria",IF(K811&gt;=Umbrales!$B$3,"Épica",IF(K811&gt;=Umbrales!$B$4,"Rara",IF(K811&gt;=Umbrales!$B$5,"Poco común","Común")))))</f>
        <v/>
      </c>
      <c r="M811" s="5" t="n">
        <v>24202.999808</v>
      </c>
      <c r="N811" s="5" t="n">
        <v>-2724.999936</v>
      </c>
      <c r="O811" s="5">
        <f>IF(M811="","",M811*J811)</f>
        <v/>
      </c>
      <c r="P811" s="5">
        <f>IF(N811="","",N811*J811)</f>
        <v/>
      </c>
      <c r="Q811" s="7" t="n">
        <v>0.0582</v>
      </c>
      <c r="R811" s="8" t="n"/>
      <c r="S811" s="4" t="inlineStr">
        <is>
          <t>SP500</t>
        </is>
      </c>
      <c r="T811" s="9" t="inlineStr">
        <is>
          <t>SI</t>
        </is>
      </c>
      <c r="U811" s="9" t="inlineStr"/>
      <c r="V811" s="10">
        <f>Umbrales!$B$9*(K811/1000)^Umbrales!$B$10</f>
        <v/>
      </c>
    </row>
    <row r="812">
      <c r="A812" s="4" t="inlineStr">
        <is>
          <t>GIS</t>
        </is>
      </c>
      <c r="B812" s="4" t="inlineStr">
        <is>
          <t>General Mills, Inc.</t>
        </is>
      </c>
      <c r="C812" s="4" t="inlineStr">
        <is>
          <t>United States</t>
        </is>
      </c>
      <c r="D812" s="4" t="inlineStr">
        <is>
          <t>US</t>
        </is>
      </c>
      <c r="E812" s="4" t="inlineStr">
        <is>
          <t>Consumo básico</t>
        </is>
      </c>
      <c r="F812" s="4" t="inlineStr">
        <is>
          <t>Packaged Foods</t>
        </is>
      </c>
      <c r="G812" s="4" t="inlineStr">
        <is>
          <t>NYQ</t>
        </is>
      </c>
      <c r="H812" s="4" t="inlineStr">
        <is>
          <t>USD</t>
        </is>
      </c>
      <c r="I812" s="5" t="n">
        <v>17888.118784</v>
      </c>
      <c r="J812" s="6">
        <f>INDEX(FX!$B:$B,MATCH(H812,FX!$A:$A,0))</f>
        <v/>
      </c>
      <c r="K812" s="5">
        <f>I812*J812</f>
        <v/>
      </c>
      <c r="L812" s="4">
        <f>IF(U812&lt;&gt;"",U812,IF(K812&gt;=Umbrales!$B$2,"Legendaria",IF(K812&gt;=Umbrales!$B$3,"Épica",IF(K812&gt;=Umbrales!$B$4,"Rara",IF(K812&gt;=Umbrales!$B$5,"Poco común","Común")))))</f>
        <v/>
      </c>
      <c r="M812" s="5" t="n">
        <v>18296.600576</v>
      </c>
      <c r="N812" s="5" t="n">
        <v>-894.8</v>
      </c>
      <c r="O812" s="5">
        <f>IF(M812="","",M812*J812)</f>
        <v/>
      </c>
      <c r="P812" s="5">
        <f>IF(N812="","",N812*J812)</f>
        <v/>
      </c>
      <c r="Q812" s="7" t="n">
        <v>0.0767</v>
      </c>
      <c r="R812" s="8" t="n"/>
      <c r="S812" s="4" t="inlineStr">
        <is>
          <t>SP500</t>
        </is>
      </c>
      <c r="T812" s="9" t="inlineStr">
        <is>
          <t>SI</t>
        </is>
      </c>
      <c r="U812" s="9" t="inlineStr"/>
      <c r="V812" s="10">
        <f>Umbrales!$B$9*(K812/1000)^Umbrales!$B$10</f>
        <v/>
      </c>
    </row>
    <row r="813">
      <c r="A813" s="4" t="inlineStr">
        <is>
          <t>NWS</t>
        </is>
      </c>
      <c r="B813" s="4" t="inlineStr">
        <is>
          <t>News Corporation</t>
        </is>
      </c>
      <c r="C813" s="4" t="inlineStr">
        <is>
          <t>United States</t>
        </is>
      </c>
      <c r="D813" s="4" t="inlineStr">
        <is>
          <t>US</t>
        </is>
      </c>
      <c r="E813" s="4" t="inlineStr">
        <is>
          <t>Comunicación</t>
        </is>
      </c>
      <c r="F813" s="4" t="inlineStr">
        <is>
          <t>Entertainment</t>
        </is>
      </c>
      <c r="G813" s="4" t="inlineStr">
        <is>
          <t>NMS</t>
        </is>
      </c>
      <c r="H813" s="4" t="inlineStr">
        <is>
          <t>USD</t>
        </is>
      </c>
      <c r="I813" s="5" t="n">
        <v>17826.58048</v>
      </c>
      <c r="J813" s="6">
        <f>INDEX(FX!$B:$B,MATCH(H813,FX!$A:$A,0))</f>
        <v/>
      </c>
      <c r="K813" s="5">
        <f>I813*J813</f>
        <v/>
      </c>
      <c r="L813" s="4">
        <f>IF(U813&lt;&gt;"",U813,IF(K813&gt;=Umbrales!$B$2,"Legendaria",IF(K813&gt;=Umbrales!$B$3,"Épica",IF(K813&gt;=Umbrales!$B$4,"Rara",IF(K813&gt;=Umbrales!$B$5,"Poco común","Común")))))</f>
        <v/>
      </c>
      <c r="M813" s="5" t="n">
        <v>9027.999744000001</v>
      </c>
      <c r="N813" s="5" t="n">
        <v>573</v>
      </c>
      <c r="O813" s="5">
        <f>IF(M813="","",M813*J813)</f>
        <v/>
      </c>
      <c r="P813" s="5">
        <f>IF(N813="","",N813*J813)</f>
        <v/>
      </c>
      <c r="Q813" s="7" t="n">
        <v>0.0061</v>
      </c>
      <c r="R813" s="8" t="n">
        <v>32.126213</v>
      </c>
      <c r="S813" s="4" t="inlineStr">
        <is>
          <t>SP500</t>
        </is>
      </c>
      <c r="T813" s="9" t="inlineStr">
        <is>
          <t>SI</t>
        </is>
      </c>
      <c r="U813" s="9" t="inlineStr"/>
      <c r="V813" s="10">
        <f>Umbrales!$B$9*(K813/1000)^Umbrales!$B$10</f>
        <v/>
      </c>
    </row>
    <row r="814">
      <c r="A814" s="4" t="inlineStr">
        <is>
          <t>ZBRA</t>
        </is>
      </c>
      <c r="B814" s="4" t="inlineStr">
        <is>
          <t>Zebra Technologies Corporation</t>
        </is>
      </c>
      <c r="C814" s="4" t="inlineStr">
        <is>
          <t>United States</t>
        </is>
      </c>
      <c r="D814" s="4" t="inlineStr">
        <is>
          <t>US</t>
        </is>
      </c>
      <c r="E814" s="4" t="inlineStr">
        <is>
          <t>Tecnología</t>
        </is>
      </c>
      <c r="F814" s="4" t="inlineStr">
        <is>
          <t>Communication Equipment</t>
        </is>
      </c>
      <c r="G814" s="4" t="inlineStr">
        <is>
          <t>NMS</t>
        </is>
      </c>
      <c r="H814" s="4" t="inlineStr">
        <is>
          <t>USD</t>
        </is>
      </c>
      <c r="I814" s="5" t="n">
        <v>17716.287488</v>
      </c>
      <c r="J814" s="6">
        <f>INDEX(FX!$B:$B,MATCH(H814,FX!$A:$A,0))</f>
        <v/>
      </c>
      <c r="K814" s="5">
        <f>I814*J814</f>
        <v/>
      </c>
      <c r="L814" s="4">
        <f>IF(U814&lt;&gt;"",U814,IF(K814&gt;=Umbrales!$B$2,"Legendaria",IF(K814&gt;=Umbrales!$B$3,"Épica",IF(K814&gt;=Umbrales!$B$4,"Rara",IF(K814&gt;=Umbrales!$B$5,"Poco común","Común")))))</f>
        <v/>
      </c>
      <c r="M814" s="5" t="n">
        <v>5847.000064</v>
      </c>
      <c r="N814" s="5" t="n">
        <v>539</v>
      </c>
      <c r="O814" s="5">
        <f>IF(M814="","",M814*J814)</f>
        <v/>
      </c>
      <c r="P814" s="5">
        <f>IF(N814="","",N814*J814)</f>
        <v/>
      </c>
      <c r="Q814" s="7" t="n">
        <v>0</v>
      </c>
      <c r="R814" s="8" t="n">
        <v>34.955826</v>
      </c>
      <c r="S814" s="4" t="inlineStr">
        <is>
          <t>SP500</t>
        </is>
      </c>
      <c r="T814" s="9" t="inlineStr">
        <is>
          <t>SI</t>
        </is>
      </c>
      <c r="U814" s="9" t="inlineStr"/>
      <c r="V814" s="10">
        <f>Umbrales!$B$9*(K814/1000)^Umbrales!$B$10</f>
        <v/>
      </c>
    </row>
    <row r="815">
      <c r="A815" s="4" t="inlineStr">
        <is>
          <t>MG.TO</t>
        </is>
      </c>
      <c r="B815" s="4" t="inlineStr">
        <is>
          <t>Magna International Inc.</t>
        </is>
      </c>
      <c r="C815" s="4" t="inlineStr">
        <is>
          <t>Canada</t>
        </is>
      </c>
      <c r="D815" s="4" t="inlineStr">
        <is>
          <t>CA</t>
        </is>
      </c>
      <c r="E815" s="4" t="inlineStr">
        <is>
          <t>Consumo cíclico</t>
        </is>
      </c>
      <c r="F815" s="4" t="inlineStr">
        <is>
          <t>Auto Parts</t>
        </is>
      </c>
      <c r="G815" s="4" t="inlineStr">
        <is>
          <t>TOR</t>
        </is>
      </c>
      <c r="H815" s="4" t="inlineStr">
        <is>
          <t>CAD</t>
        </is>
      </c>
      <c r="I815" s="5" t="n">
        <v>24991.70304</v>
      </c>
      <c r="J815" s="6">
        <f>INDEX(FX!$B:$B,MATCH(H815,FX!$A:$A,0))</f>
        <v/>
      </c>
      <c r="K815" s="5">
        <f>I815*J815</f>
        <v/>
      </c>
      <c r="L815" s="4">
        <f>IF(U815&lt;&gt;"",U815,IF(K815&gt;=Umbrales!$B$2,"Legendaria",IF(K815&gt;=Umbrales!$B$3,"Épica",IF(K815&gt;=Umbrales!$B$4,"Rara",IF(K815&gt;=Umbrales!$B$5,"Poco común","Común")))))</f>
        <v/>
      </c>
      <c r="M815" s="5" t="n">
        <v>42671.0016</v>
      </c>
      <c r="N815" s="5" t="n">
        <v>761</v>
      </c>
      <c r="O815" s="5">
        <f>IF(M815="","",M815*J815)</f>
        <v/>
      </c>
      <c r="P815" s="5">
        <f>IF(N815="","",N815*J815)</f>
        <v/>
      </c>
      <c r="Q815" s="7" t="n">
        <v>0.0296</v>
      </c>
      <c r="R815" s="8" t="n">
        <v>25.180592</v>
      </c>
      <c r="S815" s="4" t="inlineStr">
        <is>
          <t>TSX60</t>
        </is>
      </c>
      <c r="T815" s="9" t="inlineStr">
        <is>
          <t>SI</t>
        </is>
      </c>
      <c r="U815" s="9" t="inlineStr"/>
      <c r="V815" s="10">
        <f>Umbrales!$B$9*(K815/1000)^Umbrales!$B$10</f>
        <v/>
      </c>
    </row>
    <row r="816">
      <c r="A816" s="4" t="inlineStr">
        <is>
          <t>TOU.TO</t>
        </is>
      </c>
      <c r="B816" s="4" t="inlineStr">
        <is>
          <t>Tourmaline Oil Corp.</t>
        </is>
      </c>
      <c r="C816" s="4" t="inlineStr">
        <is>
          <t>Canada</t>
        </is>
      </c>
      <c r="D816" s="4" t="inlineStr">
        <is>
          <t>CA</t>
        </is>
      </c>
      <c r="E816" s="4" t="inlineStr">
        <is>
          <t>Energía</t>
        </is>
      </c>
      <c r="F816" s="4" t="inlineStr">
        <is>
          <t>Oil &amp; Gas E&amp;P</t>
        </is>
      </c>
      <c r="G816" s="4" t="inlineStr">
        <is>
          <t>TOR</t>
        </is>
      </c>
      <c r="H816" s="4" t="inlineStr">
        <is>
          <t>CAD</t>
        </is>
      </c>
      <c r="I816" s="5" t="n">
        <v>24924.911616</v>
      </c>
      <c r="J816" s="6">
        <f>INDEX(FX!$B:$B,MATCH(H816,FX!$A:$A,0))</f>
        <v/>
      </c>
      <c r="K816" s="5">
        <f>I816*J816</f>
        <v/>
      </c>
      <c r="L816" s="4">
        <f>IF(U816&lt;&gt;"",U816,IF(K816&gt;=Umbrales!$B$2,"Legendaria",IF(K816&gt;=Umbrales!$B$3,"Épica",IF(K816&gt;=Umbrales!$B$4,"Rara",IF(K816&gt;=Umbrales!$B$5,"Poco común","Común")))))</f>
        <v/>
      </c>
      <c r="M816" s="5" t="n">
        <v>4805.64992</v>
      </c>
      <c r="N816" s="5" t="n">
        <v>377.388992</v>
      </c>
      <c r="O816" s="5">
        <f>IF(M816="","",M816*J816)</f>
        <v/>
      </c>
      <c r="P816" s="5">
        <f>IF(N816="","",N816*J816)</f>
        <v/>
      </c>
      <c r="Q816" s="7" t="n">
        <v>0.0322</v>
      </c>
      <c r="R816" s="8" t="n">
        <v>69.71738999999999</v>
      </c>
      <c r="S816" s="4" t="inlineStr">
        <is>
          <t>TSX60</t>
        </is>
      </c>
      <c r="T816" s="9" t="inlineStr">
        <is>
          <t>SI</t>
        </is>
      </c>
      <c r="U816" s="9" t="inlineStr"/>
      <c r="V816" s="10">
        <f>Umbrales!$B$9*(K816/1000)^Umbrales!$B$10</f>
        <v/>
      </c>
    </row>
    <row r="817">
      <c r="A817" s="4" t="inlineStr">
        <is>
          <t>SBILIFE.NS</t>
        </is>
      </c>
      <c r="B817" s="4" t="inlineStr">
        <is>
          <t>SBI Life Insurance Company Limited</t>
        </is>
      </c>
      <c r="C817" s="4" t="inlineStr">
        <is>
          <t>India</t>
        </is>
      </c>
      <c r="D817" s="4" t="inlineStr">
        <is>
          <t>IN</t>
        </is>
      </c>
      <c r="E817" s="4" t="inlineStr">
        <is>
          <t>Finanzas</t>
        </is>
      </c>
      <c r="F817" s="4" t="inlineStr">
        <is>
          <t>Insurance - Life</t>
        </is>
      </c>
      <c r="G817" s="4" t="inlineStr">
        <is>
          <t>NSI</t>
        </is>
      </c>
      <c r="H817" s="4" t="inlineStr">
        <is>
          <t>INR</t>
        </is>
      </c>
      <c r="I817" s="5" t="n">
        <v>1667465.478144</v>
      </c>
      <c r="J817" s="6">
        <f>INDEX(FX!$B:$B,MATCH(H817,FX!$A:$A,0))</f>
        <v/>
      </c>
      <c r="K817" s="5">
        <f>I817*J817</f>
        <v/>
      </c>
      <c r="L817" s="4">
        <f>IF(U817&lt;&gt;"",U817,IF(K817&gt;=Umbrales!$B$2,"Legendaria",IF(K817&gt;=Umbrales!$B$3,"Épica",IF(K817&gt;=Umbrales!$B$4,"Rara",IF(K817&gt;=Umbrales!$B$5,"Poco común","Común")))))</f>
        <v/>
      </c>
      <c r="M817" s="5" t="n">
        <v>1215675.498496</v>
      </c>
      <c r="N817" s="5" t="n">
        <v>26008.600576</v>
      </c>
      <c r="O817" s="5">
        <f>IF(M817="","",M817*J817)</f>
        <v/>
      </c>
      <c r="P817" s="5">
        <f>IF(N817="","",N817*J817)</f>
        <v/>
      </c>
      <c r="Q817" s="7" t="n">
        <v>0.0016</v>
      </c>
      <c r="R817" s="8" t="n">
        <v>64.112656</v>
      </c>
      <c r="S817" s="4" t="inlineStr">
        <is>
          <t>NIFTY50</t>
        </is>
      </c>
      <c r="T817" s="9" t="inlineStr">
        <is>
          <t>SI</t>
        </is>
      </c>
      <c r="U817" s="9" t="inlineStr"/>
      <c r="V817" s="10">
        <f>Umbrales!$B$9*(K817/1000)^Umbrales!$B$10</f>
        <v/>
      </c>
    </row>
    <row r="818">
      <c r="A818" s="4" t="inlineStr">
        <is>
          <t>EN.PA</t>
        </is>
      </c>
      <c r="B818" s="4" t="inlineStr">
        <is>
          <t>Bouygues SA</t>
        </is>
      </c>
      <c r="C818" s="4" t="inlineStr">
        <is>
          <t>France</t>
        </is>
      </c>
      <c r="D818" s="4" t="inlineStr">
        <is>
          <t>FR</t>
        </is>
      </c>
      <c r="E818" s="4" t="inlineStr">
        <is>
          <t>Industria</t>
        </is>
      </c>
      <c r="F818" s="4" t="inlineStr">
        <is>
          <t>Engineering &amp; Construction</t>
        </is>
      </c>
      <c r="G818" s="4" t="inlineStr">
        <is>
          <t>PAR</t>
        </is>
      </c>
      <c r="H818" s="4" t="inlineStr">
        <is>
          <t>EUR</t>
        </is>
      </c>
      <c r="I818" s="5" t="n">
        <v>15630.493696</v>
      </c>
      <c r="J818" s="6">
        <f>INDEX(FX!$B:$B,MATCH(H818,FX!$A:$A,0))</f>
        <v/>
      </c>
      <c r="K818" s="5">
        <f>I818*J818</f>
        <v/>
      </c>
      <c r="L818" s="4">
        <f>IF(U818&lt;&gt;"",U818,IF(K818&gt;=Umbrales!$B$2,"Legendaria",IF(K818&gt;=Umbrales!$B$3,"Épica",IF(K818&gt;=Umbrales!$B$4,"Rara",IF(K818&gt;=Umbrales!$B$5,"Poco común","Común")))))</f>
        <v/>
      </c>
      <c r="M818" s="5" t="n">
        <v>56328.998912</v>
      </c>
      <c r="N818" s="5" t="n">
        <v>1252</v>
      </c>
      <c r="O818" s="5">
        <f>IF(M818="","",M818*J818)</f>
        <v/>
      </c>
      <c r="P818" s="5">
        <f>IF(N818="","",N818*J818)</f>
        <v/>
      </c>
      <c r="Q818" s="7" t="n">
        <v>0.0519</v>
      </c>
      <c r="R818" s="8" t="n">
        <v>12.504587</v>
      </c>
      <c r="S818" s="4" t="inlineStr">
        <is>
          <t>CAC40</t>
        </is>
      </c>
      <c r="T818" s="9" t="inlineStr">
        <is>
          <t>SI</t>
        </is>
      </c>
      <c r="U818" s="9" t="inlineStr"/>
      <c r="V818" s="10">
        <f>Umbrales!$B$9*(K818/1000)^Umbrales!$B$10</f>
        <v/>
      </c>
    </row>
    <row r="819">
      <c r="A819" s="4" t="inlineStr">
        <is>
          <t>DD</t>
        </is>
      </c>
      <c r="B819" s="4" t="inlineStr">
        <is>
          <t>DuPont de Nemours, Inc.</t>
        </is>
      </c>
      <c r="C819" s="4" t="inlineStr">
        <is>
          <t>United States</t>
        </is>
      </c>
      <c r="D819" s="4" t="inlineStr">
        <is>
          <t>US</t>
        </is>
      </c>
      <c r="E819" s="4" t="inlineStr">
        <is>
          <t>Materiales</t>
        </is>
      </c>
      <c r="F819" s="4" t="inlineStr">
        <is>
          <t>Specialty Chemicals</t>
        </is>
      </c>
      <c r="G819" s="4" t="inlineStr">
        <is>
          <t>NYQ</t>
        </is>
      </c>
      <c r="H819" s="4" t="inlineStr">
        <is>
          <t>USD</t>
        </is>
      </c>
      <c r="I819" s="5" t="n">
        <v>17498.515456</v>
      </c>
      <c r="J819" s="6">
        <f>INDEX(FX!$B:$B,MATCH(H819,FX!$A:$A,0))</f>
        <v/>
      </c>
      <c r="K819" s="5">
        <f>I819*J819</f>
        <v/>
      </c>
      <c r="L819" s="4">
        <f>IF(U819&lt;&gt;"",U819,IF(K819&gt;=Umbrales!$B$2,"Legendaria",IF(K819&gt;=Umbrales!$B$3,"Épica",IF(K819&gt;=Umbrales!$B$4,"Rara",IF(K819&gt;=Umbrales!$B$5,"Poco común","Común")))))</f>
        <v/>
      </c>
      <c r="M819" s="5" t="n">
        <v>6988.000256</v>
      </c>
      <c r="N819" s="5" t="n">
        <v>306</v>
      </c>
      <c r="O819" s="5">
        <f>IF(M819="","",M819*J819)</f>
        <v/>
      </c>
      <c r="P819" s="5">
        <f>IF(N819="","",N819*J819)</f>
        <v/>
      </c>
      <c r="Q819" s="7" t="n">
        <v>0.0185</v>
      </c>
      <c r="R819" s="8" t="n">
        <v>34.83871</v>
      </c>
      <c r="S819" s="4" t="inlineStr">
        <is>
          <t>SP500</t>
        </is>
      </c>
      <c r="T819" s="9" t="inlineStr">
        <is>
          <t>SI</t>
        </is>
      </c>
      <c r="U819" s="9" t="inlineStr"/>
      <c r="V819" s="10">
        <f>Umbrales!$B$9*(K819/1000)^Umbrales!$B$10</f>
        <v/>
      </c>
    </row>
    <row r="820">
      <c r="A820" s="4" t="inlineStr">
        <is>
          <t>LNT</t>
        </is>
      </c>
      <c r="B820" s="4" t="inlineStr">
        <is>
          <t>Alliant Energy Corporation</t>
        </is>
      </c>
      <c r="C820" s="4" t="inlineStr">
        <is>
          <t>United States</t>
        </is>
      </c>
      <c r="D820" s="4" t="inlineStr">
        <is>
          <t>US</t>
        </is>
      </c>
      <c r="E820" s="4" t="inlineStr">
        <is>
          <t>Servicios públicos</t>
        </is>
      </c>
      <c r="F820" s="4" t="inlineStr">
        <is>
          <t>Utilities - Regulated Electric</t>
        </is>
      </c>
      <c r="G820" s="4" t="inlineStr">
        <is>
          <t>NMS</t>
        </is>
      </c>
      <c r="H820" s="4" t="inlineStr">
        <is>
          <t>USD</t>
        </is>
      </c>
      <c r="I820" s="5" t="n">
        <v>17466.714112</v>
      </c>
      <c r="J820" s="6">
        <f>INDEX(FX!$B:$B,MATCH(H820,FX!$A:$A,0))</f>
        <v/>
      </c>
      <c r="K820" s="5">
        <f>I820*J820</f>
        <v/>
      </c>
      <c r="L820" s="4">
        <f>IF(U820&lt;&gt;"",U820,IF(K820&gt;=Umbrales!$B$2,"Legendaria",IF(K820&gt;=Umbrales!$B$3,"Épica",IF(K820&gt;=Umbrales!$B$4,"Rara",IF(K820&gt;=Umbrales!$B$5,"Poco común","Común")))))</f>
        <v/>
      </c>
      <c r="M820" s="5" t="n">
        <v>4429.000192</v>
      </c>
      <c r="N820" s="5" t="n">
        <v>817</v>
      </c>
      <c r="O820" s="5">
        <f>IF(M820="","",M820*J820)</f>
        <v/>
      </c>
      <c r="P820" s="5">
        <f>IF(N820="","",N820*J820)</f>
        <v/>
      </c>
      <c r="Q820" s="7" t="n">
        <v>0.032</v>
      </c>
      <c r="R820" s="8" t="n">
        <v>21.117554</v>
      </c>
      <c r="S820" s="4" t="inlineStr">
        <is>
          <t>SP500</t>
        </is>
      </c>
      <c r="T820" s="9" t="inlineStr">
        <is>
          <t>SI</t>
        </is>
      </c>
      <c r="U820" s="9" t="inlineStr"/>
      <c r="V820" s="10">
        <f>Umbrales!$B$9*(K820/1000)^Umbrales!$B$10</f>
        <v/>
      </c>
    </row>
    <row r="821">
      <c r="A821" s="4" t="inlineStr">
        <is>
          <t>FTV</t>
        </is>
      </c>
      <c r="B821" s="4" t="inlineStr">
        <is>
          <t>Fortive Corporation</t>
        </is>
      </c>
      <c r="C821" s="4" t="inlineStr">
        <is>
          <t>United States</t>
        </is>
      </c>
      <c r="D821" s="4" t="inlineStr">
        <is>
          <t>US</t>
        </is>
      </c>
      <c r="E821" s="4" t="inlineStr">
        <is>
          <t>Tecnología</t>
        </is>
      </c>
      <c r="F821" s="4" t="inlineStr">
        <is>
          <t>Scientific &amp; Technical Instruments</t>
        </is>
      </c>
      <c r="G821" s="4" t="inlineStr">
        <is>
          <t>NYQ</t>
        </is>
      </c>
      <c r="H821" s="4" t="inlineStr">
        <is>
          <t>USD</t>
        </is>
      </c>
      <c r="I821" s="5" t="n">
        <v>17441.099776</v>
      </c>
      <c r="J821" s="6">
        <f>INDEX(FX!$B:$B,MATCH(H821,FX!$A:$A,0))</f>
        <v/>
      </c>
      <c r="K821" s="5">
        <f>I821*J821</f>
        <v/>
      </c>
      <c r="L821" s="4">
        <f>IF(U821&lt;&gt;"",U821,IF(K821&gt;=Umbrales!$B$2,"Legendaria",IF(K821&gt;=Umbrales!$B$3,"Épica",IF(K821&gt;=Umbrales!$B$4,"Rara",IF(K821&gt;=Umbrales!$B$5,"Poco común","Común")))))</f>
        <v/>
      </c>
      <c r="M821" s="5" t="n">
        <v>4315.800064</v>
      </c>
      <c r="N821" s="5" t="n">
        <v>602.2</v>
      </c>
      <c r="O821" s="5">
        <f>IF(M821="","",M821*J821)</f>
        <v/>
      </c>
      <c r="P821" s="5">
        <f>IF(N821="","",N821*J821)</f>
        <v/>
      </c>
      <c r="Q821" s="7" t="n">
        <v>0.0048</v>
      </c>
      <c r="R821" s="8" t="n">
        <v>30.593582</v>
      </c>
      <c r="S821" s="4" t="inlineStr">
        <is>
          <t>SP500</t>
        </is>
      </c>
      <c r="T821" s="9" t="inlineStr">
        <is>
          <t>SI</t>
        </is>
      </c>
      <c r="U821" s="9" t="inlineStr"/>
      <c r="V821" s="10">
        <f>Umbrales!$B$9*(K821/1000)^Umbrales!$B$10</f>
        <v/>
      </c>
    </row>
    <row r="822">
      <c r="A822" s="4" t="inlineStr">
        <is>
          <t>NWS.AX</t>
        </is>
      </c>
      <c r="B822" s="4" t="inlineStr">
        <is>
          <t>News Corporation</t>
        </is>
      </c>
      <c r="C822" s="4" t="inlineStr">
        <is>
          <t>United States</t>
        </is>
      </c>
      <c r="D822" s="4" t="inlineStr">
        <is>
          <t>US</t>
        </is>
      </c>
      <c r="E822" s="4" t="inlineStr">
        <is>
          <t>Comunicación</t>
        </is>
      </c>
      <c r="F822" s="4" t="inlineStr">
        <is>
          <t>Entertainment</t>
        </is>
      </c>
      <c r="G822" s="4" t="inlineStr">
        <is>
          <t>ASX</t>
        </is>
      </c>
      <c r="H822" s="4" t="inlineStr">
        <is>
          <t>AUD</t>
        </is>
      </c>
      <c r="I822" s="5" t="n">
        <v>25174.857728</v>
      </c>
      <c r="J822" s="6">
        <f>INDEX(FX!$B:$B,MATCH(H822,FX!$A:$A,0))</f>
        <v/>
      </c>
      <c r="K822" s="5">
        <f>I822*J822</f>
        <v/>
      </c>
      <c r="L822" s="4">
        <f>IF(U822&lt;&gt;"",U822,IF(K822&gt;=Umbrales!$B$2,"Legendaria",IF(K822&gt;=Umbrales!$B$3,"Épica",IF(K822&gt;=Umbrales!$B$4,"Rara",IF(K822&gt;=Umbrales!$B$5,"Poco común","Común")))))</f>
        <v/>
      </c>
      <c r="M822" s="5" t="n">
        <v>9027.999744000001</v>
      </c>
      <c r="N822" s="5" t="n">
        <v>573</v>
      </c>
      <c r="O822" s="5">
        <f>IF(M822="","",M822*J822)</f>
        <v/>
      </c>
      <c r="P822" s="5">
        <f>IF(N822="","",N822*J822)</f>
        <v/>
      </c>
      <c r="Q822" s="7" t="n">
        <v>0.0062</v>
      </c>
      <c r="R822" s="8" t="n">
        <v>30.148388</v>
      </c>
      <c r="S822" s="4" t="inlineStr">
        <is>
          <t>ASX50</t>
        </is>
      </c>
      <c r="T822" s="9" t="inlineStr">
        <is>
          <t>SI</t>
        </is>
      </c>
      <c r="U822" s="9" t="inlineStr"/>
      <c r="V822" s="10">
        <f>Umbrales!$B$9*(K822/1000)^Umbrales!$B$10</f>
        <v/>
      </c>
    </row>
    <row r="823">
      <c r="A823" s="4" t="inlineStr">
        <is>
          <t>RCI-B.TO</t>
        </is>
      </c>
      <c r="B823" s="4" t="inlineStr">
        <is>
          <t>Rogers Communications Inc.</t>
        </is>
      </c>
      <c r="C823" s="4" t="inlineStr">
        <is>
          <t>Canada</t>
        </is>
      </c>
      <c r="D823" s="4" t="inlineStr">
        <is>
          <t>CA</t>
        </is>
      </c>
      <c r="E823" s="4" t="inlineStr">
        <is>
          <t>Comunicación</t>
        </is>
      </c>
      <c r="F823" s="4" t="inlineStr">
        <is>
          <t>Telecom Services</t>
        </is>
      </c>
      <c r="G823" s="4" t="inlineStr">
        <is>
          <t>TOR</t>
        </is>
      </c>
      <c r="H823" s="4" t="inlineStr">
        <is>
          <t>CAD</t>
        </is>
      </c>
      <c r="I823" s="5" t="n">
        <v>24720.707584</v>
      </c>
      <c r="J823" s="6">
        <f>INDEX(FX!$B:$B,MATCH(H823,FX!$A:$A,0))</f>
        <v/>
      </c>
      <c r="K823" s="5">
        <f>I823*J823</f>
        <v/>
      </c>
      <c r="L823" s="4">
        <f>IF(U823&lt;&gt;"",U823,IF(K823&gt;=Umbrales!$B$2,"Legendaria",IF(K823&gt;=Umbrales!$B$3,"Épica",IF(K823&gt;=Umbrales!$B$4,"Rara",IF(K823&gt;=Umbrales!$B$5,"Poco común","Común")))))</f>
        <v/>
      </c>
      <c r="M823" s="5" t="n">
        <v>22616.999936</v>
      </c>
      <c r="N823" s="5" t="n">
        <v>6168.999936</v>
      </c>
      <c r="O823" s="5">
        <f>IF(M823="","",M823*J823)</f>
        <v/>
      </c>
      <c r="P823" s="5">
        <f>IF(N823="","",N823*J823)</f>
        <v/>
      </c>
      <c r="Q823" s="7" t="n">
        <v>0.0457</v>
      </c>
      <c r="R823" s="8" t="n">
        <v>3.9965065</v>
      </c>
      <c r="S823" s="4" t="inlineStr">
        <is>
          <t>TSX60</t>
        </is>
      </c>
      <c r="T823" s="9" t="inlineStr">
        <is>
          <t>SI</t>
        </is>
      </c>
      <c r="U823" s="9" t="inlineStr"/>
      <c r="V823" s="10">
        <f>Umbrales!$B$9*(K823/1000)^Umbrales!$B$10</f>
        <v/>
      </c>
    </row>
    <row r="824">
      <c r="A824" s="4" t="inlineStr">
        <is>
          <t>IEX</t>
        </is>
      </c>
      <c r="B824" s="4" t="inlineStr">
        <is>
          <t>IDEX Corporation</t>
        </is>
      </c>
      <c r="C824" s="4" t="inlineStr">
        <is>
          <t>United States</t>
        </is>
      </c>
      <c r="D824" s="4" t="inlineStr">
        <is>
          <t>US</t>
        </is>
      </c>
      <c r="E824" s="4" t="inlineStr">
        <is>
          <t>Industria</t>
        </is>
      </c>
      <c r="F824" s="4" t="inlineStr">
        <is>
          <t>Specialty Industrial Machinery</t>
        </is>
      </c>
      <c r="G824" s="4" t="inlineStr">
        <is>
          <t>NYQ</t>
        </is>
      </c>
      <c r="H824" s="4" t="inlineStr">
        <is>
          <t>USD</t>
        </is>
      </c>
      <c r="I824" s="5" t="n">
        <v>17413.378048</v>
      </c>
      <c r="J824" s="6">
        <f>INDEX(FX!$B:$B,MATCH(H824,FX!$A:$A,0))</f>
        <v/>
      </c>
      <c r="K824" s="5">
        <f>I824*J824</f>
        <v/>
      </c>
      <c r="L824" s="4">
        <f>IF(U824&lt;&gt;"",U824,IF(K824&gt;=Umbrales!$B$2,"Legendaria",IF(K824&gt;=Umbrales!$B$3,"Épica",IF(K824&gt;=Umbrales!$B$4,"Rara",IF(K824&gt;=Umbrales!$B$5,"Poco común","Común")))))</f>
        <v/>
      </c>
      <c r="M824" s="5" t="n">
        <v>3585.299968</v>
      </c>
      <c r="N824" s="5" t="n">
        <v>519.5</v>
      </c>
      <c r="O824" s="5">
        <f>IF(M824="","",M824*J824)</f>
        <v/>
      </c>
      <c r="P824" s="5">
        <f>IF(N824="","",N824*J824)</f>
        <v/>
      </c>
      <c r="Q824" s="7" t="n">
        <v>0.0123</v>
      </c>
      <c r="R824" s="8" t="n">
        <v>34.183792</v>
      </c>
      <c r="S824" s="4" t="inlineStr">
        <is>
          <t>SP500</t>
        </is>
      </c>
      <c r="T824" s="9" t="inlineStr">
        <is>
          <t>SI</t>
        </is>
      </c>
      <c r="U824" s="9" t="inlineStr"/>
      <c r="V824" s="10">
        <f>Umbrales!$B$9*(K824/1000)^Umbrales!$B$10</f>
        <v/>
      </c>
    </row>
    <row r="825">
      <c r="A825" s="4" t="inlineStr">
        <is>
          <t>EVN.AX</t>
        </is>
      </c>
      <c r="B825" s="4" t="inlineStr">
        <is>
          <t>Evolution Mining Limited</t>
        </is>
      </c>
      <c r="C825" s="4" t="inlineStr">
        <is>
          <t>Australia</t>
        </is>
      </c>
      <c r="D825" s="4" t="inlineStr">
        <is>
          <t>AU</t>
        </is>
      </c>
      <c r="E825" s="4" t="inlineStr">
        <is>
          <t>Materiales</t>
        </is>
      </c>
      <c r="F825" s="4" t="inlineStr">
        <is>
          <t>Gold</t>
        </is>
      </c>
      <c r="G825" s="4" t="inlineStr">
        <is>
          <t>ASX</t>
        </is>
      </c>
      <c r="H825" s="4" t="inlineStr">
        <is>
          <t>AUD</t>
        </is>
      </c>
      <c r="I825" s="5" t="n">
        <v>25010.536448</v>
      </c>
      <c r="J825" s="6">
        <f>INDEX(FX!$B:$B,MATCH(H825,FX!$A:$A,0))</f>
        <v/>
      </c>
      <c r="K825" s="5">
        <f>I825*J825</f>
        <v/>
      </c>
      <c r="L825" s="4">
        <f>IF(U825&lt;&gt;"",U825,IF(K825&gt;=Umbrales!$B$2,"Legendaria",IF(K825&gt;=Umbrales!$B$3,"Épica",IF(K825&gt;=Umbrales!$B$4,"Rara",IF(K825&gt;=Umbrales!$B$5,"Poco común","Común")))))</f>
        <v/>
      </c>
      <c r="M825" s="5" t="n">
        <v>5558.77376</v>
      </c>
      <c r="N825" s="5" t="n">
        <v>1475.054976</v>
      </c>
      <c r="O825" s="5">
        <f>IF(M825="","",M825*J825)</f>
        <v/>
      </c>
      <c r="P825" s="5">
        <f>IF(N825="","",N825*J825)</f>
        <v/>
      </c>
      <c r="Q825" s="7" t="n">
        <v>0.0335</v>
      </c>
      <c r="R825" s="8" t="n">
        <v>17.225351</v>
      </c>
      <c r="S825" s="4" t="inlineStr">
        <is>
          <t>ASX50</t>
        </is>
      </c>
      <c r="T825" s="9" t="inlineStr">
        <is>
          <t>SI</t>
        </is>
      </c>
      <c r="U825" s="9" t="inlineStr"/>
      <c r="V825" s="10">
        <f>Umbrales!$B$9*(K825/1000)^Umbrales!$B$10</f>
        <v/>
      </c>
    </row>
    <row r="826">
      <c r="A826" s="4" t="inlineStr">
        <is>
          <t>RVTY</t>
        </is>
      </c>
      <c r="B826" s="4" t="inlineStr">
        <is>
          <t>Revvity, Inc.</t>
        </is>
      </c>
      <c r="C826" s="4" t="inlineStr">
        <is>
          <t>United States</t>
        </is>
      </c>
      <c r="D826" s="4" t="inlineStr">
        <is>
          <t>US</t>
        </is>
      </c>
      <c r="E826" s="4" t="inlineStr">
        <is>
          <t>Salud</t>
        </is>
      </c>
      <c r="F826" s="4" t="inlineStr">
        <is>
          <t>Diagnostics &amp; Research</t>
        </is>
      </c>
      <c r="G826" s="4" t="inlineStr">
        <is>
          <t>NYQ</t>
        </is>
      </c>
      <c r="H826" s="4" t="inlineStr">
        <is>
          <t>USD</t>
        </is>
      </c>
      <c r="I826" s="5" t="n">
        <v>17184.305152</v>
      </c>
      <c r="J826" s="6">
        <f>INDEX(FX!$B:$B,MATCH(H826,FX!$A:$A,0))</f>
        <v/>
      </c>
      <c r="K826" s="5">
        <f>I826*J826</f>
        <v/>
      </c>
      <c r="L826" s="4">
        <f>IF(U826&lt;&gt;"",U826,IF(K826&gt;=Umbrales!$B$2,"Legendaria",IF(K826&gt;=Umbrales!$B$3,"Épica",IF(K826&gt;=Umbrales!$B$4,"Rara",IF(K826&gt;=Umbrales!$B$5,"Poco común","Común")))))</f>
        <v/>
      </c>
      <c r="M826" s="5" t="n">
        <v>2911.811072</v>
      </c>
      <c r="N826" s="5" t="n">
        <v>237.366</v>
      </c>
      <c r="O826" s="5">
        <f>IF(M826="","",M826*J826)</f>
        <v/>
      </c>
      <c r="P826" s="5">
        <f>IF(N826="","",N826*J826)</f>
        <v/>
      </c>
      <c r="Q826" s="7" t="n">
        <v>0.0018</v>
      </c>
      <c r="R826" s="8" t="n">
        <v>75.121956</v>
      </c>
      <c r="S826" s="4" t="inlineStr">
        <is>
          <t>SP500</t>
        </is>
      </c>
      <c r="T826" s="9" t="inlineStr">
        <is>
          <t>SI</t>
        </is>
      </c>
      <c r="U826" s="9" t="inlineStr"/>
      <c r="V826" s="10">
        <f>Umbrales!$B$9*(K826/1000)^Umbrales!$B$10</f>
        <v/>
      </c>
    </row>
    <row r="827">
      <c r="A827" s="4" t="inlineStr">
        <is>
          <t>KPN.AS</t>
        </is>
      </c>
      <c r="B827" s="4" t="inlineStr">
        <is>
          <t>Koninklijke KPN N.V.</t>
        </is>
      </c>
      <c r="C827" s="4" t="inlineStr">
        <is>
          <t>Netherlands</t>
        </is>
      </c>
      <c r="D827" s="4" t="inlineStr">
        <is>
          <t>NL</t>
        </is>
      </c>
      <c r="E827" s="4" t="inlineStr">
        <is>
          <t>Comunicación</t>
        </is>
      </c>
      <c r="F827" s="4" t="inlineStr">
        <is>
          <t>Telecom Services</t>
        </is>
      </c>
      <c r="G827" s="4" t="inlineStr">
        <is>
          <t>AMS</t>
        </is>
      </c>
      <c r="H827" s="4" t="inlineStr">
        <is>
          <t>EUR</t>
        </is>
      </c>
      <c r="I827" s="5" t="n">
        <v>15307.270144</v>
      </c>
      <c r="J827" s="6">
        <f>INDEX(FX!$B:$B,MATCH(H827,FX!$A:$A,0))</f>
        <v/>
      </c>
      <c r="K827" s="5">
        <f>I827*J827</f>
        <v/>
      </c>
      <c r="L827" s="4">
        <f>IF(U827&lt;&gt;"",U827,IF(K827&gt;=Umbrales!$B$2,"Legendaria",IF(K827&gt;=Umbrales!$B$3,"Épica",IF(K827&gt;=Umbrales!$B$4,"Rara",IF(K827&gt;=Umbrales!$B$5,"Poco común","Común")))))</f>
        <v/>
      </c>
      <c r="M827" s="5" t="n">
        <v>5827.999744</v>
      </c>
      <c r="N827" s="5" t="n">
        <v>828</v>
      </c>
      <c r="O827" s="5">
        <f>IF(M827="","",M827*J827)</f>
        <v/>
      </c>
      <c r="P827" s="5">
        <f>IF(N827="","",N827*J827)</f>
        <v/>
      </c>
      <c r="Q827" s="7" t="n">
        <v>0.04849999999999999</v>
      </c>
      <c r="R827" s="8" t="n">
        <v>18.445456</v>
      </c>
      <c r="S827" s="4" t="inlineStr">
        <is>
          <t>AEX</t>
        </is>
      </c>
      <c r="T827" s="9" t="inlineStr">
        <is>
          <t>SI</t>
        </is>
      </c>
      <c r="U827" s="9" t="inlineStr"/>
      <c r="V827" s="10">
        <f>Umbrales!$B$9*(K827/1000)^Umbrales!$B$10</f>
        <v/>
      </c>
    </row>
    <row r="828">
      <c r="A828" s="4" t="inlineStr">
        <is>
          <t>TSCO</t>
        </is>
      </c>
      <c r="B828" s="4" t="inlineStr">
        <is>
          <t>Tractor Supply Company</t>
        </is>
      </c>
      <c r="C828" s="4" t="inlineStr">
        <is>
          <t>United States</t>
        </is>
      </c>
      <c r="D828" s="4" t="inlineStr">
        <is>
          <t>US</t>
        </is>
      </c>
      <c r="E828" s="4" t="inlineStr">
        <is>
          <t>Consumo cíclico</t>
        </is>
      </c>
      <c r="F828" s="4" t="inlineStr">
        <is>
          <t>Specialty Retail</t>
        </is>
      </c>
      <c r="G828" s="4" t="inlineStr">
        <is>
          <t>NMS</t>
        </is>
      </c>
      <c r="H828" s="4" t="inlineStr">
        <is>
          <t>USD</t>
        </is>
      </c>
      <c r="I828" s="5" t="n">
        <v>17157.851136</v>
      </c>
      <c r="J828" s="6">
        <f>INDEX(FX!$B:$B,MATCH(H828,FX!$A:$A,0))</f>
        <v/>
      </c>
      <c r="K828" s="5">
        <f>I828*J828</f>
        <v/>
      </c>
      <c r="L828" s="4">
        <f>IF(U828&lt;&gt;"",U828,IF(K828&gt;=Umbrales!$B$2,"Legendaria",IF(K828&gt;=Umbrales!$B$3,"Épica",IF(K828&gt;=Umbrales!$B$4,"Rara",IF(K828&gt;=Umbrales!$B$5,"Poco común","Común")))))</f>
        <v/>
      </c>
      <c r="M828" s="5" t="n">
        <v>15750.723584</v>
      </c>
      <c r="N828" s="5" t="n">
        <v>1011.913984</v>
      </c>
      <c r="O828" s="5">
        <f>IF(M828="","",M828*J828)</f>
        <v/>
      </c>
      <c r="P828" s="5">
        <f>IF(N828="","",N828*J828)</f>
        <v/>
      </c>
      <c r="Q828" s="7" t="n">
        <v>0.0285</v>
      </c>
      <c r="R828" s="8" t="n">
        <v>17.609625</v>
      </c>
      <c r="S828" s="4" t="inlineStr">
        <is>
          <t>SP500</t>
        </is>
      </c>
      <c r="T828" s="9" t="inlineStr">
        <is>
          <t>SI</t>
        </is>
      </c>
      <c r="U828" s="9" t="inlineStr"/>
      <c r="V828" s="10">
        <f>Umbrales!$B$9*(K828/1000)^Umbrales!$B$10</f>
        <v/>
      </c>
    </row>
    <row r="829">
      <c r="A829" s="4" t="inlineStr">
        <is>
          <t>0003.HK</t>
        </is>
      </c>
      <c r="B829" s="4" t="inlineStr">
        <is>
          <t>The Hong Kong and China Gas Company Limited</t>
        </is>
      </c>
      <c r="C829" s="4" t="inlineStr">
        <is>
          <t>Hong Kong</t>
        </is>
      </c>
      <c r="D829" s="4" t="inlineStr">
        <is>
          <t>HK</t>
        </is>
      </c>
      <c r="E829" s="4" t="inlineStr">
        <is>
          <t>Servicios públicos</t>
        </is>
      </c>
      <c r="F829" s="4" t="inlineStr">
        <is>
          <t>Utilities - Regulated Gas</t>
        </is>
      </c>
      <c r="G829" s="4" t="inlineStr">
        <is>
          <t>HKG</t>
        </is>
      </c>
      <c r="H829" s="4" t="inlineStr">
        <is>
          <t>HKD</t>
        </is>
      </c>
      <c r="I829" s="5" t="n">
        <v>134351.069184</v>
      </c>
      <c r="J829" s="6">
        <f>INDEX(FX!$B:$B,MATCH(H829,FX!$A:$A,0))</f>
        <v/>
      </c>
      <c r="K829" s="5">
        <f>I829*J829</f>
        <v/>
      </c>
      <c r="L829" s="4">
        <f>IF(U829&lt;&gt;"",U829,IF(K829&gt;=Umbrales!$B$2,"Legendaria",IF(K829&gt;=Umbrales!$B$3,"Épica",IF(K829&gt;=Umbrales!$B$4,"Rara",IF(K829&gt;=Umbrales!$B$5,"Poco común","Común")))))</f>
        <v/>
      </c>
      <c r="M829" s="5" t="n">
        <v>56338.198528</v>
      </c>
      <c r="N829" s="5" t="n">
        <v>6364.499968</v>
      </c>
      <c r="O829" s="5">
        <f>IF(M829="","",M829*J829)</f>
        <v/>
      </c>
      <c r="P829" s="5">
        <f>IF(N829="","",N829*J829)</f>
        <v/>
      </c>
      <c r="Q829" s="7" t="n">
        <v>0.0484</v>
      </c>
      <c r="R829" s="8" t="n">
        <v>21.17647</v>
      </c>
      <c r="S829" s="4" t="inlineStr">
        <is>
          <t>HANGSENG</t>
        </is>
      </c>
      <c r="T829" s="9" t="inlineStr">
        <is>
          <t>SI</t>
        </is>
      </c>
      <c r="U829" s="9" t="inlineStr"/>
      <c r="V829" s="10">
        <f>Umbrales!$B$9*(K829/1000)^Umbrales!$B$10</f>
        <v/>
      </c>
    </row>
    <row r="830">
      <c r="A830" s="4" t="inlineStr">
        <is>
          <t>BALL</t>
        </is>
      </c>
      <c r="B830" s="4" t="inlineStr">
        <is>
          <t>Ball Corporation</t>
        </is>
      </c>
      <c r="C830" s="4" t="inlineStr">
        <is>
          <t>United States</t>
        </is>
      </c>
      <c r="D830" s="4" t="inlineStr">
        <is>
          <t>US</t>
        </is>
      </c>
      <c r="E830" s="4" t="inlineStr">
        <is>
          <t>Consumo cíclico</t>
        </is>
      </c>
      <c r="F830" s="4" t="inlineStr">
        <is>
          <t>Packaging &amp; Containers</t>
        </is>
      </c>
      <c r="G830" s="4" t="inlineStr">
        <is>
          <t>NYQ</t>
        </is>
      </c>
      <c r="H830" s="4" t="inlineStr">
        <is>
          <t>USD</t>
        </is>
      </c>
      <c r="I830" s="5" t="n">
        <v>16746.9056</v>
      </c>
      <c r="J830" s="6">
        <f>INDEX(FX!$B:$B,MATCH(H830,FX!$A:$A,0))</f>
        <v/>
      </c>
      <c r="K830" s="5">
        <f>I830*J830</f>
        <v/>
      </c>
      <c r="L830" s="4">
        <f>IF(U830&lt;&gt;"",U830,IF(K830&gt;=Umbrales!$B$2,"Legendaria",IF(K830&gt;=Umbrales!$B$3,"Épica",IF(K830&gt;=Umbrales!$B$4,"Rara",IF(K830&gt;=Umbrales!$B$5,"Poco común","Común")))))</f>
        <v/>
      </c>
      <c r="M830" s="5" t="n">
        <v>14325.999616</v>
      </c>
      <c r="N830" s="5" t="n">
        <v>945</v>
      </c>
      <c r="O830" s="5">
        <f>IF(M830="","",M830*J830)</f>
        <v/>
      </c>
      <c r="P830" s="5">
        <f>IF(N830="","",N830*J830)</f>
        <v/>
      </c>
      <c r="Q830" s="7" t="n">
        <v>0.0134</v>
      </c>
      <c r="R830" s="8" t="n">
        <v>18.1268</v>
      </c>
      <c r="S830" s="4" t="inlineStr">
        <is>
          <t>SP500</t>
        </is>
      </c>
      <c r="T830" s="9" t="inlineStr">
        <is>
          <t>SI</t>
        </is>
      </c>
      <c r="U830" s="9" t="inlineStr"/>
      <c r="V830" s="10">
        <f>Umbrales!$B$9*(K830/1000)^Umbrales!$B$10</f>
        <v/>
      </c>
    </row>
    <row r="831">
      <c r="A831" s="4" t="inlineStr">
        <is>
          <t>HLMA.L</t>
        </is>
      </c>
      <c r="B831" s="4" t="inlineStr">
        <is>
          <t>Halma plc</t>
        </is>
      </c>
      <c r="C831" s="4" t="inlineStr">
        <is>
          <t>United Kingdom</t>
        </is>
      </c>
      <c r="D831" s="4" t="inlineStr">
        <is>
          <t>GB</t>
        </is>
      </c>
      <c r="E831" s="4" t="inlineStr">
        <is>
          <t>Industria</t>
        </is>
      </c>
      <c r="F831" s="4" t="inlineStr">
        <is>
          <t>Conglomerates</t>
        </is>
      </c>
      <c r="G831" s="4" t="inlineStr">
        <is>
          <t>LSE</t>
        </is>
      </c>
      <c r="H831" s="4" t="inlineStr">
        <is>
          <t>GBP</t>
        </is>
      </c>
      <c r="I831" s="5" t="n">
        <v>12622.00832</v>
      </c>
      <c r="J831" s="6">
        <f>INDEX(FX!$B:$B,MATCH(H831,FX!$A:$A,0))</f>
        <v/>
      </c>
      <c r="K831" s="5">
        <f>I831*J831</f>
        <v/>
      </c>
      <c r="L831" s="4">
        <f>IF(U831&lt;&gt;"",U831,IF(K831&gt;=Umbrales!$B$2,"Legendaria",IF(K831&gt;=Umbrales!$B$3,"Épica",IF(K831&gt;=Umbrales!$B$4,"Rara",IF(K831&gt;=Umbrales!$B$5,"Poco común","Común")))))</f>
        <v/>
      </c>
      <c r="M831" s="5" t="n">
        <v>2582.299904</v>
      </c>
      <c r="N831" s="5" t="n">
        <v>372.3</v>
      </c>
      <c r="O831" s="5">
        <f>IF(M831="","",M831*J831)</f>
        <v/>
      </c>
      <c r="P831" s="5">
        <f>IF(N831="","",N831*J831)</f>
        <v/>
      </c>
      <c r="Q831" s="7" t="n">
        <v>0.0071</v>
      </c>
      <c r="R831" s="8" t="n">
        <v>33.757572</v>
      </c>
      <c r="S831" s="4" t="inlineStr">
        <is>
          <t>FTSE100</t>
        </is>
      </c>
      <c r="T831" s="9" t="inlineStr">
        <is>
          <t>SI</t>
        </is>
      </c>
      <c r="U831" s="9" t="inlineStr"/>
      <c r="V831" s="10">
        <f>Umbrales!$B$9*(K831/1000)^Umbrales!$B$10</f>
        <v/>
      </c>
    </row>
    <row r="832">
      <c r="A832" s="4" t="inlineStr">
        <is>
          <t>J</t>
        </is>
      </c>
      <c r="B832" s="4" t="inlineStr">
        <is>
          <t>Jacobs Solutions Inc.</t>
        </is>
      </c>
      <c r="C832" s="4" t="inlineStr">
        <is>
          <t>United States</t>
        </is>
      </c>
      <c r="D832" s="4" t="inlineStr">
        <is>
          <t>US</t>
        </is>
      </c>
      <c r="E832" s="4" t="inlineStr">
        <is>
          <t>Industria</t>
        </is>
      </c>
      <c r="F832" s="4" t="inlineStr">
        <is>
          <t>Engineering &amp; Construction</t>
        </is>
      </c>
      <c r="G832" s="4" t="inlineStr">
        <is>
          <t>NYQ</t>
        </is>
      </c>
      <c r="H832" s="4" t="inlineStr">
        <is>
          <t>USD</t>
        </is>
      </c>
      <c r="I832" s="5" t="n">
        <v>16642.31936</v>
      </c>
      <c r="J832" s="6">
        <f>INDEX(FX!$B:$B,MATCH(H832,FX!$A:$A,0))</f>
        <v/>
      </c>
      <c r="K832" s="5">
        <f>I832*J832</f>
        <v/>
      </c>
      <c r="L832" s="4">
        <f>IF(U832&lt;&gt;"",U832,IF(K832&gt;=Umbrales!$B$2,"Legendaria",IF(K832&gt;=Umbrales!$B$3,"Épica",IF(K832&gt;=Umbrales!$B$4,"Rara",IF(K832&gt;=Umbrales!$B$5,"Poco común","Común")))))</f>
        <v/>
      </c>
      <c r="M832" s="5" t="n">
        <v>14219.215872</v>
      </c>
      <c r="N832" s="5" t="n">
        <v>359.329984</v>
      </c>
      <c r="O832" s="5">
        <f>IF(M832="","",M832*J832)</f>
        <v/>
      </c>
      <c r="P832" s="5">
        <f>IF(N832="","",N832*J832)</f>
        <v/>
      </c>
      <c r="Q832" s="7" t="n">
        <v>0.0101</v>
      </c>
      <c r="R832" s="8" t="n">
        <v>46.82392</v>
      </c>
      <c r="S832" s="4" t="inlineStr">
        <is>
          <t>SP500</t>
        </is>
      </c>
      <c r="T832" s="9" t="inlineStr">
        <is>
          <t>SI</t>
        </is>
      </c>
      <c r="U832" s="9" t="inlineStr"/>
      <c r="V832" s="10">
        <f>Umbrales!$B$9*(K832/1000)^Umbrales!$B$10</f>
        <v/>
      </c>
    </row>
    <row r="833">
      <c r="A833" s="4" t="inlineStr">
        <is>
          <t>CPU.AX</t>
        </is>
      </c>
      <c r="B833" s="4" t="inlineStr">
        <is>
          <t>Computershare Limited</t>
        </is>
      </c>
      <c r="C833" s="4" t="inlineStr">
        <is>
          <t>Australia</t>
        </is>
      </c>
      <c r="D833" s="4" t="inlineStr">
        <is>
          <t>AU</t>
        </is>
      </c>
      <c r="E833" s="4" t="inlineStr">
        <is>
          <t>Finanzas</t>
        </is>
      </c>
      <c r="F833" s="4" t="inlineStr">
        <is>
          <t>Capital Markets</t>
        </is>
      </c>
      <c r="G833" s="4" t="inlineStr">
        <is>
          <t>ASX</t>
        </is>
      </c>
      <c r="H833" s="4" t="inlineStr">
        <is>
          <t>AUD</t>
        </is>
      </c>
      <c r="I833" s="5" t="n">
        <v>23951.007744</v>
      </c>
      <c r="J833" s="6">
        <f>INDEX(FX!$B:$B,MATCH(H833,FX!$A:$A,0))</f>
        <v/>
      </c>
      <c r="K833" s="5">
        <f>I833*J833</f>
        <v/>
      </c>
      <c r="L833" s="4">
        <f>IF(U833&lt;&gt;"",U833,IF(K833&gt;=Umbrales!$B$2,"Legendaria",IF(K833&gt;=Umbrales!$B$3,"Épica",IF(K833&gt;=Umbrales!$B$4,"Rara",IF(K833&gt;=Umbrales!$B$5,"Poco común","Común")))))</f>
        <v/>
      </c>
      <c r="M833" s="5" t="n">
        <v>3268.400128</v>
      </c>
      <c r="N833" s="5" t="n">
        <v>618.700032</v>
      </c>
      <c r="O833" s="5">
        <f>IF(M833="","",M833*J833)</f>
        <v/>
      </c>
      <c r="P833" s="5">
        <f>IF(N833="","",N833*J833)</f>
        <v/>
      </c>
      <c r="Q833" s="7" t="n">
        <v>0.0321</v>
      </c>
      <c r="R833" s="8" t="n">
        <v>26.20886</v>
      </c>
      <c r="S833" s="4" t="inlineStr">
        <is>
          <t>ASX50</t>
        </is>
      </c>
      <c r="T833" s="9" t="inlineStr">
        <is>
          <t>SI</t>
        </is>
      </c>
      <c r="U833" s="9" t="inlineStr"/>
      <c r="V833" s="10">
        <f>Umbrales!$B$9*(K833/1000)^Umbrales!$B$10</f>
        <v/>
      </c>
    </row>
    <row r="834">
      <c r="A834" s="4" t="inlineStr">
        <is>
          <t>FDXF</t>
        </is>
      </c>
      <c r="B834" s="4" t="inlineStr">
        <is>
          <t>FedEx Freight Holding Company, Inc.</t>
        </is>
      </c>
      <c r="C834" s="4" t="inlineStr">
        <is>
          <t>United States</t>
        </is>
      </c>
      <c r="D834" s="4" t="inlineStr">
        <is>
          <t>US</t>
        </is>
      </c>
      <c r="E834" s="4" t="inlineStr">
        <is>
          <t>Industria</t>
        </is>
      </c>
      <c r="F834" s="4" t="inlineStr">
        <is>
          <t>Integrated Freight &amp; Logistics</t>
        </is>
      </c>
      <c r="G834" s="4" t="inlineStr">
        <is>
          <t>NYQ</t>
        </is>
      </c>
      <c r="H834" s="4" t="inlineStr">
        <is>
          <t>USD</t>
        </is>
      </c>
      <c r="I834" s="5" t="n">
        <v>16572.589056</v>
      </c>
      <c r="J834" s="6">
        <f>INDEX(FX!$B:$B,MATCH(H834,FX!$A:$A,0))</f>
        <v/>
      </c>
      <c r="K834" s="5">
        <f>I834*J834</f>
        <v/>
      </c>
      <c r="L834" s="4">
        <f>IF(U834&lt;&gt;"",U834,IF(K834&gt;=Umbrales!$B$2,"Legendaria",IF(K834&gt;=Umbrales!$B$3,"Épica",IF(K834&gt;=Umbrales!$B$4,"Rara",IF(K834&gt;=Umbrales!$B$5,"Poco común","Común")))))</f>
        <v/>
      </c>
      <c r="M834" s="5" t="n">
        <v>8794.999808</v>
      </c>
      <c r="N834" s="5" t="n">
        <v>655</v>
      </c>
      <c r="O834" s="5">
        <f>IF(M834="","",M834*J834)</f>
        <v/>
      </c>
      <c r="P834" s="5">
        <f>IF(N834="","",N834*J834)</f>
        <v/>
      </c>
      <c r="Q834" s="7" t="n">
        <v>0</v>
      </c>
      <c r="R834" s="8" t="n">
        <v>25.598152</v>
      </c>
      <c r="S834" s="4" t="inlineStr">
        <is>
          <t>SP500</t>
        </is>
      </c>
      <c r="T834" s="9" t="inlineStr">
        <is>
          <t>SI</t>
        </is>
      </c>
      <c r="U834" s="9" t="inlineStr"/>
      <c r="V834" s="10">
        <f>Umbrales!$B$9*(K834/1000)^Umbrales!$B$10</f>
        <v/>
      </c>
    </row>
    <row r="835">
      <c r="A835" s="4" t="inlineStr">
        <is>
          <t>TRENT.NS</t>
        </is>
      </c>
      <c r="B835" s="4" t="inlineStr">
        <is>
          <t>Trent Limited</t>
        </is>
      </c>
      <c r="C835" s="4" t="inlineStr">
        <is>
          <t>India</t>
        </is>
      </c>
      <c r="D835" s="4" t="inlineStr">
        <is>
          <t>IN</t>
        </is>
      </c>
      <c r="E835" s="4" t="inlineStr">
        <is>
          <t>Consumo cíclico</t>
        </is>
      </c>
      <c r="F835" s="4" t="inlineStr">
        <is>
          <t>Apparel Retail</t>
        </is>
      </c>
      <c r="G835" s="4" t="inlineStr">
        <is>
          <t>NSI</t>
        </is>
      </c>
      <c r="H835" s="4" t="inlineStr">
        <is>
          <t>INR</t>
        </is>
      </c>
      <c r="I835" s="5" t="n">
        <v>1572875.272192</v>
      </c>
      <c r="J835" s="6">
        <f>INDEX(FX!$B:$B,MATCH(H835,FX!$A:$A,0))</f>
        <v/>
      </c>
      <c r="K835" s="5">
        <f>I835*J835</f>
        <v/>
      </c>
      <c r="L835" s="4">
        <f>IF(U835&lt;&gt;"",U835,IF(K835&gt;=Umbrales!$B$2,"Legendaria",IF(K835&gt;=Umbrales!$B$3,"Épica",IF(K835&gt;=Umbrales!$B$4,"Rara",IF(K835&gt;=Umbrales!$B$5,"Poco común","Común")))))</f>
        <v/>
      </c>
      <c r="M835" s="5" t="n">
        <v>209454.399488</v>
      </c>
      <c r="N835" s="5" t="n">
        <v>18089.699328</v>
      </c>
      <c r="O835" s="5">
        <f>IF(M835="","",M835*J835)</f>
        <v/>
      </c>
      <c r="P835" s="5">
        <f>IF(N835="","",N835*J835)</f>
        <v/>
      </c>
      <c r="Q835" s="7" t="n">
        <v>0.0013</v>
      </c>
      <c r="R835" s="8" t="n">
        <v>86.96049499999999</v>
      </c>
      <c r="S835" s="4" t="inlineStr">
        <is>
          <t>NIFTY50</t>
        </is>
      </c>
      <c r="T835" s="9" t="inlineStr">
        <is>
          <t>SI</t>
        </is>
      </c>
      <c r="U835" s="9" t="inlineStr"/>
      <c r="V835" s="10">
        <f>Umbrales!$B$9*(K835/1000)^Umbrales!$B$10</f>
        <v/>
      </c>
    </row>
    <row r="836">
      <c r="A836" s="4" t="inlineStr">
        <is>
          <t>SGRO.L</t>
        </is>
      </c>
      <c r="B836" s="4" t="inlineStr">
        <is>
          <t>SEGRO Plc</t>
        </is>
      </c>
      <c r="C836" s="4" t="inlineStr">
        <is>
          <t>United Kingdom</t>
        </is>
      </c>
      <c r="D836" s="4" t="inlineStr">
        <is>
          <t>GB</t>
        </is>
      </c>
      <c r="E836" s="4" t="inlineStr">
        <is>
          <t>Inmobiliario</t>
        </is>
      </c>
      <c r="F836" s="4" t="inlineStr">
        <is>
          <t>REIT - Industrial</t>
        </is>
      </c>
      <c r="G836" s="4" t="inlineStr">
        <is>
          <t>LSE</t>
        </is>
      </c>
      <c r="H836" s="4" t="inlineStr">
        <is>
          <t>GBP</t>
        </is>
      </c>
      <c r="I836" s="5" t="n">
        <v>12472.011776</v>
      </c>
      <c r="J836" s="6">
        <f>INDEX(FX!$B:$B,MATCH(H836,FX!$A:$A,0))</f>
        <v/>
      </c>
      <c r="K836" s="5">
        <f>I836*J836</f>
        <v/>
      </c>
      <c r="L836" s="4">
        <f>IF(U836&lt;&gt;"",U836,IF(K836&gt;=Umbrales!$B$2,"Legendaria",IF(K836&gt;=Umbrales!$B$3,"Épica",IF(K836&gt;=Umbrales!$B$4,"Rara",IF(K836&gt;=Umbrales!$B$5,"Poco común","Común")))))</f>
        <v/>
      </c>
      <c r="M836" s="5" t="n">
        <v>745</v>
      </c>
      <c r="N836" s="5" t="n">
        <v>298</v>
      </c>
      <c r="O836" s="5">
        <f>IF(M836="","",M836*J836)</f>
        <v/>
      </c>
      <c r="P836" s="5">
        <f>IF(N836="","",N836*J836)</f>
        <v/>
      </c>
      <c r="Q836" s="7" t="n">
        <v>0.0334</v>
      </c>
      <c r="R836" s="8" t="n">
        <v>41.899998</v>
      </c>
      <c r="S836" s="4" t="inlineStr">
        <is>
          <t>FTSE100</t>
        </is>
      </c>
      <c r="T836" s="9" t="inlineStr">
        <is>
          <t>SI</t>
        </is>
      </c>
      <c r="U836" s="9" t="inlineStr"/>
      <c r="V836" s="10">
        <f>Umbrales!$B$9*(K836/1000)^Umbrales!$B$10</f>
        <v/>
      </c>
    </row>
    <row r="837">
      <c r="A837" s="4" t="inlineStr">
        <is>
          <t>CHRW</t>
        </is>
      </c>
      <c r="B837" s="4" t="inlineStr">
        <is>
          <t>C.H. Robinson Worldwide, Inc.</t>
        </is>
      </c>
      <c r="C837" s="4" t="inlineStr">
        <is>
          <t>United States</t>
        </is>
      </c>
      <c r="D837" s="4" t="inlineStr">
        <is>
          <t>US</t>
        </is>
      </c>
      <c r="E837" s="4" t="inlineStr">
        <is>
          <t>Industria</t>
        </is>
      </c>
      <c r="F837" s="4" t="inlineStr">
        <is>
          <t>Integrated Freight &amp; Logistics</t>
        </is>
      </c>
      <c r="G837" s="4" t="inlineStr">
        <is>
          <t>NMS</t>
        </is>
      </c>
      <c r="H837" s="4" t="inlineStr">
        <is>
          <t>USD</t>
        </is>
      </c>
      <c r="I837" s="5" t="n">
        <v>16510.712832</v>
      </c>
      <c r="J837" s="6">
        <f>INDEX(FX!$B:$B,MATCH(H837,FX!$A:$A,0))</f>
        <v/>
      </c>
      <c r="K837" s="5">
        <f>I837*J837</f>
        <v/>
      </c>
      <c r="L837" s="4">
        <f>IF(U837&lt;&gt;"",U837,IF(K837&gt;=Umbrales!$B$2,"Legendaria",IF(K837&gt;=Umbrales!$B$3,"Épica",IF(K837&gt;=Umbrales!$B$4,"Rara",IF(K837&gt;=Umbrales!$B$5,"Poco común","Común")))))</f>
        <v/>
      </c>
      <c r="M837" s="5" t="n">
        <v>16996.511744</v>
      </c>
      <c r="N837" s="5" t="n">
        <v>633.3269759999999</v>
      </c>
      <c r="O837" s="5">
        <f>IF(M837="","",M837*J837)</f>
        <v/>
      </c>
      <c r="P837" s="5">
        <f>IF(N837="","",N837*J837)</f>
        <v/>
      </c>
      <c r="Q837" s="7" t="n">
        <v>0.0183</v>
      </c>
      <c r="R837" s="8" t="n">
        <v>26.706131</v>
      </c>
      <c r="S837" s="4" t="inlineStr">
        <is>
          <t>SP500</t>
        </is>
      </c>
      <c r="T837" s="9" t="inlineStr">
        <is>
          <t>SI</t>
        </is>
      </c>
      <c r="U837" s="9" t="inlineStr"/>
      <c r="V837" s="10">
        <f>Umbrales!$B$9*(K837/1000)^Umbrales!$B$10</f>
        <v/>
      </c>
    </row>
    <row r="838">
      <c r="A838" s="4" t="inlineStr">
        <is>
          <t>0012.HK</t>
        </is>
      </c>
      <c r="B838" s="4" t="inlineStr">
        <is>
          <t>Henderson Land Development Company Limited</t>
        </is>
      </c>
      <c r="C838" s="4" t="inlineStr">
        <is>
          <t>Hong Kong</t>
        </is>
      </c>
      <c r="D838" s="4" t="inlineStr">
        <is>
          <t>HK</t>
        </is>
      </c>
      <c r="E838" s="4" t="inlineStr">
        <is>
          <t>Inmobiliario</t>
        </is>
      </c>
      <c r="F838" s="4" t="inlineStr">
        <is>
          <t>Real Estate - Diversified</t>
        </is>
      </c>
      <c r="G838" s="4" t="inlineStr">
        <is>
          <t>HKG</t>
        </is>
      </c>
      <c r="H838" s="4" t="inlineStr">
        <is>
          <t>HKD</t>
        </is>
      </c>
      <c r="I838" s="5" t="n">
        <v>129458.683904</v>
      </c>
      <c r="J838" s="6">
        <f>INDEX(FX!$B:$B,MATCH(H838,FX!$A:$A,0))</f>
        <v/>
      </c>
      <c r="K838" s="5">
        <f>I838*J838</f>
        <v/>
      </c>
      <c r="L838" s="4">
        <f>IF(U838&lt;&gt;"",U838,IF(K838&gt;=Umbrales!$B$2,"Legendaria",IF(K838&gt;=Umbrales!$B$3,"Épica",IF(K838&gt;=Umbrales!$B$4,"Rara",IF(K838&gt;=Umbrales!$B$5,"Poco común","Común")))))</f>
        <v/>
      </c>
      <c r="M838" s="5" t="n">
        <v>33392.001024</v>
      </c>
      <c r="N838" s="5" t="n">
        <v>6834.999808</v>
      </c>
      <c r="O838" s="5">
        <f>IF(M838="","",M838*J838)</f>
        <v/>
      </c>
      <c r="P838" s="5">
        <f>IF(N838="","",N838*J838)</f>
        <v/>
      </c>
      <c r="Q838" s="7" t="n">
        <v>0.0467</v>
      </c>
      <c r="R838" s="8" t="n">
        <v>19.807407</v>
      </c>
      <c r="S838" s="4" t="inlineStr">
        <is>
          <t>HANGSENG</t>
        </is>
      </c>
      <c r="T838" s="9" t="inlineStr">
        <is>
          <t>SI</t>
        </is>
      </c>
      <c r="U838" s="9" t="inlineStr"/>
      <c r="V838" s="10">
        <f>Umbrales!$B$9*(K838/1000)^Umbrales!$B$10</f>
        <v/>
      </c>
    </row>
    <row r="839">
      <c r="A839" s="4" t="inlineStr">
        <is>
          <t>APA</t>
        </is>
      </c>
      <c r="B839" s="4" t="inlineStr">
        <is>
          <t>APA Corporation</t>
        </is>
      </c>
      <c r="C839" s="4" t="inlineStr">
        <is>
          <t>United States</t>
        </is>
      </c>
      <c r="D839" s="4" t="inlineStr">
        <is>
          <t>US</t>
        </is>
      </c>
      <c r="E839" s="4" t="inlineStr">
        <is>
          <t>Energía</t>
        </is>
      </c>
      <c r="F839" s="4" t="inlineStr">
        <is>
          <t>Oil &amp; Gas E&amp;P</t>
        </is>
      </c>
      <c r="G839" s="4" t="inlineStr">
        <is>
          <t>NMS</t>
        </is>
      </c>
      <c r="H839" s="4" t="inlineStr">
        <is>
          <t>USD</t>
        </is>
      </c>
      <c r="I839" s="5" t="n">
        <v>16491.045888</v>
      </c>
      <c r="J839" s="6">
        <f>INDEX(FX!$B:$B,MATCH(H839,FX!$A:$A,0))</f>
        <v/>
      </c>
      <c r="K839" s="5">
        <f>I839*J839</f>
        <v/>
      </c>
      <c r="L839" s="4">
        <f>IF(U839&lt;&gt;"",U839,IF(K839&gt;=Umbrales!$B$2,"Legendaria",IF(K839&gt;=Umbrales!$B$3,"Épica",IF(K839&gt;=Umbrales!$B$4,"Rara",IF(K839&gt;=Umbrales!$B$5,"Poco común","Común")))))</f>
        <v/>
      </c>
      <c r="M839" s="5" t="n">
        <v>8572.000255999999</v>
      </c>
      <c r="N839" s="5" t="n">
        <v>1676.999936</v>
      </c>
      <c r="O839" s="5">
        <f>IF(M839="","",M839*J839)</f>
        <v/>
      </c>
      <c r="P839" s="5">
        <f>IF(N839="","",N839*J839)</f>
        <v/>
      </c>
      <c r="Q839" s="7" t="n">
        <v>0.0208</v>
      </c>
      <c r="R839" s="8" t="n">
        <v>9.951373999999999</v>
      </c>
      <c r="S839" s="4" t="inlineStr">
        <is>
          <t>SP500</t>
        </is>
      </c>
      <c r="T839" s="9" t="inlineStr">
        <is>
          <t>SI</t>
        </is>
      </c>
      <c r="U839" s="9" t="inlineStr"/>
      <c r="V839" s="10">
        <f>Umbrales!$B$9*(K839/1000)^Umbrales!$B$10</f>
        <v/>
      </c>
    </row>
    <row r="840">
      <c r="A840" s="4" t="inlineStr">
        <is>
          <t>HST</t>
        </is>
      </c>
      <c r="B840" s="4" t="inlineStr">
        <is>
          <t>Host Hotels &amp; Resorts, Inc.</t>
        </is>
      </c>
      <c r="C840" s="4" t="inlineStr">
        <is>
          <t>United States</t>
        </is>
      </c>
      <c r="D840" s="4" t="inlineStr">
        <is>
          <t>US</t>
        </is>
      </c>
      <c r="E840" s="4" t="inlineStr">
        <is>
          <t>Inmobiliario</t>
        </is>
      </c>
      <c r="F840" s="4" t="inlineStr">
        <is>
          <t>REIT - Hotel &amp; Motel</t>
        </is>
      </c>
      <c r="G840" s="4" t="inlineStr">
        <is>
          <t>NMS</t>
        </is>
      </c>
      <c r="H840" s="4" t="inlineStr">
        <is>
          <t>USD</t>
        </is>
      </c>
      <c r="I840" s="5" t="n">
        <v>16478.911488</v>
      </c>
      <c r="J840" s="6">
        <f>INDEX(FX!$B:$B,MATCH(H840,FX!$A:$A,0))</f>
        <v/>
      </c>
      <c r="K840" s="5">
        <f>I840*J840</f>
        <v/>
      </c>
      <c r="L840" s="4">
        <f>IF(U840&lt;&gt;"",U840,IF(K840&gt;=Umbrales!$B$2,"Legendaria",IF(K840&gt;=Umbrales!$B$3,"Épica",IF(K840&gt;=Umbrales!$B$4,"Rara",IF(K840&gt;=Umbrales!$B$5,"Poco común","Común")))))</f>
        <v/>
      </c>
      <c r="M840" s="5" t="n">
        <v>6233.999872</v>
      </c>
      <c r="N840" s="5" t="n">
        <v>1027</v>
      </c>
      <c r="O840" s="5">
        <f>IF(M840="","",M840*J840)</f>
        <v/>
      </c>
      <c r="P840" s="5">
        <f>IF(N840="","",N840*J840)</f>
        <v/>
      </c>
      <c r="Q840" s="7" t="n">
        <v>0.0345</v>
      </c>
      <c r="R840" s="8" t="n">
        <v>16.027027</v>
      </c>
      <c r="S840" s="4" t="inlineStr">
        <is>
          <t>SP500</t>
        </is>
      </c>
      <c r="T840" s="9" t="inlineStr">
        <is>
          <t>SI</t>
        </is>
      </c>
      <c r="U840" s="9" t="inlineStr"/>
      <c r="V840" s="10">
        <f>Umbrales!$B$9*(K840/1000)^Umbrales!$B$10</f>
        <v/>
      </c>
    </row>
    <row r="841">
      <c r="A841" s="4" t="inlineStr">
        <is>
          <t>ASRNL.AS</t>
        </is>
      </c>
      <c r="B841" s="4" t="inlineStr">
        <is>
          <t>ASR Nederland N.V.</t>
        </is>
      </c>
      <c r="C841" s="4" t="inlineStr">
        <is>
          <t>Netherlands</t>
        </is>
      </c>
      <c r="D841" s="4" t="inlineStr">
        <is>
          <t>NL</t>
        </is>
      </c>
      <c r="E841" s="4" t="inlineStr">
        <is>
          <t>Finanzas</t>
        </is>
      </c>
      <c r="F841" s="4" t="inlineStr">
        <is>
          <t>Insurance - Diversified</t>
        </is>
      </c>
      <c r="G841" s="4" t="inlineStr">
        <is>
          <t>AMS</t>
        </is>
      </c>
      <c r="H841" s="4" t="inlineStr">
        <is>
          <t>EUR</t>
        </is>
      </c>
      <c r="I841" s="5" t="n">
        <v>14680.869888</v>
      </c>
      <c r="J841" s="6">
        <f>INDEX(FX!$B:$B,MATCH(H841,FX!$A:$A,0))</f>
        <v/>
      </c>
      <c r="K841" s="5">
        <f>I841*J841</f>
        <v/>
      </c>
      <c r="L841" s="4">
        <f>IF(U841&lt;&gt;"",U841,IF(K841&gt;=Umbrales!$B$2,"Legendaria",IF(K841&gt;=Umbrales!$B$3,"Épica",IF(K841&gt;=Umbrales!$B$4,"Rara",IF(K841&gt;=Umbrales!$B$5,"Poco común","Común")))))</f>
        <v/>
      </c>
      <c r="M841" s="5" t="n">
        <v>18592</v>
      </c>
      <c r="N841" s="5" t="n">
        <v>1142</v>
      </c>
      <c r="O841" s="5">
        <f>IF(M841="","",M841*J841)</f>
        <v/>
      </c>
      <c r="P841" s="5">
        <f>IF(N841="","",N841*J841)</f>
        <v/>
      </c>
      <c r="Q841" s="7" t="n">
        <v>0.04849999999999999</v>
      </c>
      <c r="R841" s="8" t="n">
        <v>14.143688</v>
      </c>
      <c r="S841" s="4" t="inlineStr">
        <is>
          <t>AEX</t>
        </is>
      </c>
      <c r="T841" s="9" t="inlineStr">
        <is>
          <t>SI</t>
        </is>
      </c>
      <c r="U841" s="9" t="inlineStr"/>
      <c r="V841" s="10">
        <f>Umbrales!$B$9*(K841/1000)^Umbrales!$B$10</f>
        <v/>
      </c>
    </row>
    <row r="842">
      <c r="A842" s="4" t="inlineStr">
        <is>
          <t>0006.HK</t>
        </is>
      </c>
      <c r="B842" s="4" t="inlineStr">
        <is>
          <t>Power Assets Holdings Limited</t>
        </is>
      </c>
      <c r="C842" s="4" t="inlineStr">
        <is>
          <t>Hong Kong</t>
        </is>
      </c>
      <c r="D842" s="4" t="inlineStr">
        <is>
          <t>HK</t>
        </is>
      </c>
      <c r="E842" s="4" t="inlineStr">
        <is>
          <t>Servicios públicos</t>
        </is>
      </c>
      <c r="F842" s="4" t="inlineStr">
        <is>
          <t>Utilities - Independent Power Producers</t>
        </is>
      </c>
      <c r="G842" s="4" t="inlineStr">
        <is>
          <t>HKG</t>
        </is>
      </c>
      <c r="H842" s="4" t="inlineStr">
        <is>
          <t>HKD</t>
        </is>
      </c>
      <c r="I842" s="5" t="n">
        <v>129144.971264</v>
      </c>
      <c r="J842" s="6">
        <f>INDEX(FX!$B:$B,MATCH(H842,FX!$A:$A,0))</f>
        <v/>
      </c>
      <c r="K842" s="5">
        <f>I842*J842</f>
        <v/>
      </c>
      <c r="L842" s="4">
        <f>IF(U842&lt;&gt;"",U842,IF(K842&gt;=Umbrales!$B$2,"Legendaria",IF(K842&gt;=Umbrales!$B$3,"Épica",IF(K842&gt;=Umbrales!$B$4,"Rara",IF(K842&gt;=Umbrales!$B$5,"Poco común","Común")))))</f>
        <v/>
      </c>
      <c r="M842" s="5" t="n">
        <v>717</v>
      </c>
      <c r="N842" s="5" t="n">
        <v>17898.000384</v>
      </c>
      <c r="O842" s="5">
        <f>IF(M842="","",M842*J842)</f>
        <v/>
      </c>
      <c r="P842" s="5">
        <f>IF(N842="","",N842*J842)</f>
        <v/>
      </c>
      <c r="Q842" s="7" t="n">
        <v>0.04679999999999999</v>
      </c>
      <c r="R842" s="8" t="n">
        <v>7.214286</v>
      </c>
      <c r="S842" s="4" t="inlineStr">
        <is>
          <t>HANGSENG</t>
        </is>
      </c>
      <c r="T842" s="9" t="inlineStr">
        <is>
          <t>SI</t>
        </is>
      </c>
      <c r="U842" s="9" t="inlineStr"/>
      <c r="V842" s="10">
        <f>Umbrales!$B$9*(K842/1000)^Umbrales!$B$10</f>
        <v/>
      </c>
    </row>
    <row r="843">
      <c r="A843" s="4" t="inlineStr">
        <is>
          <t>ROL</t>
        </is>
      </c>
      <c r="B843" s="4" t="inlineStr">
        <is>
          <t>Rollins, Inc.</t>
        </is>
      </c>
      <c r="C843" s="4" t="inlineStr">
        <is>
          <t>United States</t>
        </is>
      </c>
      <c r="D843" s="4" t="inlineStr">
        <is>
          <t>US</t>
        </is>
      </c>
      <c r="E843" s="4" t="inlineStr">
        <is>
          <t>Consumo cíclico</t>
        </is>
      </c>
      <c r="F843" s="4" t="inlineStr">
        <is>
          <t>Personal Services</t>
        </is>
      </c>
      <c r="G843" s="4" t="inlineStr">
        <is>
          <t>NYQ</t>
        </is>
      </c>
      <c r="H843" s="4" t="inlineStr">
        <is>
          <t>USD</t>
        </is>
      </c>
      <c r="I843" s="5" t="n">
        <v>16320.451584</v>
      </c>
      <c r="J843" s="6">
        <f>INDEX(FX!$B:$B,MATCH(H843,FX!$A:$A,0))</f>
        <v/>
      </c>
      <c r="K843" s="5">
        <f>I843*J843</f>
        <v/>
      </c>
      <c r="L843" s="4">
        <f>IF(U843&lt;&gt;"",U843,IF(K843&gt;=Umbrales!$B$2,"Legendaria",IF(K843&gt;=Umbrales!$B$3,"Épica",IF(K843&gt;=Umbrales!$B$4,"Rara",IF(K843&gt;=Umbrales!$B$5,"Poco común","Común")))))</f>
        <v/>
      </c>
      <c r="M843" s="5" t="n">
        <v>3924.018944</v>
      </c>
      <c r="N843" s="5" t="n">
        <v>531.716</v>
      </c>
      <c r="O843" s="5">
        <f>IF(M843="","",M843*J843)</f>
        <v/>
      </c>
      <c r="P843" s="5">
        <f>IF(N843="","",N843*J843)</f>
        <v/>
      </c>
      <c r="Q843" s="7" t="n">
        <v>0.0227</v>
      </c>
      <c r="R843" s="8" t="n">
        <v>30.558556</v>
      </c>
      <c r="S843" s="4" t="inlineStr">
        <is>
          <t>SP500</t>
        </is>
      </c>
      <c r="T843" s="9" t="inlineStr">
        <is>
          <t>SI</t>
        </is>
      </c>
      <c r="U843" s="9" t="inlineStr"/>
      <c r="V843" s="10">
        <f>Umbrales!$B$9*(K843/1000)^Umbrales!$B$10</f>
        <v/>
      </c>
    </row>
    <row r="844">
      <c r="A844" s="4" t="inlineStr">
        <is>
          <t>FICO</t>
        </is>
      </c>
      <c r="B844" s="4" t="inlineStr">
        <is>
          <t>Fair Isaac Corporation</t>
        </is>
      </c>
      <c r="C844" s="4" t="inlineStr">
        <is>
          <t>United States</t>
        </is>
      </c>
      <c r="D844" s="4" t="inlineStr">
        <is>
          <t>US</t>
        </is>
      </c>
      <c r="E844" s="4" t="inlineStr">
        <is>
          <t>Tecnología</t>
        </is>
      </c>
      <c r="F844" s="4" t="inlineStr">
        <is>
          <t>Software - Application</t>
        </is>
      </c>
      <c r="G844" s="4" t="inlineStr">
        <is>
          <t>NYQ</t>
        </is>
      </c>
      <c r="H844" s="4" t="inlineStr">
        <is>
          <t>USD</t>
        </is>
      </c>
      <c r="I844" s="5" t="n">
        <v>16320.037888</v>
      </c>
      <c r="J844" s="6">
        <f>INDEX(FX!$B:$B,MATCH(H844,FX!$A:$A,0))</f>
        <v/>
      </c>
      <c r="K844" s="5">
        <f>I844*J844</f>
        <v/>
      </c>
      <c r="L844" s="4">
        <f>IF(U844&lt;&gt;"",U844,IF(K844&gt;=Umbrales!$B$2,"Legendaria",IF(K844&gt;=Umbrales!$B$3,"Épica",IF(K844&gt;=Umbrales!$B$4,"Rara",IF(K844&gt;=Umbrales!$B$5,"Poco común","Común")))))</f>
        <v/>
      </c>
      <c r="M844" s="5" t="n">
        <v>2393.574912</v>
      </c>
      <c r="N844" s="5" t="n">
        <v>815.017024</v>
      </c>
      <c r="O844" s="5">
        <f>IF(M844="","",M844*J844)</f>
        <v/>
      </c>
      <c r="P844" s="5">
        <f>IF(N844="","",N844*J844)</f>
        <v/>
      </c>
      <c r="Q844" s="7" t="n">
        <v>0</v>
      </c>
      <c r="R844" s="8" t="n">
        <v>24.250322</v>
      </c>
      <c r="S844" s="4" t="inlineStr">
        <is>
          <t>SP500</t>
        </is>
      </c>
      <c r="T844" s="9" t="inlineStr">
        <is>
          <t>SI</t>
        </is>
      </c>
      <c r="U844" s="9" t="inlineStr"/>
      <c r="V844" s="10">
        <f>Umbrales!$B$9*(K844/1000)^Umbrales!$B$10</f>
        <v/>
      </c>
    </row>
    <row r="845">
      <c r="A845" s="4" t="inlineStr">
        <is>
          <t>NWSA</t>
        </is>
      </c>
      <c r="B845" s="4" t="inlineStr">
        <is>
          <t>News Corporation</t>
        </is>
      </c>
      <c r="C845" s="4" t="inlineStr">
        <is>
          <t>United States</t>
        </is>
      </c>
      <c r="D845" s="4" t="inlineStr">
        <is>
          <t>US</t>
        </is>
      </c>
      <c r="E845" s="4" t="inlineStr">
        <is>
          <t>Comunicación</t>
        </is>
      </c>
      <c r="F845" s="4" t="inlineStr">
        <is>
          <t>Entertainment</t>
        </is>
      </c>
      <c r="G845" s="4" t="inlineStr">
        <is>
          <t>NMS</t>
        </is>
      </c>
      <c r="H845" s="4" t="inlineStr">
        <is>
          <t>USD</t>
        </is>
      </c>
      <c r="I845" s="5" t="n">
        <v>16221.16352</v>
      </c>
      <c r="J845" s="6">
        <f>INDEX(FX!$B:$B,MATCH(H845,FX!$A:$A,0))</f>
        <v/>
      </c>
      <c r="K845" s="5">
        <f>I845*J845</f>
        <v/>
      </c>
      <c r="L845" s="4">
        <f>IF(U845&lt;&gt;"",U845,IF(K845&gt;=Umbrales!$B$2,"Legendaria",IF(K845&gt;=Umbrales!$B$3,"Épica",IF(K845&gt;=Umbrales!$B$4,"Rara",IF(K845&gt;=Umbrales!$B$5,"Poco común","Común")))))</f>
        <v/>
      </c>
      <c r="M845" s="5" t="n">
        <v>9027.999744000001</v>
      </c>
      <c r="N845" s="5" t="n">
        <v>573</v>
      </c>
      <c r="O845" s="5">
        <f>IF(M845="","",M845*J845)</f>
        <v/>
      </c>
      <c r="P845" s="5">
        <f>IF(N845="","",N845*J845)</f>
        <v/>
      </c>
      <c r="Q845" s="7" t="n">
        <v>0.0068</v>
      </c>
      <c r="R845" s="8" t="n">
        <v>29.233011</v>
      </c>
      <c r="S845" s="4" t="inlineStr">
        <is>
          <t>SP500</t>
        </is>
      </c>
      <c r="T845" s="9" t="inlineStr">
        <is>
          <t>SI</t>
        </is>
      </c>
      <c r="U845" s="9" t="inlineStr"/>
      <c r="V845" s="10">
        <f>Umbrales!$B$9*(K845/1000)^Umbrales!$B$10</f>
        <v/>
      </c>
    </row>
    <row r="846">
      <c r="A846" s="4" t="inlineStr">
        <is>
          <t>FPH.AX</t>
        </is>
      </c>
      <c r="B846" s="4" t="inlineStr">
        <is>
          <t>Fisher &amp; Paykel Healthcare Corporation Limited</t>
        </is>
      </c>
      <c r="C846" s="4" t="inlineStr">
        <is>
          <t>New Zealand</t>
        </is>
      </c>
      <c r="D846" s="4" t="inlineStr">
        <is>
          <t>NZ</t>
        </is>
      </c>
      <c r="E846" s="4" t="inlineStr">
        <is>
          <t>Salud</t>
        </is>
      </c>
      <c r="F846" s="4" t="inlineStr">
        <is>
          <t>Medical Instruments &amp; Supplies</t>
        </is>
      </c>
      <c r="G846" s="4" t="inlineStr">
        <is>
          <t>ASX</t>
        </is>
      </c>
      <c r="H846" s="4" t="inlineStr">
        <is>
          <t>AUD</t>
        </is>
      </c>
      <c r="I846" s="5" t="n">
        <v>23248.248832</v>
      </c>
      <c r="J846" s="6">
        <f>INDEX(FX!$B:$B,MATCH(H846,FX!$A:$A,0))</f>
        <v/>
      </c>
      <c r="K846" s="5">
        <f>I846*J846</f>
        <v/>
      </c>
      <c r="L846" s="4">
        <f>IF(U846&lt;&gt;"",U846,IF(K846&gt;=Umbrales!$B$2,"Legendaria",IF(K846&gt;=Umbrales!$B$3,"Épica",IF(K846&gt;=Umbrales!$B$4,"Rara",IF(K846&gt;=Umbrales!$B$5,"Poco común","Común")))))</f>
        <v/>
      </c>
      <c r="M846" s="5" t="n">
        <v>2308.400128</v>
      </c>
      <c r="N846" s="5" t="n">
        <v>468.5</v>
      </c>
      <c r="O846" s="5">
        <f>IF(M846="","",M846*J846)</f>
        <v/>
      </c>
      <c r="P846" s="5">
        <f>IF(N846="","",N846*J846)</f>
        <v/>
      </c>
      <c r="Q846" s="7" t="n">
        <v>0.0112</v>
      </c>
      <c r="R846" s="8" t="n">
        <v>55.661976</v>
      </c>
      <c r="S846" s="4" t="inlineStr">
        <is>
          <t>ASX50</t>
        </is>
      </c>
      <c r="T846" s="9" t="inlineStr">
        <is>
          <t>SI</t>
        </is>
      </c>
      <c r="U846" s="9" t="inlineStr"/>
      <c r="V846" s="10">
        <f>Umbrales!$B$9*(K846/1000)^Umbrales!$B$10</f>
        <v/>
      </c>
    </row>
    <row r="847">
      <c r="A847" s="4" t="inlineStr">
        <is>
          <t>VNA.DE</t>
        </is>
      </c>
      <c r="B847" s="4" t="inlineStr">
        <is>
          <t>Vonovia SE</t>
        </is>
      </c>
      <c r="C847" s="4" t="inlineStr">
        <is>
          <t>Germany</t>
        </is>
      </c>
      <c r="D847" s="4" t="inlineStr">
        <is>
          <t>DE</t>
        </is>
      </c>
      <c r="E847" s="4" t="inlineStr">
        <is>
          <t>Inmobiliario</t>
        </is>
      </c>
      <c r="F847" s="4" t="inlineStr">
        <is>
          <t>Real Estate Services</t>
        </is>
      </c>
      <c r="G847" s="4" t="inlineStr">
        <is>
          <t>GER</t>
        </is>
      </c>
      <c r="H847" s="4" t="inlineStr">
        <is>
          <t>EUR</t>
        </is>
      </c>
      <c r="I847" s="5" t="n">
        <v>14270.687232</v>
      </c>
      <c r="J847" s="6">
        <f>INDEX(FX!$B:$B,MATCH(H847,FX!$A:$A,0))</f>
        <v/>
      </c>
      <c r="K847" s="5">
        <f>I847*J847</f>
        <v/>
      </c>
      <c r="L847" s="4">
        <f>IF(U847&lt;&gt;"",U847,IF(K847&gt;=Umbrales!$B$2,"Legendaria",IF(K847&gt;=Umbrales!$B$3,"Épica",IF(K847&gt;=Umbrales!$B$4,"Rara",IF(K847&gt;=Umbrales!$B$5,"Poco común","Común")))))</f>
        <v/>
      </c>
      <c r="M847" s="5" t="n">
        <v>5965.400064</v>
      </c>
      <c r="N847" s="5" t="n">
        <v>3812.600064</v>
      </c>
      <c r="O847" s="5">
        <f>IF(M847="","",M847*J847)</f>
        <v/>
      </c>
      <c r="P847" s="5">
        <f>IF(N847="","",N847*J847)</f>
        <v/>
      </c>
      <c r="Q847" s="7" t="n">
        <v>0.0746</v>
      </c>
      <c r="R847" s="8" t="n">
        <v>3.8314352</v>
      </c>
      <c r="S847" s="4" t="inlineStr">
        <is>
          <t>DAX40</t>
        </is>
      </c>
      <c r="T847" s="9" t="inlineStr">
        <is>
          <t>SI</t>
        </is>
      </c>
      <c r="U847" s="9" t="inlineStr"/>
      <c r="V847" s="10">
        <f>Umbrales!$B$9*(K847/1000)^Umbrales!$B$10</f>
        <v/>
      </c>
    </row>
    <row r="848">
      <c r="A848" s="4" t="inlineStr">
        <is>
          <t>NVR</t>
        </is>
      </c>
      <c r="B848" s="4" t="inlineStr">
        <is>
          <t>NVR, Inc.</t>
        </is>
      </c>
      <c r="C848" s="4" t="inlineStr">
        <is>
          <t>United States</t>
        </is>
      </c>
      <c r="D848" s="4" t="inlineStr">
        <is>
          <t>US</t>
        </is>
      </c>
      <c r="E848" s="4" t="inlineStr">
        <is>
          <t>Consumo cíclico</t>
        </is>
      </c>
      <c r="F848" s="4" t="inlineStr">
        <is>
          <t>Residential Construction</t>
        </is>
      </c>
      <c r="G848" s="4" t="inlineStr">
        <is>
          <t>NYQ</t>
        </is>
      </c>
      <c r="H848" s="4" t="inlineStr">
        <is>
          <t>USD</t>
        </is>
      </c>
      <c r="I848" s="5" t="n">
        <v>15879.021568</v>
      </c>
      <c r="J848" s="6">
        <f>INDEX(FX!$B:$B,MATCH(H848,FX!$A:$A,0))</f>
        <v/>
      </c>
      <c r="K848" s="5">
        <f>I848*J848</f>
        <v/>
      </c>
      <c r="L848" s="4">
        <f>IF(U848&lt;&gt;"",U848,IF(K848&gt;=Umbrales!$B$2,"Legendaria",IF(K848&gt;=Umbrales!$B$3,"Épica",IF(K848&gt;=Umbrales!$B$4,"Rara",IF(K848&gt;=Umbrales!$B$5,"Poco común","Común")))))</f>
        <v/>
      </c>
      <c r="M848" s="5" t="n">
        <v>9631.335424000001</v>
      </c>
      <c r="N848" s="5" t="n">
        <v>1141.319936</v>
      </c>
      <c r="O848" s="5">
        <f>IF(M848="","",M848*J848)</f>
        <v/>
      </c>
      <c r="P848" s="5">
        <f>IF(N848="","",N848*J848)</f>
        <v/>
      </c>
      <c r="Q848" s="7" t="n">
        <v>0</v>
      </c>
      <c r="R848" s="8" t="n">
        <v>15.6539345</v>
      </c>
      <c r="S848" s="4" t="inlineStr">
        <is>
          <t>SP500</t>
        </is>
      </c>
      <c r="T848" s="9" t="inlineStr">
        <is>
          <t>SI</t>
        </is>
      </c>
      <c r="U848" s="9" t="inlineStr"/>
      <c r="V848" s="10">
        <f>Umbrales!$B$9*(K848/1000)^Umbrales!$B$10</f>
        <v/>
      </c>
    </row>
    <row r="849">
      <c r="A849" s="4" t="inlineStr">
        <is>
          <t>INVH</t>
        </is>
      </c>
      <c r="B849" s="4" t="inlineStr">
        <is>
          <t>Invitation Homes Inc.</t>
        </is>
      </c>
      <c r="C849" s="4" t="inlineStr">
        <is>
          <t>United States</t>
        </is>
      </c>
      <c r="D849" s="4" t="inlineStr">
        <is>
          <t>US</t>
        </is>
      </c>
      <c r="E849" s="4" t="inlineStr">
        <is>
          <t>Inmobiliario</t>
        </is>
      </c>
      <c r="F849" s="4" t="inlineStr">
        <is>
          <t>REIT - Residential</t>
        </is>
      </c>
      <c r="G849" s="4" t="inlineStr">
        <is>
          <t>NYQ</t>
        </is>
      </c>
      <c r="H849" s="4" t="inlineStr">
        <is>
          <t>USD</t>
        </is>
      </c>
      <c r="I849" s="5" t="n">
        <v>15870.047232</v>
      </c>
      <c r="J849" s="6">
        <f>INDEX(FX!$B:$B,MATCH(H849,FX!$A:$A,0))</f>
        <v/>
      </c>
      <c r="K849" s="5">
        <f>I849*J849</f>
        <v/>
      </c>
      <c r="L849" s="4">
        <f>IF(U849&lt;&gt;"",U849,IF(K849&gt;=Umbrales!$B$2,"Legendaria",IF(K849&gt;=Umbrales!$B$3,"Épica",IF(K849&gt;=Umbrales!$B$4,"Rara",IF(K849&gt;=Umbrales!$B$5,"Poco común","Común")))))</f>
        <v/>
      </c>
      <c r="M849" s="5" t="n">
        <v>2848.004096</v>
      </c>
      <c r="N849" s="5" t="n">
        <v>658.7539839999999</v>
      </c>
      <c r="O849" s="5">
        <f>IF(M849="","",M849*J849)</f>
        <v/>
      </c>
      <c r="P849" s="5">
        <f>IF(N849="","",N849*J849)</f>
        <v/>
      </c>
      <c r="Q849" s="7" t="n">
        <v>0.0451</v>
      </c>
      <c r="R849" s="8" t="n">
        <v>24.651377</v>
      </c>
      <c r="S849" s="4" t="inlineStr">
        <is>
          <t>SP500</t>
        </is>
      </c>
      <c r="T849" s="9" t="inlineStr">
        <is>
          <t>SI</t>
        </is>
      </c>
      <c r="U849" s="9" t="inlineStr"/>
      <c r="V849" s="10">
        <f>Umbrales!$B$9*(K849/1000)^Umbrales!$B$10</f>
        <v/>
      </c>
    </row>
    <row r="850">
      <c r="A850" s="4" t="inlineStr">
        <is>
          <t>INF.L</t>
        </is>
      </c>
      <c r="B850" s="4" t="inlineStr">
        <is>
          <t>Informa plc</t>
        </is>
      </c>
      <c r="C850" s="4" t="inlineStr">
        <is>
          <t>United Kingdom</t>
        </is>
      </c>
      <c r="D850" s="4" t="inlineStr">
        <is>
          <t>GB</t>
        </is>
      </c>
      <c r="E850" s="4" t="inlineStr">
        <is>
          <t>Comunicación</t>
        </is>
      </c>
      <c r="F850" s="4" t="inlineStr">
        <is>
          <t>Publishing</t>
        </is>
      </c>
      <c r="G850" s="4" t="inlineStr">
        <is>
          <t>LSE</t>
        </is>
      </c>
      <c r="H850" s="4" t="inlineStr">
        <is>
          <t>GBP</t>
        </is>
      </c>
      <c r="I850" s="5" t="n">
        <v>11931.267072</v>
      </c>
      <c r="J850" s="6">
        <f>INDEX(FX!$B:$B,MATCH(H850,FX!$A:$A,0))</f>
        <v/>
      </c>
      <c r="K850" s="5">
        <f>I850*J850</f>
        <v/>
      </c>
      <c r="L850" s="4">
        <f>IF(U850&lt;&gt;"",U850,IF(K850&gt;=Umbrales!$B$2,"Legendaria",IF(K850&gt;=Umbrales!$B$3,"Épica",IF(K850&gt;=Umbrales!$B$4,"Rara",IF(K850&gt;=Umbrales!$B$5,"Poco común","Común")))))</f>
        <v/>
      </c>
      <c r="M850" s="5" t="n">
        <v>4069.299968</v>
      </c>
      <c r="N850" s="5" t="n">
        <v>221.1</v>
      </c>
      <c r="O850" s="5">
        <f>IF(M850="","",M850*J850)</f>
        <v/>
      </c>
      <c r="P850" s="5">
        <f>IF(N850="","",N850*J850)</f>
        <v/>
      </c>
      <c r="Q850" s="7" t="n">
        <v>0.0255</v>
      </c>
      <c r="R850" s="8" t="n">
        <v>51.658825</v>
      </c>
      <c r="S850" s="4" t="inlineStr">
        <is>
          <t>FTSE100</t>
        </is>
      </c>
      <c r="T850" s="9" t="inlineStr">
        <is>
          <t>SI</t>
        </is>
      </c>
      <c r="U850" s="9" t="inlineStr"/>
      <c r="V850" s="10">
        <f>Umbrales!$B$9*(K850/1000)^Umbrales!$B$10</f>
        <v/>
      </c>
    </row>
    <row r="851">
      <c r="A851" s="4" t="inlineStr">
        <is>
          <t>WSP.TO</t>
        </is>
      </c>
      <c r="B851" s="4" t="inlineStr">
        <is>
          <t>WSP Global Inc.</t>
        </is>
      </c>
      <c r="C851" s="4" t="inlineStr">
        <is>
          <t>Canada</t>
        </is>
      </c>
      <c r="D851" s="4" t="inlineStr">
        <is>
          <t>CA</t>
        </is>
      </c>
      <c r="E851" s="4" t="inlineStr">
        <is>
          <t>Industria</t>
        </is>
      </c>
      <c r="F851" s="4" t="inlineStr">
        <is>
          <t>Engineering &amp; Construction</t>
        </is>
      </c>
      <c r="G851" s="4" t="inlineStr">
        <is>
          <t>TOR</t>
        </is>
      </c>
      <c r="H851" s="4" t="inlineStr">
        <is>
          <t>CAD</t>
        </is>
      </c>
      <c r="I851" s="5" t="n">
        <v>22248.790016</v>
      </c>
      <c r="J851" s="6">
        <f>INDEX(FX!$B:$B,MATCH(H851,FX!$A:$A,0))</f>
        <v/>
      </c>
      <c r="K851" s="5">
        <f>I851*J851</f>
        <v/>
      </c>
      <c r="L851" s="4">
        <f>IF(U851&lt;&gt;"",U851,IF(K851&gt;=Umbrales!$B$2,"Legendaria",IF(K851&gt;=Umbrales!$B$3,"Épica",IF(K851&gt;=Umbrales!$B$4,"Rara",IF(K851&gt;=Umbrales!$B$5,"Poco común","Común")))))</f>
        <v/>
      </c>
      <c r="M851" s="5" t="n">
        <v>19342.8992</v>
      </c>
      <c r="N851" s="5" t="n">
        <v>931</v>
      </c>
      <c r="O851" s="5">
        <f>IF(M851="","",M851*J851)</f>
        <v/>
      </c>
      <c r="P851" s="5">
        <f>IF(N851="","",N851*J851)</f>
        <v/>
      </c>
      <c r="Q851" s="7" t="n">
        <v>0.0092</v>
      </c>
      <c r="R851" s="8" t="n">
        <v>23.813852</v>
      </c>
      <c r="S851" s="4" t="inlineStr">
        <is>
          <t>TSX60</t>
        </is>
      </c>
      <c r="T851" s="9" t="inlineStr">
        <is>
          <t>SI</t>
        </is>
      </c>
      <c r="U851" s="9" t="inlineStr"/>
      <c r="V851" s="10">
        <f>Umbrales!$B$9*(K851/1000)^Umbrales!$B$10</f>
        <v/>
      </c>
    </row>
    <row r="852">
      <c r="A852" s="4" t="inlineStr">
        <is>
          <t>1024.HK</t>
        </is>
      </c>
      <c r="B852" s="4" t="inlineStr">
        <is>
          <t>Kuaishou Technology</t>
        </is>
      </c>
      <c r="C852" s="4" t="inlineStr">
        <is>
          <t>China</t>
        </is>
      </c>
      <c r="D852" s="4" t="inlineStr">
        <is>
          <t>CN</t>
        </is>
      </c>
      <c r="E852" s="4" t="inlineStr">
        <is>
          <t>Comunicación</t>
        </is>
      </c>
      <c r="F852" s="4" t="inlineStr">
        <is>
          <t>Internet Content &amp; Information</t>
        </is>
      </c>
      <c r="G852" s="4" t="inlineStr">
        <is>
          <t>HKG</t>
        </is>
      </c>
      <c r="H852" s="4" t="inlineStr">
        <is>
          <t>HKD</t>
        </is>
      </c>
      <c r="I852" s="5" t="n">
        <v>122900.537344</v>
      </c>
      <c r="J852" s="6">
        <f>INDEX(FX!$B:$B,MATCH(H852,FX!$A:$A,0))</f>
        <v/>
      </c>
      <c r="K852" s="5">
        <f>I852*J852</f>
        <v/>
      </c>
      <c r="L852" s="4">
        <f>IF(U852&lt;&gt;"",U852,IF(K852&gt;=Umbrales!$B$2,"Legendaria",IF(K852&gt;=Umbrales!$B$3,"Épica",IF(K852&gt;=Umbrales!$B$4,"Rara",IF(K852&gt;=Umbrales!$B$5,"Poco común","Común")))))</f>
        <v/>
      </c>
      <c r="M852" s="5" t="n">
        <v>144373.006336</v>
      </c>
      <c r="N852" s="5" t="n">
        <v>15765.999616</v>
      </c>
      <c r="O852" s="5">
        <f>IF(M852="","",M852*J852)</f>
        <v/>
      </c>
      <c r="P852" s="5">
        <f>IF(N852="","",N852*J852)</f>
        <v/>
      </c>
      <c r="Q852" s="7" t="n">
        <v>0.0234</v>
      </c>
      <c r="R852" s="8" t="n">
        <v>7.162907</v>
      </c>
      <c r="S852" s="4" t="inlineStr">
        <is>
          <t>HANGSENG</t>
        </is>
      </c>
      <c r="T852" s="9" t="inlineStr">
        <is>
          <t>SI</t>
        </is>
      </c>
      <c r="U852" s="9" t="inlineStr"/>
      <c r="V852" s="10">
        <f>Umbrales!$B$9*(K852/1000)^Umbrales!$B$10</f>
        <v/>
      </c>
    </row>
    <row r="853">
      <c r="A853" s="4" t="inlineStr">
        <is>
          <t>CON.DE</t>
        </is>
      </c>
      <c r="B853" s="4" t="inlineStr">
        <is>
          <t>Continental Aktiengesellschaft</t>
        </is>
      </c>
      <c r="C853" s="4" t="inlineStr">
        <is>
          <t>Germany</t>
        </is>
      </c>
      <c r="D853" s="4" t="inlineStr">
        <is>
          <t>DE</t>
        </is>
      </c>
      <c r="E853" s="4" t="inlineStr">
        <is>
          <t>Consumo cíclico</t>
        </is>
      </c>
      <c r="F853" s="4" t="inlineStr">
        <is>
          <t>Auto Parts</t>
        </is>
      </c>
      <c r="G853" s="4" t="inlineStr">
        <is>
          <t>GER</t>
        </is>
      </c>
      <c r="H853" s="4" t="inlineStr">
        <is>
          <t>EUR</t>
        </is>
      </c>
      <c r="I853" s="5" t="n">
        <v>13924.417536</v>
      </c>
      <c r="J853" s="6">
        <f>INDEX(FX!$B:$B,MATCH(H853,FX!$A:$A,0))</f>
        <v/>
      </c>
      <c r="K853" s="5">
        <f>I853*J853</f>
        <v/>
      </c>
      <c r="L853" s="4">
        <f>IF(U853&lt;&gt;"",U853,IF(K853&gt;=Umbrales!$B$2,"Legendaria",IF(K853&gt;=Umbrales!$B$3,"Épica",IF(K853&gt;=Umbrales!$B$4,"Rara",IF(K853&gt;=Umbrales!$B$5,"Poco común","Común")))))</f>
        <v/>
      </c>
      <c r="M853" s="5" t="n">
        <v>18815.000576</v>
      </c>
      <c r="N853" s="5" t="n">
        <v>-419</v>
      </c>
      <c r="O853" s="5">
        <f>IF(M853="","",M853*J853)</f>
        <v/>
      </c>
      <c r="P853" s="5">
        <f>IF(N853="","",N853*J853)</f>
        <v/>
      </c>
      <c r="Q853" s="7" t="n">
        <v>0.0384</v>
      </c>
      <c r="R853" s="8" t="n"/>
      <c r="S853" s="4" t="inlineStr">
        <is>
          <t>DAX40</t>
        </is>
      </c>
      <c r="T853" s="9" t="inlineStr">
        <is>
          <t>SI</t>
        </is>
      </c>
      <c r="U853" s="9" t="inlineStr"/>
      <c r="V853" s="10">
        <f>Umbrales!$B$9*(K853/1000)^Umbrales!$B$10</f>
        <v/>
      </c>
    </row>
    <row r="854">
      <c r="A854" s="4" t="inlineStr">
        <is>
          <t>LDOS</t>
        </is>
      </c>
      <c r="B854" s="4" t="inlineStr">
        <is>
          <t>Leidos Holdings, Inc.</t>
        </is>
      </c>
      <c r="C854" s="4" t="inlineStr">
        <is>
          <t>United States</t>
        </is>
      </c>
      <c r="D854" s="4" t="inlineStr">
        <is>
          <t>US</t>
        </is>
      </c>
      <c r="E854" s="4" t="inlineStr">
        <is>
          <t>Tecnología</t>
        </is>
      </c>
      <c r="F854" s="4" t="inlineStr">
        <is>
          <t>Information Technology Services</t>
        </is>
      </c>
      <c r="G854" s="4" t="inlineStr">
        <is>
          <t>NYQ</t>
        </is>
      </c>
      <c r="H854" s="4" t="inlineStr">
        <is>
          <t>USD</t>
        </is>
      </c>
      <c r="I854" s="5" t="n">
        <v>15559.661568</v>
      </c>
      <c r="J854" s="6">
        <f>INDEX(FX!$B:$B,MATCH(H854,FX!$A:$A,0))</f>
        <v/>
      </c>
      <c r="K854" s="5">
        <f>I854*J854</f>
        <v/>
      </c>
      <c r="L854" s="4">
        <f>IF(U854&lt;&gt;"",U854,IF(K854&gt;=Umbrales!$B$2,"Legendaria",IF(K854&gt;=Umbrales!$B$3,"Épica",IF(K854&gt;=Umbrales!$B$4,"Rara",IF(K854&gt;=Umbrales!$B$5,"Poco común","Común")))))</f>
        <v/>
      </c>
      <c r="M854" s="5" t="n">
        <v>17634.000896</v>
      </c>
      <c r="N854" s="5" t="n">
        <v>1376</v>
      </c>
      <c r="O854" s="5">
        <f>IF(M854="","",M854*J854)</f>
        <v/>
      </c>
      <c r="P854" s="5">
        <f>IF(N854="","",N854*J854)</f>
        <v/>
      </c>
      <c r="Q854" s="7" t="n">
        <v>0.0144</v>
      </c>
      <c r="R854" s="8" t="n">
        <v>11.464318</v>
      </c>
      <c r="S854" s="4" t="inlineStr">
        <is>
          <t>SP500</t>
        </is>
      </c>
      <c r="T854" s="9" t="inlineStr">
        <is>
          <t>SI</t>
        </is>
      </c>
      <c r="U854" s="9" t="inlineStr"/>
      <c r="V854" s="10">
        <f>Umbrales!$B$9*(K854/1000)^Umbrales!$B$10</f>
        <v/>
      </c>
    </row>
    <row r="855">
      <c r="A855" s="4" t="inlineStr">
        <is>
          <t>BEN</t>
        </is>
      </c>
      <c r="B855" s="4" t="inlineStr">
        <is>
          <t>Franklin Templeton Inc.</t>
        </is>
      </c>
      <c r="C855" s="4" t="inlineStr">
        <is>
          <t>United States</t>
        </is>
      </c>
      <c r="D855" s="4" t="inlineStr">
        <is>
          <t>US</t>
        </is>
      </c>
      <c r="E855" s="4" t="inlineStr">
        <is>
          <t>Finanzas</t>
        </is>
      </c>
      <c r="F855" s="4" t="inlineStr">
        <is>
          <t>Asset Management</t>
        </is>
      </c>
      <c r="G855" s="4" t="inlineStr">
        <is>
          <t>NYQ</t>
        </is>
      </c>
      <c r="H855" s="4" t="inlineStr">
        <is>
          <t>USD</t>
        </is>
      </c>
      <c r="I855" s="5" t="n">
        <v>15542.07232</v>
      </c>
      <c r="J855" s="6">
        <f>INDEX(FX!$B:$B,MATCH(H855,FX!$A:$A,0))</f>
        <v/>
      </c>
      <c r="K855" s="5">
        <f>I855*J855</f>
        <v/>
      </c>
      <c r="L855" s="4">
        <f>IF(U855&lt;&gt;"",U855,IF(K855&gt;=Umbrales!$B$2,"Legendaria",IF(K855&gt;=Umbrales!$B$3,"Épica",IF(K855&gt;=Umbrales!$B$4,"Rara",IF(K855&gt;=Umbrales!$B$5,"Poco común","Común")))))</f>
        <v/>
      </c>
      <c r="M855" s="5" t="n">
        <v>9324.099584</v>
      </c>
      <c r="N855" s="5" t="n">
        <v>759.2</v>
      </c>
      <c r="O855" s="5">
        <f>IF(M855="","",M855*J855)</f>
        <v/>
      </c>
      <c r="P855" s="5">
        <f>IF(N855="","",N855*J855)</f>
        <v/>
      </c>
      <c r="Q855" s="7" t="n">
        <v>0.0423</v>
      </c>
      <c r="R855" s="8" t="n">
        <v>21.243055</v>
      </c>
      <c r="S855" s="4" t="inlineStr">
        <is>
          <t>SP500</t>
        </is>
      </c>
      <c r="T855" s="9" t="inlineStr">
        <is>
          <t>SI</t>
        </is>
      </c>
      <c r="U855" s="9" t="inlineStr"/>
      <c r="V855" s="10">
        <f>Umbrales!$B$9*(K855/1000)^Umbrales!$B$10</f>
        <v/>
      </c>
    </row>
    <row r="856">
      <c r="A856" s="4" t="inlineStr">
        <is>
          <t>BKT.MC</t>
        </is>
      </c>
      <c r="B856" s="4" t="inlineStr">
        <is>
          <t>Bankinter, S.A.</t>
        </is>
      </c>
      <c r="C856" s="4" t="inlineStr">
        <is>
          <t>Spain</t>
        </is>
      </c>
      <c r="D856" s="4" t="inlineStr">
        <is>
          <t>ES</t>
        </is>
      </c>
      <c r="E856" s="4" t="inlineStr">
        <is>
          <t>Finanzas</t>
        </is>
      </c>
      <c r="F856" s="4" t="inlineStr">
        <is>
          <t>Banks - Regional</t>
        </is>
      </c>
      <c r="G856" s="4" t="inlineStr">
        <is>
          <t>MCE</t>
        </is>
      </c>
      <c r="H856" s="4" t="inlineStr">
        <is>
          <t>EUR</t>
        </is>
      </c>
      <c r="I856" s="5" t="n">
        <v>13745.559552</v>
      </c>
      <c r="J856" s="6">
        <f>INDEX(FX!$B:$B,MATCH(H856,FX!$A:$A,0))</f>
        <v/>
      </c>
      <c r="K856" s="5">
        <f>I856*J856</f>
        <v/>
      </c>
      <c r="L856" s="4">
        <f>IF(U856&lt;&gt;"",U856,IF(K856&gt;=Umbrales!$B$2,"Legendaria",IF(K856&gt;=Umbrales!$B$3,"Épica",IF(K856&gt;=Umbrales!$B$4,"Rara",IF(K856&gt;=Umbrales!$B$5,"Poco común","Común")))))</f>
        <v/>
      </c>
      <c r="M856" s="5" t="n">
        <v>2829.554944</v>
      </c>
      <c r="N856" s="5" t="n">
        <v>1150.017024</v>
      </c>
      <c r="O856" s="5">
        <f>IF(M856="","",M856*J856)</f>
        <v/>
      </c>
      <c r="P856" s="5">
        <f>IF(N856="","",N856*J856)</f>
        <v/>
      </c>
      <c r="Q856" s="7" t="n">
        <v>0.0403</v>
      </c>
      <c r="R856" s="8" t="n">
        <v>12.640495</v>
      </c>
      <c r="S856" s="4" t="inlineStr">
        <is>
          <t>IBEX35</t>
        </is>
      </c>
      <c r="T856" s="9" t="inlineStr">
        <is>
          <t>SI</t>
        </is>
      </c>
      <c r="U856" s="9" t="inlineStr"/>
      <c r="V856" s="10">
        <f>Umbrales!$B$9*(K856/1000)^Umbrales!$B$10</f>
        <v/>
      </c>
    </row>
    <row r="857">
      <c r="A857" s="4" t="inlineStr">
        <is>
          <t>GIB-A.TO</t>
        </is>
      </c>
      <c r="B857" s="4" t="inlineStr">
        <is>
          <t>CGI Inc.</t>
        </is>
      </c>
      <c r="C857" s="4" t="inlineStr">
        <is>
          <t>Canada</t>
        </is>
      </c>
      <c r="D857" s="4" t="inlineStr">
        <is>
          <t>CA</t>
        </is>
      </c>
      <c r="E857" s="4" t="inlineStr">
        <is>
          <t>Tecnología</t>
        </is>
      </c>
      <c r="F857" s="4" t="inlineStr">
        <is>
          <t>Information Technology Services</t>
        </is>
      </c>
      <c r="G857" s="4" t="inlineStr">
        <is>
          <t>TOR</t>
        </is>
      </c>
      <c r="H857" s="4" t="inlineStr">
        <is>
          <t>CAD</t>
        </is>
      </c>
      <c r="I857" s="5" t="n">
        <v>21854.738432</v>
      </c>
      <c r="J857" s="6">
        <f>INDEX(FX!$B:$B,MATCH(H857,FX!$A:$A,0))</f>
        <v/>
      </c>
      <c r="K857" s="5">
        <f>I857*J857</f>
        <v/>
      </c>
      <c r="L857" s="4">
        <f>IF(U857&lt;&gt;"",U857,IF(K857&gt;=Umbrales!$B$2,"Legendaria",IF(K857&gt;=Umbrales!$B$3,"Épica",IF(K857&gt;=Umbrales!$B$4,"Rara",IF(K857&gt;=Umbrales!$B$5,"Poco común","Común")))))</f>
        <v/>
      </c>
      <c r="M857" s="5" t="n">
        <v>16441.382912</v>
      </c>
      <c r="N857" s="5" t="n">
        <v>1733.272064</v>
      </c>
      <c r="O857" s="5">
        <f>IF(M857="","",M857*J857)</f>
        <v/>
      </c>
      <c r="P857" s="5">
        <f>IF(N857="","",N857*J857)</f>
        <v/>
      </c>
      <c r="Q857" s="7" t="n">
        <v>0.0066</v>
      </c>
      <c r="R857" s="8" t="n">
        <v>13.1105585</v>
      </c>
      <c r="S857" s="4" t="inlineStr">
        <is>
          <t>TSX60</t>
        </is>
      </c>
      <c r="T857" s="9" t="inlineStr">
        <is>
          <t>SI</t>
        </is>
      </c>
      <c r="U857" s="9" t="inlineStr"/>
      <c r="V857" s="10">
        <f>Umbrales!$B$9*(K857/1000)^Umbrales!$B$10</f>
        <v/>
      </c>
    </row>
    <row r="858">
      <c r="A858" s="4" t="inlineStr">
        <is>
          <t>TECHM.NS</t>
        </is>
      </c>
      <c r="B858" s="4" t="inlineStr">
        <is>
          <t>Tech Mahindra Limited</t>
        </is>
      </c>
      <c r="C858" s="4" t="inlineStr">
        <is>
          <t>India</t>
        </is>
      </c>
      <c r="D858" s="4" t="inlineStr">
        <is>
          <t>IN</t>
        </is>
      </c>
      <c r="E858" s="4" t="inlineStr">
        <is>
          <t>Tecnología</t>
        </is>
      </c>
      <c r="F858" s="4" t="inlineStr">
        <is>
          <t>Information Technology Services</t>
        </is>
      </c>
      <c r="G858" s="4" t="inlineStr">
        <is>
          <t>NSI</t>
        </is>
      </c>
      <c r="H858" s="4" t="inlineStr">
        <is>
          <t>INR</t>
        </is>
      </c>
      <c r="I858" s="5" t="n">
        <v>1461773.664256</v>
      </c>
      <c r="J858" s="6">
        <f>INDEX(FX!$B:$B,MATCH(H858,FX!$A:$A,0))</f>
        <v/>
      </c>
      <c r="K858" s="5">
        <f>I858*J858</f>
        <v/>
      </c>
      <c r="L858" s="4">
        <f>IF(U858&lt;&gt;"",U858,IF(K858&gt;=Umbrales!$B$2,"Legendaria",IF(K858&gt;=Umbrales!$B$3,"Épica",IF(K858&gt;=Umbrales!$B$4,"Rara",IF(K858&gt;=Umbrales!$B$5,"Poco común","Común")))))</f>
        <v/>
      </c>
      <c r="M858" s="5" t="n">
        <v>591760.982016</v>
      </c>
      <c r="N858" s="5" t="n">
        <v>51354.001408</v>
      </c>
      <c r="O858" s="5">
        <f>IF(M858="","",M858*J858)</f>
        <v/>
      </c>
      <c r="P858" s="5">
        <f>IF(N858="","",N858*J858)</f>
        <v/>
      </c>
      <c r="Q858" s="7" t="n">
        <v>0.03240000000000001</v>
      </c>
      <c r="R858" s="8" t="n">
        <v>28.526972</v>
      </c>
      <c r="S858" s="4" t="inlineStr">
        <is>
          <t>NIFTY50</t>
        </is>
      </c>
      <c r="T858" s="9" t="inlineStr">
        <is>
          <t>SI</t>
        </is>
      </c>
      <c r="U858" s="9" t="inlineStr"/>
      <c r="V858" s="10">
        <f>Umbrales!$B$9*(K858/1000)^Umbrales!$B$10</f>
        <v/>
      </c>
    </row>
    <row r="859">
      <c r="A859" s="4" t="inlineStr">
        <is>
          <t>6618.HK</t>
        </is>
      </c>
      <c r="B859" s="4" t="inlineStr">
        <is>
          <t>JD Health International Inc.</t>
        </is>
      </c>
      <c r="C859" s="4" t="inlineStr">
        <is>
          <t>China</t>
        </is>
      </c>
      <c r="D859" s="4" t="inlineStr">
        <is>
          <t>CN</t>
        </is>
      </c>
      <c r="E859" s="4" t="inlineStr">
        <is>
          <t>Salud</t>
        </is>
      </c>
      <c r="F859" s="4" t="inlineStr">
        <is>
          <t>Pharmaceutical Retailers</t>
        </is>
      </c>
      <c r="G859" s="4" t="inlineStr">
        <is>
          <t>HKG</t>
        </is>
      </c>
      <c r="H859" s="4" t="inlineStr">
        <is>
          <t>HKD</t>
        </is>
      </c>
      <c r="I859" s="5" t="n">
        <v>120372.912128</v>
      </c>
      <c r="J859" s="6">
        <f>INDEX(FX!$B:$B,MATCH(H859,FX!$A:$A,0))</f>
        <v/>
      </c>
      <c r="K859" s="5">
        <f>I859*J859</f>
        <v/>
      </c>
      <c r="L859" s="4">
        <f>IF(U859&lt;&gt;"",U859,IF(K859&gt;=Umbrales!$B$2,"Legendaria",IF(K859&gt;=Umbrales!$B$3,"Épica",IF(K859&gt;=Umbrales!$B$4,"Rara",IF(K859&gt;=Umbrales!$B$5,"Poco común","Común")))))</f>
        <v/>
      </c>
      <c r="M859" s="5" t="n">
        <v>79039.32416</v>
      </c>
      <c r="N859" s="5" t="n">
        <v>6215.763968</v>
      </c>
      <c r="O859" s="5">
        <f>IF(M859="","",M859*J859)</f>
        <v/>
      </c>
      <c r="P859" s="5">
        <f>IF(N859="","",N859*J859)</f>
        <v/>
      </c>
      <c r="Q859" s="7" t="n">
        <v>0</v>
      </c>
      <c r="R859" s="8" t="n">
        <v>17.391705</v>
      </c>
      <c r="S859" s="4" t="inlineStr">
        <is>
          <t>HANGSENG</t>
        </is>
      </c>
      <c r="T859" s="9" t="inlineStr">
        <is>
          <t>SI</t>
        </is>
      </c>
      <c r="U859" s="9" t="inlineStr"/>
      <c r="V859" s="10">
        <f>Umbrales!$B$9*(K859/1000)^Umbrales!$B$10</f>
        <v/>
      </c>
    </row>
    <row r="860">
      <c r="A860" s="4" t="inlineStr">
        <is>
          <t>KIM</t>
        </is>
      </c>
      <c r="B860" s="4" t="inlineStr">
        <is>
          <t>Kimco Realty Corporation</t>
        </is>
      </c>
      <c r="C860" s="4" t="inlineStr">
        <is>
          <t>United States</t>
        </is>
      </c>
      <c r="D860" s="4" t="inlineStr">
        <is>
          <t>US</t>
        </is>
      </c>
      <c r="E860" s="4" t="inlineStr">
        <is>
          <t>Inmobiliario</t>
        </is>
      </c>
      <c r="F860" s="4" t="inlineStr">
        <is>
          <t>REIT - Retail</t>
        </is>
      </c>
      <c r="G860" s="4" t="inlineStr">
        <is>
          <t>NYQ</t>
        </is>
      </c>
      <c r="H860" s="4" t="inlineStr">
        <is>
          <t>USD</t>
        </is>
      </c>
      <c r="I860" s="5" t="n">
        <v>15223.564288</v>
      </c>
      <c r="J860" s="6">
        <f>INDEX(FX!$B:$B,MATCH(H860,FX!$A:$A,0))</f>
        <v/>
      </c>
      <c r="K860" s="5">
        <f>I860*J860</f>
        <v/>
      </c>
      <c r="L860" s="4">
        <f>IF(U860&lt;&gt;"",U860,IF(K860&gt;=Umbrales!$B$2,"Legendaria",IF(K860&gt;=Umbrales!$B$3,"Épica",IF(K860&gt;=Umbrales!$B$4,"Rara",IF(K860&gt;=Umbrales!$B$5,"Poco común","Común")))))</f>
        <v/>
      </c>
      <c r="M860" s="5" t="n">
        <v>2187.133952</v>
      </c>
      <c r="N860" s="5" t="n">
        <v>573.750016</v>
      </c>
      <c r="O860" s="5">
        <f>IF(M860="","",M860*J860)</f>
        <v/>
      </c>
      <c r="P860" s="5">
        <f>IF(N860="","",N860*J860)</f>
        <v/>
      </c>
      <c r="Q860" s="7" t="n">
        <v>0.0499</v>
      </c>
      <c r="R860" s="8" t="n">
        <v>26.699999</v>
      </c>
      <c r="S860" s="4" t="inlineStr">
        <is>
          <t>SP500</t>
        </is>
      </c>
      <c r="T860" s="9" t="inlineStr">
        <is>
          <t>SI</t>
        </is>
      </c>
      <c r="U860" s="9" t="inlineStr"/>
      <c r="V860" s="10">
        <f>Umbrales!$B$9*(K860/1000)^Umbrales!$B$10</f>
        <v/>
      </c>
    </row>
    <row r="861">
      <c r="A861" s="4" t="inlineStr">
        <is>
          <t>JIOFIN.NS</t>
        </is>
      </c>
      <c r="B861" s="4" t="inlineStr">
        <is>
          <t>Jio Financial Services Limited</t>
        </is>
      </c>
      <c r="C861" s="4" t="inlineStr">
        <is>
          <t>India</t>
        </is>
      </c>
      <c r="D861" s="4" t="inlineStr">
        <is>
          <t>IN</t>
        </is>
      </c>
      <c r="E861" s="4" t="inlineStr">
        <is>
          <t>Finanzas</t>
        </is>
      </c>
      <c r="F861" s="4" t="inlineStr">
        <is>
          <t>Asset Management</t>
        </is>
      </c>
      <c r="G861" s="4" t="inlineStr">
        <is>
          <t>NSI</t>
        </is>
      </c>
      <c r="H861" s="4" t="inlineStr">
        <is>
          <t>INR</t>
        </is>
      </c>
      <c r="I861" s="5" t="n">
        <v>1446154.07616</v>
      </c>
      <c r="J861" s="6">
        <f>INDEX(FX!$B:$B,MATCH(H861,FX!$A:$A,0))</f>
        <v/>
      </c>
      <c r="K861" s="5">
        <f>I861*J861</f>
        <v/>
      </c>
      <c r="L861" s="4">
        <f>IF(U861&lt;&gt;"",U861,IF(K861&gt;=Umbrales!$B$2,"Legendaria",IF(K861&gt;=Umbrales!$B$3,"Épica",IF(K861&gt;=Umbrales!$B$4,"Rara",IF(K861&gt;=Umbrales!$B$5,"Poco común","Común")))))</f>
        <v/>
      </c>
      <c r="M861" s="5" t="n">
        <v>37568.200704</v>
      </c>
      <c r="N861" s="5" t="n">
        <v>20664.899584</v>
      </c>
      <c r="O861" s="5">
        <f>IF(M861="","",M861*J861)</f>
        <v/>
      </c>
      <c r="P861" s="5">
        <f>IF(N861="","",N861*J861)</f>
        <v/>
      </c>
      <c r="Q861" s="7" t="n">
        <v>0.0027</v>
      </c>
      <c r="R861" s="8" t="n">
        <v>68.01552599999999</v>
      </c>
      <c r="S861" s="4" t="inlineStr">
        <is>
          <t>NIFTY50</t>
        </is>
      </c>
      <c r="T861" s="9" t="inlineStr">
        <is>
          <t>SI</t>
        </is>
      </c>
      <c r="U861" s="9" t="inlineStr"/>
      <c r="V861" s="10">
        <f>Umbrales!$B$9*(K861/1000)^Umbrales!$B$10</f>
        <v/>
      </c>
    </row>
    <row r="862">
      <c r="A862" s="4" t="inlineStr">
        <is>
          <t>SOLV</t>
        </is>
      </c>
      <c r="B862" s="4" t="inlineStr">
        <is>
          <t>Solventum Corporation</t>
        </is>
      </c>
      <c r="C862" s="4" t="inlineStr">
        <is>
          <t>United States</t>
        </is>
      </c>
      <c r="D862" s="4" t="inlineStr">
        <is>
          <t>US</t>
        </is>
      </c>
      <c r="E862" s="4" t="inlineStr">
        <is>
          <t>Salud</t>
        </is>
      </c>
      <c r="F862" s="4" t="inlineStr">
        <is>
          <t>Medical Instruments &amp; Supplies</t>
        </is>
      </c>
      <c r="G862" s="4" t="inlineStr">
        <is>
          <t>NYQ</t>
        </is>
      </c>
      <c r="H862" s="4" t="inlineStr">
        <is>
          <t>USD</t>
        </is>
      </c>
      <c r="I862" s="5" t="n">
        <v>15123.52768</v>
      </c>
      <c r="J862" s="6">
        <f>INDEX(FX!$B:$B,MATCH(H862,FX!$A:$A,0))</f>
        <v/>
      </c>
      <c r="K862" s="5">
        <f>I862*J862</f>
        <v/>
      </c>
      <c r="L862" s="4">
        <f>IF(U862&lt;&gt;"",U862,IF(K862&gt;=Umbrales!$B$2,"Legendaria",IF(K862&gt;=Umbrales!$B$3,"Épica",IF(K862&gt;=Umbrales!$B$4,"Rara",IF(K862&gt;=Umbrales!$B$5,"Poco común","Común")))))</f>
        <v/>
      </c>
      <c r="M862" s="5" t="n">
        <v>8310.000128</v>
      </c>
      <c r="N862" s="5" t="n">
        <v>1434</v>
      </c>
      <c r="O862" s="5">
        <f>IF(M862="","",M862*J862)</f>
        <v/>
      </c>
      <c r="P862" s="5">
        <f>IF(N862="","",N862*J862)</f>
        <v/>
      </c>
      <c r="Q862" s="7" t="n">
        <v>0</v>
      </c>
      <c r="R862" s="8" t="n">
        <v>10.756053</v>
      </c>
      <c r="S862" s="4" t="inlineStr">
        <is>
          <t>SP500</t>
        </is>
      </c>
      <c r="T862" s="9" t="inlineStr">
        <is>
          <t>SI</t>
        </is>
      </c>
      <c r="U862" s="9" t="inlineStr"/>
      <c r="V862" s="10">
        <f>Umbrales!$B$9*(K862/1000)^Umbrales!$B$10</f>
        <v/>
      </c>
    </row>
    <row r="863">
      <c r="A863" s="4" t="inlineStr">
        <is>
          <t>SY1.DE</t>
        </is>
      </c>
      <c r="B863" s="4" t="inlineStr">
        <is>
          <t>Symrise AG</t>
        </is>
      </c>
      <c r="C863" s="4" t="inlineStr">
        <is>
          <t>Germany</t>
        </is>
      </c>
      <c r="D863" s="4" t="inlineStr">
        <is>
          <t>DE</t>
        </is>
      </c>
      <c r="E863" s="4" t="inlineStr">
        <is>
          <t>Materiales</t>
        </is>
      </c>
      <c r="F863" s="4" t="inlineStr">
        <is>
          <t>Specialty Chemicals</t>
        </is>
      </c>
      <c r="G863" s="4" t="inlineStr">
        <is>
          <t>GER</t>
        </is>
      </c>
      <c r="H863" s="4" t="inlineStr">
        <is>
          <t>EUR</t>
        </is>
      </c>
      <c r="I863" s="5" t="n">
        <v>13451.887616</v>
      </c>
      <c r="J863" s="6">
        <f>INDEX(FX!$B:$B,MATCH(H863,FX!$A:$A,0))</f>
        <v/>
      </c>
      <c r="K863" s="5">
        <f>I863*J863</f>
        <v/>
      </c>
      <c r="L863" s="4">
        <f>IF(U863&lt;&gt;"",U863,IF(K863&gt;=Umbrales!$B$2,"Legendaria",IF(K863&gt;=Umbrales!$B$3,"Épica",IF(K863&gt;=Umbrales!$B$4,"Rara",IF(K863&gt;=Umbrales!$B$5,"Poco común","Común")))))</f>
        <v/>
      </c>
      <c r="M863" s="5" t="n">
        <v>4914.876928</v>
      </c>
      <c r="N863" s="5" t="n">
        <v>246.082</v>
      </c>
      <c r="O863" s="5">
        <f>IF(M863="","",M863*J863)</f>
        <v/>
      </c>
      <c r="P863" s="5">
        <f>IF(N863="","",N863*J863)</f>
        <v/>
      </c>
      <c r="Q863" s="7" t="n">
        <v>0.0137</v>
      </c>
      <c r="R863" s="8" t="n">
        <v>54.782124</v>
      </c>
      <c r="S863" s="4" t="inlineStr">
        <is>
          <t>DAX40</t>
        </is>
      </c>
      <c r="T863" s="9" t="inlineStr">
        <is>
          <t>SI</t>
        </is>
      </c>
      <c r="U863" s="9" t="inlineStr"/>
      <c r="V863" s="10">
        <f>Umbrales!$B$9*(K863/1000)^Umbrales!$B$10</f>
        <v/>
      </c>
    </row>
    <row r="864">
      <c r="A864" s="4" t="inlineStr">
        <is>
          <t>MAP.MC</t>
        </is>
      </c>
      <c r="B864" s="4" t="inlineStr">
        <is>
          <t>Mapfre, S.A.</t>
        </is>
      </c>
      <c r="C864" s="4" t="inlineStr">
        <is>
          <t>Spain</t>
        </is>
      </c>
      <c r="D864" s="4" t="inlineStr">
        <is>
          <t>ES</t>
        </is>
      </c>
      <c r="E864" s="4" t="inlineStr">
        <is>
          <t>Finanzas</t>
        </is>
      </c>
      <c r="F864" s="4" t="inlineStr">
        <is>
          <t>Insurance - Diversified</t>
        </is>
      </c>
      <c r="G864" s="4" t="inlineStr">
        <is>
          <t>MCE</t>
        </is>
      </c>
      <c r="H864" s="4" t="inlineStr">
        <is>
          <t>EUR</t>
        </is>
      </c>
      <c r="I864" s="5" t="n">
        <v>13431.3472</v>
      </c>
      <c r="J864" s="6">
        <f>INDEX(FX!$B:$B,MATCH(H864,FX!$A:$A,0))</f>
        <v/>
      </c>
      <c r="K864" s="5">
        <f>I864*J864</f>
        <v/>
      </c>
      <c r="L864" s="4">
        <f>IF(U864&lt;&gt;"",U864,IF(K864&gt;=Umbrales!$B$2,"Legendaria",IF(K864&gt;=Umbrales!$B$3,"Épica",IF(K864&gt;=Umbrales!$B$4,"Rara",IF(K864&gt;=Umbrales!$B$5,"Poco común","Común")))))</f>
        <v/>
      </c>
      <c r="M864" s="5" t="n">
        <v>31145.900032</v>
      </c>
      <c r="N864" s="5" t="n">
        <v>1182.899968</v>
      </c>
      <c r="O864" s="5">
        <f>IF(M864="","",M864*J864)</f>
        <v/>
      </c>
      <c r="P864" s="5">
        <f>IF(N864="","",N864*J864)</f>
        <v/>
      </c>
      <c r="Q864" s="7" t="n">
        <v>0.042</v>
      </c>
      <c r="R864" s="8" t="n">
        <v>11.515789</v>
      </c>
      <c r="S864" s="4" t="inlineStr">
        <is>
          <t>IBEX35</t>
        </is>
      </c>
      <c r="T864" s="9" t="inlineStr">
        <is>
          <t>SI</t>
        </is>
      </c>
      <c r="U864" s="9" t="inlineStr"/>
      <c r="V864" s="10">
        <f>Umbrales!$B$9*(K864/1000)^Umbrales!$B$10</f>
        <v/>
      </c>
    </row>
    <row r="865">
      <c r="A865" s="4" t="inlineStr">
        <is>
          <t>ERF.PA</t>
        </is>
      </c>
      <c r="B865" s="4" t="inlineStr">
        <is>
          <t>Eurofins Scientific SE</t>
        </is>
      </c>
      <c r="C865" s="4" t="inlineStr">
        <is>
          <t>Luxembourg</t>
        </is>
      </c>
      <c r="D865" s="4" t="inlineStr">
        <is>
          <t>LU</t>
        </is>
      </c>
      <c r="E865" s="4" t="inlineStr">
        <is>
          <t>Salud</t>
        </is>
      </c>
      <c r="F865" s="4" t="inlineStr">
        <is>
          <t>Diagnostics &amp; Research</t>
        </is>
      </c>
      <c r="G865" s="4" t="inlineStr">
        <is>
          <t>PAR</t>
        </is>
      </c>
      <c r="H865" s="4" t="inlineStr">
        <is>
          <t>EUR</t>
        </is>
      </c>
      <c r="I865" s="5" t="n">
        <v>13398.08768</v>
      </c>
      <c r="J865" s="6">
        <f>INDEX(FX!$B:$B,MATCH(H865,FX!$A:$A,0))</f>
        <v/>
      </c>
      <c r="K865" s="5">
        <f>I865*J865</f>
        <v/>
      </c>
      <c r="L865" s="4">
        <f>IF(U865&lt;&gt;"",U865,IF(K865&gt;=Umbrales!$B$2,"Legendaria",IF(K865&gt;=Umbrales!$B$3,"Épica",IF(K865&gt;=Umbrales!$B$4,"Rara",IF(K865&gt;=Umbrales!$B$5,"Poco común","Común")))))</f>
        <v/>
      </c>
      <c r="M865" s="5" t="n">
        <v>7385.50016</v>
      </c>
      <c r="N865" s="5" t="n">
        <v>469.9</v>
      </c>
      <c r="O865" s="5">
        <f>IF(M865="","",M865*J865)</f>
        <v/>
      </c>
      <c r="P865" s="5">
        <f>IF(N865="","",N865*J865)</f>
        <v/>
      </c>
      <c r="Q865" s="7" t="n">
        <v>0.0092</v>
      </c>
      <c r="R865" s="8" t="n">
        <v>27.377625</v>
      </c>
      <c r="S865" s="4" t="inlineStr">
        <is>
          <t>CAC40</t>
        </is>
      </c>
      <c r="T865" s="9" t="inlineStr">
        <is>
          <t>SI</t>
        </is>
      </c>
      <c r="U865" s="9" t="inlineStr"/>
      <c r="V865" s="10">
        <f>Umbrales!$B$9*(K865/1000)^Umbrales!$B$10</f>
        <v/>
      </c>
    </row>
    <row r="866">
      <c r="A866" s="4" t="inlineStr">
        <is>
          <t>ADM.L</t>
        </is>
      </c>
      <c r="B866" s="4" t="inlineStr">
        <is>
          <t>Admiral Group plc</t>
        </is>
      </c>
      <c r="C866" s="4" t="inlineStr">
        <is>
          <t>United Kingdom</t>
        </is>
      </c>
      <c r="D866" s="4" t="inlineStr">
        <is>
          <t>GB</t>
        </is>
      </c>
      <c r="E866" s="4" t="inlineStr">
        <is>
          <t>Finanzas</t>
        </is>
      </c>
      <c r="F866" s="4" t="inlineStr">
        <is>
          <t>Insurance - Property &amp; Casualty</t>
        </is>
      </c>
      <c r="G866" s="4" t="inlineStr">
        <is>
          <t>LSE</t>
        </is>
      </c>
      <c r="H866" s="4" t="inlineStr">
        <is>
          <t>GBP</t>
        </is>
      </c>
      <c r="I866" s="5" t="n">
        <v>11314.158592</v>
      </c>
      <c r="J866" s="6">
        <f>INDEX(FX!$B:$B,MATCH(H866,FX!$A:$A,0))</f>
        <v/>
      </c>
      <c r="K866" s="5">
        <f>I866*J866</f>
        <v/>
      </c>
      <c r="L866" s="4">
        <f>IF(U866&lt;&gt;"",U866,IF(K866&gt;=Umbrales!$B$2,"Legendaria",IF(K866&gt;=Umbrales!$B$3,"Épica",IF(K866&gt;=Umbrales!$B$4,"Rara",IF(K866&gt;=Umbrales!$B$5,"Poco común","Común")))))</f>
        <v/>
      </c>
      <c r="M866" s="5" t="n">
        <v>5019.29984</v>
      </c>
      <c r="N866" s="5" t="n">
        <v>668.6</v>
      </c>
      <c r="O866" s="5">
        <f>IF(M866="","",M866*J866)</f>
        <v/>
      </c>
      <c r="P866" s="5">
        <f>IF(N866="","",N866*J866)</f>
        <v/>
      </c>
      <c r="Q866" s="7" t="n">
        <v>0.0382</v>
      </c>
      <c r="R866" s="8" t="n">
        <v>17.745283</v>
      </c>
      <c r="S866" s="4" t="inlineStr">
        <is>
          <t>FTSE100</t>
        </is>
      </c>
      <c r="T866" s="9" t="inlineStr">
        <is>
          <t>SI</t>
        </is>
      </c>
      <c r="U866" s="9" t="inlineStr"/>
      <c r="V866" s="10">
        <f>Umbrales!$B$9*(K866/1000)^Umbrales!$B$10</f>
        <v/>
      </c>
    </row>
    <row r="867">
      <c r="A867" s="4" t="inlineStr">
        <is>
          <t>2057.HK</t>
        </is>
      </c>
      <c r="B867" s="4" t="inlineStr">
        <is>
          <t>ZTO Express (Cayman) Inc.</t>
        </is>
      </c>
      <c r="C867" s="4" t="inlineStr">
        <is>
          <t>China</t>
        </is>
      </c>
      <c r="D867" s="4" t="inlineStr">
        <is>
          <t>CN</t>
        </is>
      </c>
      <c r="E867" s="4" t="inlineStr">
        <is>
          <t>Industria</t>
        </is>
      </c>
      <c r="F867" s="4" t="inlineStr">
        <is>
          <t>Integrated Freight &amp; Logistics</t>
        </is>
      </c>
      <c r="G867" s="4" t="inlineStr">
        <is>
          <t>HKG</t>
        </is>
      </c>
      <c r="H867" s="4" t="inlineStr">
        <is>
          <t>HKD</t>
        </is>
      </c>
      <c r="I867" s="5" t="n">
        <v>117629.837312</v>
      </c>
      <c r="J867" s="6">
        <f>INDEX(FX!$B:$B,MATCH(H867,FX!$A:$A,0))</f>
        <v/>
      </c>
      <c r="K867" s="5">
        <f>I867*J867</f>
        <v/>
      </c>
      <c r="L867" s="4">
        <f>IF(U867&lt;&gt;"",U867,IF(K867&gt;=Umbrales!$B$2,"Legendaria",IF(K867&gt;=Umbrales!$B$3,"Épica",IF(K867&gt;=Umbrales!$B$4,"Rara",IF(K867&gt;=Umbrales!$B$5,"Poco común","Común")))))</f>
        <v/>
      </c>
      <c r="M867" s="5" t="n">
        <v>54207.65184</v>
      </c>
      <c r="N867" s="5" t="n">
        <v>10318.296064</v>
      </c>
      <c r="O867" s="5">
        <f>IF(M867="","",M867*J867)</f>
        <v/>
      </c>
      <c r="P867" s="5">
        <f>IF(N867="","",N867*J867)</f>
        <v/>
      </c>
      <c r="Q867" s="7" t="n">
        <v>0.0335</v>
      </c>
      <c r="R867" s="8" t="n">
        <v>10.984637</v>
      </c>
      <c r="S867" s="4" t="inlineStr">
        <is>
          <t>HANGSENG</t>
        </is>
      </c>
      <c r="T867" s="9" t="inlineStr">
        <is>
          <t>SI</t>
        </is>
      </c>
      <c r="U867" s="9" t="inlineStr"/>
      <c r="V867" s="10">
        <f>Umbrales!$B$9*(K867/1000)^Umbrales!$B$10</f>
        <v/>
      </c>
    </row>
    <row r="868">
      <c r="A868" s="4" t="inlineStr">
        <is>
          <t>BOL.ST</t>
        </is>
      </c>
      <c r="B868" s="4" t="inlineStr">
        <is>
          <t>Boliden AB (publ)</t>
        </is>
      </c>
      <c r="C868" s="4" t="inlineStr">
        <is>
          <t>Sweden</t>
        </is>
      </c>
      <c r="D868" s="4" t="inlineStr">
        <is>
          <t>SE</t>
        </is>
      </c>
      <c r="E868" s="4" t="inlineStr">
        <is>
          <t>Materiales</t>
        </is>
      </c>
      <c r="F868" s="4" t="inlineStr">
        <is>
          <t>Other Industrial Metals &amp; Mining</t>
        </is>
      </c>
      <c r="G868" s="4" t="inlineStr">
        <is>
          <t>STO</t>
        </is>
      </c>
      <c r="H868" s="4" t="inlineStr">
        <is>
          <t>SEK</t>
        </is>
      </c>
      <c r="I868" s="5" t="n">
        <v>149080.293376</v>
      </c>
      <c r="J868" s="6">
        <f>INDEX(FX!$B:$B,MATCH(H868,FX!$A:$A,0))</f>
        <v/>
      </c>
      <c r="K868" s="5">
        <f>I868*J868</f>
        <v/>
      </c>
      <c r="L868" s="4">
        <f>IF(U868&lt;&gt;"",U868,IF(K868&gt;=Umbrales!$B$2,"Legendaria",IF(K868&gt;=Umbrales!$B$3,"Épica",IF(K868&gt;=Umbrales!$B$4,"Rara",IF(K868&gt;=Umbrales!$B$5,"Poco común","Común")))))</f>
        <v/>
      </c>
      <c r="M868" s="5" t="n">
        <v>103657.996288</v>
      </c>
      <c r="N868" s="5" t="n">
        <v>12675.00032</v>
      </c>
      <c r="O868" s="5">
        <f>IF(M868="","",M868*J868)</f>
        <v/>
      </c>
      <c r="P868" s="5">
        <f>IF(N868="","",N868*J868)</f>
        <v/>
      </c>
      <c r="Q868" s="7" t="n">
        <v>0.0201</v>
      </c>
      <c r="R868" s="8" t="n">
        <v>12.164041</v>
      </c>
      <c r="S868" s="4" t="inlineStr">
        <is>
          <t>OMXS30</t>
        </is>
      </c>
      <c r="T868" s="9" t="inlineStr">
        <is>
          <t>SI</t>
        </is>
      </c>
      <c r="U868" s="9" t="inlineStr"/>
      <c r="V868" s="10">
        <f>Umbrales!$B$9*(K868/1000)^Umbrales!$B$10</f>
        <v/>
      </c>
    </row>
    <row r="869">
      <c r="A869" s="4" t="inlineStr">
        <is>
          <t>LIFCO-B.ST</t>
        </is>
      </c>
      <c r="B869" s="4" t="inlineStr">
        <is>
          <t>Lifco AB (publ)</t>
        </is>
      </c>
      <c r="C869" s="4" t="inlineStr">
        <is>
          <t>Sweden</t>
        </is>
      </c>
      <c r="D869" s="4" t="inlineStr">
        <is>
          <t>SE</t>
        </is>
      </c>
      <c r="E869" s="4" t="inlineStr">
        <is>
          <t>Industria</t>
        </is>
      </c>
      <c r="F869" s="4" t="inlineStr">
        <is>
          <t>Conglomerates</t>
        </is>
      </c>
      <c r="G869" s="4" t="inlineStr">
        <is>
          <t>STO</t>
        </is>
      </c>
      <c r="H869" s="4" t="inlineStr">
        <is>
          <t>SEK</t>
        </is>
      </c>
      <c r="I869" s="5" t="n">
        <v>148892.090368</v>
      </c>
      <c r="J869" s="6">
        <f>INDEX(FX!$B:$B,MATCH(H869,FX!$A:$A,0))</f>
        <v/>
      </c>
      <c r="K869" s="5">
        <f>I869*J869</f>
        <v/>
      </c>
      <c r="L869" s="4">
        <f>IF(U869&lt;&gt;"",U869,IF(K869&gt;=Umbrales!$B$2,"Legendaria",IF(K869&gt;=Umbrales!$B$3,"Épica",IF(K869&gt;=Umbrales!$B$4,"Rara",IF(K869&gt;=Umbrales!$B$5,"Poco común","Común")))))</f>
        <v/>
      </c>
      <c r="M869" s="5" t="n">
        <v>29257.00096</v>
      </c>
      <c r="N869" s="5" t="n">
        <v>3852</v>
      </c>
      <c r="O869" s="5">
        <f>IF(M869="","",M869*J869)</f>
        <v/>
      </c>
      <c r="P869" s="5">
        <f>IF(N869="","",N869*J869)</f>
        <v/>
      </c>
      <c r="Q869" s="7" t="n">
        <v>0.008500000000000001</v>
      </c>
      <c r="R869" s="8" t="n">
        <v>38.02784</v>
      </c>
      <c r="S869" s="4" t="inlineStr">
        <is>
          <t>OMXS30</t>
        </is>
      </c>
      <c r="T869" s="9" t="inlineStr">
        <is>
          <t>SI</t>
        </is>
      </c>
      <c r="U869" s="9" t="inlineStr"/>
      <c r="V869" s="10">
        <f>Umbrales!$B$9*(K869/1000)^Umbrales!$B$10</f>
        <v/>
      </c>
    </row>
    <row r="870">
      <c r="A870" s="4" t="inlineStr">
        <is>
          <t>LOGN.SW</t>
        </is>
      </c>
      <c r="B870" s="4" t="inlineStr">
        <is>
          <t>Logitech International S.A.</t>
        </is>
      </c>
      <c r="C870" s="4" t="inlineStr">
        <is>
          <t>Switzerland</t>
        </is>
      </c>
      <c r="D870" s="4" t="inlineStr">
        <is>
          <t>CH</t>
        </is>
      </c>
      <c r="E870" s="4" t="inlineStr">
        <is>
          <t>Tecnología</t>
        </is>
      </c>
      <c r="F870" s="4" t="inlineStr">
        <is>
          <t>Computer Hardware</t>
        </is>
      </c>
      <c r="G870" s="4" t="inlineStr">
        <is>
          <t>EBS</t>
        </is>
      </c>
      <c r="H870" s="4" t="inlineStr">
        <is>
          <t>CHF</t>
        </is>
      </c>
      <c r="I870" s="5" t="n">
        <v>12342.834176</v>
      </c>
      <c r="J870" s="6">
        <f>INDEX(FX!$B:$B,MATCH(H870,FX!$A:$A,0))</f>
        <v/>
      </c>
      <c r="K870" s="5">
        <f>I870*J870</f>
        <v/>
      </c>
      <c r="L870" s="4">
        <f>IF(U870&lt;&gt;"",U870,IF(K870&gt;=Umbrales!$B$2,"Legendaria",IF(K870&gt;=Umbrales!$B$3,"Épica",IF(K870&gt;=Umbrales!$B$4,"Rara",IF(K870&gt;=Umbrales!$B$5,"Poco común","Común")))))</f>
        <v/>
      </c>
      <c r="M870" s="5" t="n">
        <v>4920.29184</v>
      </c>
      <c r="N870" s="5" t="n">
        <v>800.868992</v>
      </c>
      <c r="O870" s="5">
        <f>IF(M870="","",M870*J870)</f>
        <v/>
      </c>
      <c r="P870" s="5">
        <f>IF(N870="","",N870*J870)</f>
        <v/>
      </c>
      <c r="Q870" s="7" t="n">
        <v>0.016</v>
      </c>
      <c r="R870" s="8" t="n">
        <v>19.907621</v>
      </c>
      <c r="S870" s="4" t="inlineStr">
        <is>
          <t>SMI</t>
        </is>
      </c>
      <c r="T870" s="9" t="inlineStr">
        <is>
          <t>SI</t>
        </is>
      </c>
      <c r="U870" s="9" t="inlineStr"/>
      <c r="V870" s="10">
        <f>Umbrales!$B$9*(K870/1000)^Umbrales!$B$10</f>
        <v/>
      </c>
    </row>
    <row r="871">
      <c r="A871" s="4" t="inlineStr">
        <is>
          <t>TYL</t>
        </is>
      </c>
      <c r="B871" s="4" t="inlineStr">
        <is>
          <t>Tyler Technologies, Inc.</t>
        </is>
      </c>
      <c r="C871" s="4" t="inlineStr">
        <is>
          <t>United States</t>
        </is>
      </c>
      <c r="D871" s="4" t="inlineStr">
        <is>
          <t>US</t>
        </is>
      </c>
      <c r="E871" s="4" t="inlineStr">
        <is>
          <t>Tecnología</t>
        </is>
      </c>
      <c r="F871" s="4" t="inlineStr">
        <is>
          <t>Software - Application</t>
        </is>
      </c>
      <c r="G871" s="4" t="inlineStr">
        <is>
          <t>NYQ</t>
        </is>
      </c>
      <c r="H871" s="4" t="inlineStr">
        <is>
          <t>USD</t>
        </is>
      </c>
      <c r="I871" s="5" t="n">
        <v>14843.97056</v>
      </c>
      <c r="J871" s="6">
        <f>INDEX(FX!$B:$B,MATCH(H871,FX!$A:$A,0))</f>
        <v/>
      </c>
      <c r="K871" s="5">
        <f>I871*J871</f>
        <v/>
      </c>
      <c r="L871" s="4">
        <f>IF(U871&lt;&gt;"",U871,IF(K871&gt;=Umbrales!$B$2,"Legendaria",IF(K871&gt;=Umbrales!$B$3,"Épica",IF(K871&gt;=Umbrales!$B$4,"Rara",IF(K871&gt;=Umbrales!$B$5,"Poco común","Común")))))</f>
        <v/>
      </c>
      <c r="M871" s="5" t="n">
        <v>2429.657088</v>
      </c>
      <c r="N871" s="5" t="n">
        <v>324.616</v>
      </c>
      <c r="O871" s="5">
        <f>IF(M871="","",M871*J871)</f>
        <v/>
      </c>
      <c r="P871" s="5">
        <f>IF(N871="","",N871*J871)</f>
        <v/>
      </c>
      <c r="Q871" s="7" t="n">
        <v>0</v>
      </c>
      <c r="R871" s="8" t="n">
        <v>47.25815</v>
      </c>
      <c r="S871" s="4" t="inlineStr">
        <is>
          <t>SP500</t>
        </is>
      </c>
      <c r="T871" s="9" t="inlineStr">
        <is>
          <t>SI</t>
        </is>
      </c>
      <c r="U871" s="9" t="inlineStr"/>
      <c r="V871" s="10">
        <f>Umbrales!$B$9*(K871/1000)^Umbrales!$B$10</f>
        <v/>
      </c>
    </row>
    <row r="872">
      <c r="A872" s="4" t="inlineStr">
        <is>
          <t>EG</t>
        </is>
      </c>
      <c r="B872" s="4" t="inlineStr">
        <is>
          <t>Everest Group, Ltd.</t>
        </is>
      </c>
      <c r="C872" s="4" t="inlineStr">
        <is>
          <t>Bermuda</t>
        </is>
      </c>
      <c r="D872" s="4" t="inlineStr">
        <is>
          <t>BM</t>
        </is>
      </c>
      <c r="E872" s="4" t="inlineStr">
        <is>
          <t>Finanzas</t>
        </is>
      </c>
      <c r="F872" s="4" t="inlineStr">
        <is>
          <t>Insurance - Reinsurance</t>
        </is>
      </c>
      <c r="G872" s="4" t="inlineStr">
        <is>
          <t>NYQ</t>
        </is>
      </c>
      <c r="H872" s="4" t="inlineStr">
        <is>
          <t>USD</t>
        </is>
      </c>
      <c r="I872" s="5" t="n">
        <v>14721.885184</v>
      </c>
      <c r="J872" s="6">
        <f>INDEX(FX!$B:$B,MATCH(H872,FX!$A:$A,0))</f>
        <v/>
      </c>
      <c r="K872" s="5">
        <f>I872*J872</f>
        <v/>
      </c>
      <c r="L872" s="4">
        <f>IF(U872&lt;&gt;"",U872,IF(K872&gt;=Umbrales!$B$2,"Legendaria",IF(K872&gt;=Umbrales!$B$3,"Épica",IF(K872&gt;=Umbrales!$B$4,"Rara",IF(K872&gt;=Umbrales!$B$5,"Poco común","Común")))))</f>
        <v/>
      </c>
      <c r="M872" s="5" t="n">
        <v>16824.999936</v>
      </c>
      <c r="N872" s="5" t="n">
        <v>1890</v>
      </c>
      <c r="O872" s="5">
        <f>IF(M872="","",M872*J872)</f>
        <v/>
      </c>
      <c r="P872" s="5">
        <f>IF(N872="","",N872*J872)</f>
        <v/>
      </c>
      <c r="Q872" s="7" t="n">
        <v>0.0213</v>
      </c>
      <c r="R872" s="8" t="n">
        <v>8.105447</v>
      </c>
      <c r="S872" s="4" t="inlineStr">
        <is>
          <t>SP500</t>
        </is>
      </c>
      <c r="T872" s="9" t="inlineStr">
        <is>
          <t>SI</t>
        </is>
      </c>
      <c r="U872" s="9" t="inlineStr"/>
      <c r="V872" s="10">
        <f>Umbrales!$B$9*(K872/1000)^Umbrales!$B$10</f>
        <v/>
      </c>
    </row>
    <row r="873">
      <c r="A873" s="4" t="inlineStr">
        <is>
          <t>BSE.NS</t>
        </is>
      </c>
      <c r="B873" s="4" t="inlineStr">
        <is>
          <t>BSE Limited</t>
        </is>
      </c>
      <c r="C873" s="4" t="inlineStr">
        <is>
          <t>India</t>
        </is>
      </c>
      <c r="D873" s="4" t="inlineStr">
        <is>
          <t>IN</t>
        </is>
      </c>
      <c r="E873" s="4" t="inlineStr">
        <is>
          <t>Finanzas</t>
        </is>
      </c>
      <c r="F873" s="4" t="inlineStr">
        <is>
          <t>Financial Data &amp; Stock Exchanges</t>
        </is>
      </c>
      <c r="G873" s="4" t="inlineStr">
        <is>
          <t>NSI</t>
        </is>
      </c>
      <c r="H873" s="4" t="inlineStr">
        <is>
          <t>INR</t>
        </is>
      </c>
      <c r="I873" s="5" t="n">
        <v>1392210.477056</v>
      </c>
      <c r="J873" s="6">
        <f>INDEX(FX!$B:$B,MATCH(H873,FX!$A:$A,0))</f>
        <v/>
      </c>
      <c r="K873" s="5">
        <f>I873*J873</f>
        <v/>
      </c>
      <c r="L873" s="4">
        <f>IF(U873&lt;&gt;"",U873,IF(K873&gt;=Umbrales!$B$2,"Legendaria",IF(K873&gt;=Umbrales!$B$3,"Épica",IF(K873&gt;=Umbrales!$B$4,"Rara",IF(K873&gt;=Umbrales!$B$5,"Poco común","Común")))))</f>
        <v/>
      </c>
      <c r="M873" s="5" t="n">
        <v>57884.401664</v>
      </c>
      <c r="N873" s="5" t="n">
        <v>28315.899904</v>
      </c>
      <c r="O873" s="5">
        <f>IF(M873="","",M873*J873)</f>
        <v/>
      </c>
      <c r="P873" s="5">
        <f>IF(N873="","",N873*J873)</f>
        <v/>
      </c>
      <c r="Q873" s="7" t="n">
        <v>0.003</v>
      </c>
      <c r="R873" s="8" t="n">
        <v>49.869072</v>
      </c>
      <c r="S873" s="4" t="inlineStr">
        <is>
          <t>NIFTY50</t>
        </is>
      </c>
      <c r="T873" s="9" t="inlineStr">
        <is>
          <t>SI</t>
        </is>
      </c>
      <c r="U873" s="9" t="inlineStr"/>
      <c r="V873" s="10">
        <f>Umbrales!$B$9*(K873/1000)^Umbrales!$B$10</f>
        <v/>
      </c>
    </row>
    <row r="874">
      <c r="A874" s="4" t="inlineStr">
        <is>
          <t>GEN</t>
        </is>
      </c>
      <c r="B874" s="4" t="inlineStr">
        <is>
          <t>Gen Digital Inc.</t>
        </is>
      </c>
      <c r="C874" s="4" t="inlineStr">
        <is>
          <t>United States</t>
        </is>
      </c>
      <c r="D874" s="4" t="inlineStr">
        <is>
          <t>US</t>
        </is>
      </c>
      <c r="E874" s="4" t="inlineStr">
        <is>
          <t>Tecnología</t>
        </is>
      </c>
      <c r="F874" s="4" t="inlineStr">
        <is>
          <t>Software - Infrastructure</t>
        </is>
      </c>
      <c r="G874" s="4" t="inlineStr">
        <is>
          <t>NMS</t>
        </is>
      </c>
      <c r="H874" s="4" t="inlineStr">
        <is>
          <t>USD</t>
        </is>
      </c>
      <c r="I874" s="5" t="n">
        <v>14635.452416</v>
      </c>
      <c r="J874" s="6">
        <f>INDEX(FX!$B:$B,MATCH(H874,FX!$A:$A,0))</f>
        <v/>
      </c>
      <c r="K874" s="5">
        <f>I874*J874</f>
        <v/>
      </c>
      <c r="L874" s="4">
        <f>IF(U874&lt;&gt;"",U874,IF(K874&gt;=Umbrales!$B$2,"Legendaria",IF(K874&gt;=Umbrales!$B$3,"Épica",IF(K874&gt;=Umbrales!$B$4,"Rara",IF(K874&gt;=Umbrales!$B$5,"Poco común","Común")))))</f>
        <v/>
      </c>
      <c r="M874" s="5" t="n">
        <v>5079.000064</v>
      </c>
      <c r="N874" s="5" t="n">
        <v>1053</v>
      </c>
      <c r="O874" s="5">
        <f>IF(M874="","",M874*J874)</f>
        <v/>
      </c>
      <c r="P874" s="5">
        <f>IF(N874="","",N874*J874)</f>
        <v/>
      </c>
      <c r="Q874" s="7" t="n">
        <v>0.021</v>
      </c>
      <c r="R874" s="8" t="n">
        <v>14.298245</v>
      </c>
      <c r="S874" s="4" t="inlineStr">
        <is>
          <t>SP500</t>
        </is>
      </c>
      <c r="T874" s="9" t="inlineStr">
        <is>
          <t>SI</t>
        </is>
      </c>
      <c r="U874" s="9" t="inlineStr"/>
      <c r="V874" s="10">
        <f>Umbrales!$B$9*(K874/1000)^Umbrales!$B$10</f>
        <v/>
      </c>
    </row>
    <row r="875">
      <c r="A875" s="4" t="inlineStr">
        <is>
          <t>UU.L</t>
        </is>
      </c>
      <c r="B875" s="4" t="inlineStr">
        <is>
          <t>United Utilities Group PLC</t>
        </is>
      </c>
      <c r="C875" s="4" t="inlineStr">
        <is>
          <t>United Kingdom</t>
        </is>
      </c>
      <c r="D875" s="4" t="inlineStr">
        <is>
          <t>GB</t>
        </is>
      </c>
      <c r="E875" s="4" t="inlineStr">
        <is>
          <t>Servicios públicos</t>
        </is>
      </c>
      <c r="F875" s="4" t="inlineStr">
        <is>
          <t>Utilities - Regulated Water</t>
        </is>
      </c>
      <c r="G875" s="4" t="inlineStr">
        <is>
          <t>LSE</t>
        </is>
      </c>
      <c r="H875" s="4" t="inlineStr">
        <is>
          <t>GBP</t>
        </is>
      </c>
      <c r="I875" s="5" t="n">
        <v>11038.958592</v>
      </c>
      <c r="J875" s="6">
        <f>INDEX(FX!$B:$B,MATCH(H875,FX!$A:$A,0))</f>
        <v/>
      </c>
      <c r="K875" s="5">
        <f>I875*J875</f>
        <v/>
      </c>
      <c r="L875" s="4">
        <f>IF(U875&lt;&gt;"",U875,IF(K875&gt;=Umbrales!$B$2,"Legendaria",IF(K875&gt;=Umbrales!$B$3,"Épica",IF(K875&gt;=Umbrales!$B$4,"Rara",IF(K875&gt;=Umbrales!$B$5,"Poco común","Común")))))</f>
        <v/>
      </c>
      <c r="M875" s="5" t="n">
        <v>2616.300032</v>
      </c>
      <c r="N875" s="5" t="n">
        <v>586.8</v>
      </c>
      <c r="O875" s="5">
        <f>IF(M875="","",M875*J875)</f>
        <v/>
      </c>
      <c r="P875" s="5">
        <f>IF(N875="","",N875*J875)</f>
        <v/>
      </c>
      <c r="Q875" s="7" t="n">
        <v>0.0371</v>
      </c>
      <c r="R875" s="8" t="n">
        <v>17.27907</v>
      </c>
      <c r="S875" s="4" t="inlineStr">
        <is>
          <t>FTSE100</t>
        </is>
      </c>
      <c r="T875" s="9" t="inlineStr">
        <is>
          <t>SI</t>
        </is>
      </c>
      <c r="U875" s="9" t="inlineStr"/>
      <c r="V875" s="10">
        <f>Umbrales!$B$9*(K875/1000)^Umbrales!$B$10</f>
        <v/>
      </c>
    </row>
    <row r="876">
      <c r="A876" s="4" t="inlineStr">
        <is>
          <t>EVO.ST</t>
        </is>
      </c>
      <c r="B876" s="4" t="inlineStr">
        <is>
          <t>Evolution AB (publ)</t>
        </is>
      </c>
      <c r="C876" s="4" t="inlineStr">
        <is>
          <t>Sweden</t>
        </is>
      </c>
      <c r="D876" s="4" t="inlineStr">
        <is>
          <t>SE</t>
        </is>
      </c>
      <c r="E876" s="4" t="inlineStr">
        <is>
          <t>Consumo cíclico</t>
        </is>
      </c>
      <c r="F876" s="4" t="inlineStr">
        <is>
          <t>Gambling</t>
        </is>
      </c>
      <c r="G876" s="4" t="inlineStr">
        <is>
          <t>STO</t>
        </is>
      </c>
      <c r="H876" s="4" t="inlineStr">
        <is>
          <t>SEK</t>
        </is>
      </c>
      <c r="I876" s="5" t="n">
        <v>145213.964288</v>
      </c>
      <c r="J876" s="6">
        <f>INDEX(FX!$B:$B,MATCH(H876,FX!$A:$A,0))</f>
        <v/>
      </c>
      <c r="K876" s="5">
        <f>I876*J876</f>
        <v/>
      </c>
      <c r="L876" s="4">
        <f>IF(U876&lt;&gt;"",U876,IF(K876&gt;=Umbrales!$B$2,"Legendaria",IF(K876&gt;=Umbrales!$B$3,"Épica",IF(K876&gt;=Umbrales!$B$4,"Rara",IF(K876&gt;=Umbrales!$B$5,"Poco común","Común")))))</f>
        <v/>
      </c>
      <c r="M876" s="5" t="n">
        <v>2052.157056</v>
      </c>
      <c r="N876" s="5" t="n">
        <v>1062.478976</v>
      </c>
      <c r="O876" s="5">
        <f>IF(M876="","",M876*J876)</f>
        <v/>
      </c>
      <c r="P876" s="5">
        <f>IF(N876="","",N876*J876)</f>
        <v/>
      </c>
      <c r="Q876" s="7" t="n">
        <v>0</v>
      </c>
      <c r="R876" s="8" t="n">
        <v>13.816108</v>
      </c>
      <c r="S876" s="4" t="inlineStr">
        <is>
          <t>OMXS30</t>
        </is>
      </c>
      <c r="T876" s="9" t="inlineStr">
        <is>
          <t>SI</t>
        </is>
      </c>
      <c r="U876" s="9" t="inlineStr"/>
      <c r="V876" s="10">
        <f>Umbrales!$B$9*(K876/1000)^Umbrales!$B$10</f>
        <v/>
      </c>
    </row>
    <row r="877">
      <c r="A877" s="4" t="inlineStr">
        <is>
          <t>CRL</t>
        </is>
      </c>
      <c r="B877" s="4" t="inlineStr">
        <is>
          <t>Charles River Laboratories International, Inc.</t>
        </is>
      </c>
      <c r="C877" s="4" t="inlineStr">
        <is>
          <t>United States</t>
        </is>
      </c>
      <c r="D877" s="4" t="inlineStr">
        <is>
          <t>US</t>
        </is>
      </c>
      <c r="E877" s="4" t="inlineStr">
        <is>
          <t>Salud</t>
        </is>
      </c>
      <c r="F877" s="4" t="inlineStr">
        <is>
          <t>Diagnostics &amp; Research</t>
        </is>
      </c>
      <c r="G877" s="4" t="inlineStr">
        <is>
          <t>NYQ</t>
        </is>
      </c>
      <c r="H877" s="4" t="inlineStr">
        <is>
          <t>USD</t>
        </is>
      </c>
      <c r="I877" s="5" t="n">
        <v>14575.1552</v>
      </c>
      <c r="J877" s="6">
        <f>INDEX(FX!$B:$B,MATCH(H877,FX!$A:$A,0))</f>
        <v/>
      </c>
      <c r="K877" s="5">
        <f>I877*J877</f>
        <v/>
      </c>
      <c r="L877" s="4">
        <f>IF(U877&lt;&gt;"",U877,IF(K877&gt;=Umbrales!$B$2,"Legendaria",IF(K877&gt;=Umbrales!$B$3,"Épica",IF(K877&gt;=Umbrales!$B$4,"Rara",IF(K877&gt;=Umbrales!$B$5,"Poco común","Común")))))</f>
        <v/>
      </c>
      <c r="M877" s="5" t="n">
        <v>3998.987008</v>
      </c>
      <c r="N877" s="5" t="n">
        <v>-238.458</v>
      </c>
      <c r="O877" s="5">
        <f>IF(M877="","",M877*J877)</f>
        <v/>
      </c>
      <c r="P877" s="5">
        <f>IF(N877="","",N877*J877)</f>
        <v/>
      </c>
      <c r="Q877" s="7" t="n">
        <v>0</v>
      </c>
      <c r="R877" s="8" t="n"/>
      <c r="S877" s="4" t="inlineStr">
        <is>
          <t>SP500</t>
        </is>
      </c>
      <c r="T877" s="9" t="inlineStr">
        <is>
          <t>SI</t>
        </is>
      </c>
      <c r="U877" s="9" t="inlineStr"/>
      <c r="V877" s="10">
        <f>Umbrales!$B$9*(K877/1000)^Umbrales!$B$10</f>
        <v/>
      </c>
    </row>
    <row r="878">
      <c r="A878" s="4" t="inlineStr">
        <is>
          <t>EMA.TO</t>
        </is>
      </c>
      <c r="B878" s="4" t="inlineStr">
        <is>
          <t>Emera Incorporated</t>
        </is>
      </c>
      <c r="C878" s="4" t="inlineStr">
        <is>
          <t>Canada</t>
        </is>
      </c>
      <c r="D878" s="4" t="inlineStr">
        <is>
          <t>CA</t>
        </is>
      </c>
      <c r="E878" s="4" t="inlineStr">
        <is>
          <t>Servicios públicos</t>
        </is>
      </c>
      <c r="F878" s="4" t="inlineStr">
        <is>
          <t>Utilities - Regulated Electric</t>
        </is>
      </c>
      <c r="G878" s="4" t="inlineStr">
        <is>
          <t>TOR</t>
        </is>
      </c>
      <c r="H878" s="4" t="inlineStr">
        <is>
          <t>CAD</t>
        </is>
      </c>
      <c r="I878" s="5" t="n">
        <v>20575.97952</v>
      </c>
      <c r="J878" s="6">
        <f>INDEX(FX!$B:$B,MATCH(H878,FX!$A:$A,0))</f>
        <v/>
      </c>
      <c r="K878" s="5">
        <f>I878*J878</f>
        <v/>
      </c>
      <c r="L878" s="4">
        <f>IF(U878&lt;&gt;"",U878,IF(K878&gt;=Umbrales!$B$2,"Legendaria",IF(K878&gt;=Umbrales!$B$3,"Épica",IF(K878&gt;=Umbrales!$B$4,"Rara",IF(K878&gt;=Umbrales!$B$5,"Poco común","Común")))))</f>
        <v/>
      </c>
      <c r="M878" s="5" t="n">
        <v>8935.999487999999</v>
      </c>
      <c r="N878" s="5" t="n">
        <v>963</v>
      </c>
      <c r="O878" s="5">
        <f>IF(M878="","",M878*J878)</f>
        <v/>
      </c>
      <c r="P878" s="5">
        <f>IF(N878="","",N878*J878)</f>
        <v/>
      </c>
      <c r="Q878" s="7" t="n">
        <v>0.04559999999999999</v>
      </c>
      <c r="R878" s="8" t="n">
        <v>20.54908</v>
      </c>
      <c r="S878" s="4" t="inlineStr">
        <is>
          <t>TSX60</t>
        </is>
      </c>
      <c r="T878" s="9" t="inlineStr">
        <is>
          <t>SI</t>
        </is>
      </c>
      <c r="U878" s="9" t="inlineStr"/>
      <c r="V878" s="10">
        <f>Umbrales!$B$9*(K878/1000)^Umbrales!$B$10</f>
        <v/>
      </c>
    </row>
    <row r="879">
      <c r="A879" s="4" t="inlineStr">
        <is>
          <t>FBK.MI</t>
        </is>
      </c>
      <c r="B879" s="4" t="inlineStr">
        <is>
          <t>FinecoBank Banca Fineco S.p.A.</t>
        </is>
      </c>
      <c r="C879" s="4" t="inlineStr">
        <is>
          <t>Italy</t>
        </is>
      </c>
      <c r="D879" s="4" t="inlineStr">
        <is>
          <t>IT</t>
        </is>
      </c>
      <c r="E879" s="4" t="inlineStr">
        <is>
          <t>Finanzas</t>
        </is>
      </c>
      <c r="F879" s="4" t="inlineStr">
        <is>
          <t>Banks - Regional</t>
        </is>
      </c>
      <c r="G879" s="4" t="inlineStr">
        <is>
          <t>MIL</t>
        </is>
      </c>
      <c r="H879" s="4" t="inlineStr">
        <is>
          <t>EUR</t>
        </is>
      </c>
      <c r="I879" s="5" t="n">
        <v>12909.385728</v>
      </c>
      <c r="J879" s="6">
        <f>INDEX(FX!$B:$B,MATCH(H879,FX!$A:$A,0))</f>
        <v/>
      </c>
      <c r="K879" s="5">
        <f>I879*J879</f>
        <v/>
      </c>
      <c r="L879" s="4">
        <f>IF(U879&lt;&gt;"",U879,IF(K879&gt;=Umbrales!$B$2,"Legendaria",IF(K879&gt;=Umbrales!$B$3,"Épica",IF(K879&gt;=Umbrales!$B$4,"Rara",IF(K879&gt;=Umbrales!$B$5,"Poco común","Común")))))</f>
        <v/>
      </c>
      <c r="M879" s="5" t="n">
        <v>1379.964032</v>
      </c>
      <c r="N879" s="5" t="n">
        <v>669.571008</v>
      </c>
      <c r="O879" s="5">
        <f>IF(M879="","",M879*J879)</f>
        <v/>
      </c>
      <c r="P879" s="5">
        <f>IF(N879="","",N879*J879)</f>
        <v/>
      </c>
      <c r="Q879" s="7" t="n">
        <v>0.0373</v>
      </c>
      <c r="R879" s="8" t="n">
        <v>19.357798</v>
      </c>
      <c r="S879" s="4" t="inlineStr">
        <is>
          <t>FTSEMIB</t>
        </is>
      </c>
      <c r="T879" s="9" t="inlineStr">
        <is>
          <t>SI</t>
        </is>
      </c>
      <c r="U879" s="9" t="inlineStr"/>
      <c r="V879" s="10">
        <f>Umbrales!$B$9*(K879/1000)^Umbrales!$B$10</f>
        <v/>
      </c>
    </row>
    <row r="880">
      <c r="A880" s="4" t="inlineStr">
        <is>
          <t>URW.PA</t>
        </is>
      </c>
      <c r="B880" s="4" t="inlineStr">
        <is>
          <t>Unibail-Rodamco-Westfield SE</t>
        </is>
      </c>
      <c r="C880" s="4" t="inlineStr">
        <is>
          <t>France</t>
        </is>
      </c>
      <c r="D880" s="4" t="inlineStr">
        <is>
          <t>FR</t>
        </is>
      </c>
      <c r="E880" s="4" t="inlineStr">
        <is>
          <t>Inmobiliario</t>
        </is>
      </c>
      <c r="F880" s="4" t="inlineStr">
        <is>
          <t>REIT - Retail</t>
        </is>
      </c>
      <c r="G880" s="4" t="inlineStr">
        <is>
          <t>PAR</t>
        </is>
      </c>
      <c r="H880" s="4" t="inlineStr">
        <is>
          <t>EUR</t>
        </is>
      </c>
      <c r="I880" s="5" t="n">
        <v>12902.915072</v>
      </c>
      <c r="J880" s="6">
        <f>INDEX(FX!$B:$B,MATCH(H880,FX!$A:$A,0))</f>
        <v/>
      </c>
      <c r="K880" s="5">
        <f>I880*J880</f>
        <v/>
      </c>
      <c r="L880" s="4">
        <f>IF(U880&lt;&gt;"",U880,IF(K880&gt;=Umbrales!$B$2,"Legendaria",IF(K880&gt;=Umbrales!$B$3,"Épica",IF(K880&gt;=Umbrales!$B$4,"Rara",IF(K880&gt;=Umbrales!$B$5,"Poco común","Común")))))</f>
        <v/>
      </c>
      <c r="M880" s="5" t="n">
        <v>3540.100096</v>
      </c>
      <c r="N880" s="5" t="n">
        <v>1579.6</v>
      </c>
      <c r="O880" s="5">
        <f>IF(M880="","",M880*J880)</f>
        <v/>
      </c>
      <c r="P880" s="5">
        <f>IF(N880="","",N880*J880)</f>
        <v/>
      </c>
      <c r="Q880" s="7" t="n">
        <v>0.051</v>
      </c>
      <c r="R880" s="8" t="n">
        <v>8.266666000000001</v>
      </c>
      <c r="S880" s="4" t="inlineStr">
        <is>
          <t>CAC40</t>
        </is>
      </c>
      <c r="T880" s="9" t="inlineStr">
        <is>
          <t>SI</t>
        </is>
      </c>
      <c r="U880" s="9" t="inlineStr"/>
      <c r="V880" s="10">
        <f>Umbrales!$B$9*(K880/1000)^Umbrales!$B$10</f>
        <v/>
      </c>
    </row>
    <row r="881">
      <c r="A881" s="4" t="inlineStr">
        <is>
          <t>BESI.AS</t>
        </is>
      </c>
      <c r="B881" s="4" t="inlineStr">
        <is>
          <t>BE Semiconductor Industries N.V.</t>
        </is>
      </c>
      <c r="C881" s="4" t="inlineStr">
        <is>
          <t>Netherlands</t>
        </is>
      </c>
      <c r="D881" s="4" t="inlineStr">
        <is>
          <t>NL</t>
        </is>
      </c>
      <c r="E881" s="4" t="inlineStr">
        <is>
          <t>Tecnología</t>
        </is>
      </c>
      <c r="F881" s="4" t="inlineStr">
        <is>
          <t>Semiconductor Equipment &amp; Materials</t>
        </is>
      </c>
      <c r="G881" s="4" t="inlineStr">
        <is>
          <t>AMS</t>
        </is>
      </c>
      <c r="H881" s="4" t="inlineStr">
        <is>
          <t>EUR</t>
        </is>
      </c>
      <c r="I881" s="5" t="n">
        <v>12879.707136</v>
      </c>
      <c r="J881" s="6">
        <f>INDEX(FX!$B:$B,MATCH(H881,FX!$A:$A,0))</f>
        <v/>
      </c>
      <c r="K881" s="5">
        <f>I881*J881</f>
        <v/>
      </c>
      <c r="L881" s="4">
        <f>IF(U881&lt;&gt;"",U881,IF(K881&gt;=Umbrales!$B$2,"Legendaria",IF(K881&gt;=Umbrales!$B$3,"Épica",IF(K881&gt;=Umbrales!$B$4,"Rara",IF(K881&gt;=Umbrales!$B$5,"Poco común","Común")))))</f>
        <v/>
      </c>
      <c r="M881" s="5" t="n">
        <v>733.830016</v>
      </c>
      <c r="N881" s="5" t="n">
        <v>208.666</v>
      </c>
      <c r="O881" s="5">
        <f>IF(M881="","",M881*J881)</f>
        <v/>
      </c>
      <c r="P881" s="5">
        <f>IF(N881="","",N881*J881)</f>
        <v/>
      </c>
      <c r="Q881" s="7" t="n">
        <v>0.0092</v>
      </c>
      <c r="R881" s="8" t="n">
        <v>61.43396</v>
      </c>
      <c r="S881" s="4" t="inlineStr">
        <is>
          <t>AEX</t>
        </is>
      </c>
      <c r="T881" s="9" t="inlineStr">
        <is>
          <t>SI</t>
        </is>
      </c>
      <c r="U881" s="9" t="inlineStr"/>
      <c r="V881" s="10">
        <f>Umbrales!$B$9*(K881/1000)^Umbrales!$B$10</f>
        <v/>
      </c>
    </row>
    <row r="882">
      <c r="A882" s="4" t="inlineStr">
        <is>
          <t>SUN.AX</t>
        </is>
      </c>
      <c r="B882" s="4" t="inlineStr">
        <is>
          <t>Suncorp Group Limited</t>
        </is>
      </c>
      <c r="C882" s="4" t="inlineStr">
        <is>
          <t>Australia</t>
        </is>
      </c>
      <c r="D882" s="4" t="inlineStr">
        <is>
          <t>AU</t>
        </is>
      </c>
      <c r="E882" s="4" t="inlineStr">
        <is>
          <t>Finanzas</t>
        </is>
      </c>
      <c r="F882" s="4" t="inlineStr">
        <is>
          <t>Insurance - Property &amp; Casualty</t>
        </is>
      </c>
      <c r="G882" s="4" t="inlineStr">
        <is>
          <t>ASX</t>
        </is>
      </c>
      <c r="H882" s="4" t="inlineStr">
        <is>
          <t>AUD</t>
        </is>
      </c>
      <c r="I882" s="5" t="n">
        <v>20671.002624</v>
      </c>
      <c r="J882" s="6">
        <f>INDEX(FX!$B:$B,MATCH(H882,FX!$A:$A,0))</f>
        <v/>
      </c>
      <c r="K882" s="5">
        <f>I882*J882</f>
        <v/>
      </c>
      <c r="L882" s="4">
        <f>IF(U882&lt;&gt;"",U882,IF(K882&gt;=Umbrales!$B$2,"Legendaria",IF(K882&gt;=Umbrales!$B$3,"Épica",IF(K882&gt;=Umbrales!$B$4,"Rara",IF(K882&gt;=Umbrales!$B$5,"Poco común","Común")))))</f>
        <v/>
      </c>
      <c r="M882" s="5" t="n">
        <v>15036.99968</v>
      </c>
      <c r="N882" s="5" t="n">
        <v>1027</v>
      </c>
      <c r="O882" s="5">
        <f>IF(M882="","",M882*J882)</f>
        <v/>
      </c>
      <c r="P882" s="5">
        <f>IF(N882="","",N882*J882)</f>
        <v/>
      </c>
      <c r="Q882" s="7" t="n">
        <v>0.0361</v>
      </c>
      <c r="R882" s="8" t="n">
        <v>20.526316</v>
      </c>
      <c r="S882" s="4" t="inlineStr">
        <is>
          <t>ASX50</t>
        </is>
      </c>
      <c r="T882" s="9" t="inlineStr">
        <is>
          <t>SI</t>
        </is>
      </c>
      <c r="U882" s="9" t="inlineStr"/>
      <c r="V882" s="10">
        <f>Umbrales!$B$9*(K882/1000)^Umbrales!$B$10</f>
        <v/>
      </c>
    </row>
    <row r="883">
      <c r="A883" s="4" t="inlineStr">
        <is>
          <t>JHX.AX</t>
        </is>
      </c>
      <c r="B883" s="4" t="inlineStr">
        <is>
          <t>James Hardie Industries plc</t>
        </is>
      </c>
      <c r="C883" s="4" t="inlineStr">
        <is>
          <t>Ireland</t>
        </is>
      </c>
      <c r="D883" s="4" t="inlineStr">
        <is>
          <t>IE</t>
        </is>
      </c>
      <c r="E883" s="4" t="inlineStr">
        <is>
          <t>Materiales</t>
        </is>
      </c>
      <c r="F883" s="4" t="inlineStr">
        <is>
          <t>Building Materials</t>
        </is>
      </c>
      <c r="G883" s="4" t="inlineStr">
        <is>
          <t>ASX</t>
        </is>
      </c>
      <c r="H883" s="4" t="inlineStr">
        <is>
          <t>AUD</t>
        </is>
      </c>
      <c r="I883" s="5" t="n">
        <v>20596.938752</v>
      </c>
      <c r="J883" s="6">
        <f>INDEX(FX!$B:$B,MATCH(H883,FX!$A:$A,0))</f>
        <v/>
      </c>
      <c r="K883" s="5">
        <f>I883*J883</f>
        <v/>
      </c>
      <c r="L883" s="4">
        <f>IF(U883&lt;&gt;"",U883,IF(K883&gt;=Umbrales!$B$2,"Legendaria",IF(K883&gt;=Umbrales!$B$3,"Épica",IF(K883&gt;=Umbrales!$B$4,"Rara",IF(K883&gt;=Umbrales!$B$5,"Poco común","Común")))))</f>
        <v/>
      </c>
      <c r="M883" s="5" t="n">
        <v>5410.500096</v>
      </c>
      <c r="N883" s="5" t="n">
        <v>145.7</v>
      </c>
      <c r="O883" s="5">
        <f>IF(M883="","",M883*J883)</f>
        <v/>
      </c>
      <c r="P883" s="5">
        <f>IF(N883="","",N883*J883)</f>
        <v/>
      </c>
      <c r="Q883" s="7" t="n">
        <v>0</v>
      </c>
      <c r="R883" s="8" t="n">
        <v>95.89189</v>
      </c>
      <c r="S883" s="4" t="inlineStr">
        <is>
          <t>ASX50</t>
        </is>
      </c>
      <c r="T883" s="9" t="inlineStr">
        <is>
          <t>SI</t>
        </is>
      </c>
      <c r="U883" s="9" t="inlineStr"/>
      <c r="V883" s="10">
        <f>Umbrales!$B$9*(K883/1000)^Umbrales!$B$10</f>
        <v/>
      </c>
    </row>
    <row r="884">
      <c r="A884" s="4" t="inlineStr">
        <is>
          <t>ORG.AX</t>
        </is>
      </c>
      <c r="B884" s="4" t="inlineStr">
        <is>
          <t>Origin Energy Limited</t>
        </is>
      </c>
      <c r="C884" s="4" t="inlineStr">
        <is>
          <t>Australia</t>
        </is>
      </c>
      <c r="D884" s="4" t="inlineStr">
        <is>
          <t>AU</t>
        </is>
      </c>
      <c r="E884" s="4" t="inlineStr">
        <is>
          <t>Servicios públicos</t>
        </is>
      </c>
      <c r="F884" s="4" t="inlineStr">
        <is>
          <t>Utilities - Diversified</t>
        </is>
      </c>
      <c r="G884" s="4" t="inlineStr">
        <is>
          <t>ASX</t>
        </is>
      </c>
      <c r="H884" s="4" t="inlineStr">
        <is>
          <t>AUD</t>
        </is>
      </c>
      <c r="I884" s="5" t="n">
        <v>20517.924864</v>
      </c>
      <c r="J884" s="6">
        <f>INDEX(FX!$B:$B,MATCH(H884,FX!$A:$A,0))</f>
        <v/>
      </c>
      <c r="K884" s="5">
        <f>I884*J884</f>
        <v/>
      </c>
      <c r="L884" s="4">
        <f>IF(U884&lt;&gt;"",U884,IF(K884&gt;=Umbrales!$B$2,"Legendaria",IF(K884&gt;=Umbrales!$B$3,"Épica",IF(K884&gt;=Umbrales!$B$4,"Rara",IF(K884&gt;=Umbrales!$B$5,"Poco común","Común")))))</f>
        <v/>
      </c>
      <c r="M884" s="5" t="n">
        <v>15612.000256</v>
      </c>
      <c r="N884" s="5" t="n">
        <v>1574</v>
      </c>
      <c r="O884" s="5">
        <f>IF(M884="","",M884*J884)</f>
        <v/>
      </c>
      <c r="P884" s="5">
        <f>IF(N884="","",N884*J884)</f>
        <v/>
      </c>
      <c r="Q884" s="7" t="n">
        <v>0.0519</v>
      </c>
      <c r="R884" s="8" t="n">
        <v>12.670213</v>
      </c>
      <c r="S884" s="4" t="inlineStr">
        <is>
          <t>ASX50</t>
        </is>
      </c>
      <c r="T884" s="9" t="inlineStr">
        <is>
          <t>SI</t>
        </is>
      </c>
      <c r="U884" s="9" t="inlineStr"/>
      <c r="V884" s="10">
        <f>Umbrales!$B$9*(K884/1000)^Umbrales!$B$10</f>
        <v/>
      </c>
    </row>
    <row r="885">
      <c r="A885" s="4" t="inlineStr">
        <is>
          <t>REA.AX</t>
        </is>
      </c>
      <c r="B885" s="4" t="inlineStr">
        <is>
          <t>REA Group Limited</t>
        </is>
      </c>
      <c r="C885" s="4" t="inlineStr">
        <is>
          <t>Australia</t>
        </is>
      </c>
      <c r="D885" s="4" t="inlineStr">
        <is>
          <t>AU</t>
        </is>
      </c>
      <c r="E885" s="4" t="inlineStr">
        <is>
          <t>Comunicación</t>
        </is>
      </c>
      <c r="F885" s="4" t="inlineStr">
        <is>
          <t>Internet Content &amp; Information</t>
        </is>
      </c>
      <c r="G885" s="4" t="inlineStr">
        <is>
          <t>ASX</t>
        </is>
      </c>
      <c r="H885" s="4" t="inlineStr">
        <is>
          <t>AUD</t>
        </is>
      </c>
      <c r="I885" s="5" t="n">
        <v>20482.177024</v>
      </c>
      <c r="J885" s="6">
        <f>INDEX(FX!$B:$B,MATCH(H885,FX!$A:$A,0))</f>
        <v/>
      </c>
      <c r="K885" s="5">
        <f>I885*J885</f>
        <v/>
      </c>
      <c r="L885" s="4">
        <f>IF(U885&lt;&gt;"",U885,IF(K885&gt;=Umbrales!$B$2,"Legendaria",IF(K885&gt;=Umbrales!$B$3,"Épica",IF(K885&gt;=Umbrales!$B$4,"Rara",IF(K885&gt;=Umbrales!$B$5,"Poco común","Común")))))</f>
        <v/>
      </c>
      <c r="M885" s="5" t="n">
        <v>1976.899968</v>
      </c>
      <c r="N885" s="5" t="n">
        <v>673</v>
      </c>
      <c r="O885" s="5">
        <f>IF(M885="","",M885*J885)</f>
        <v/>
      </c>
      <c r="P885" s="5">
        <f>IF(N885="","",N885*J885)</f>
        <v/>
      </c>
      <c r="Q885" s="7" t="n">
        <v>0.0221</v>
      </c>
      <c r="R885" s="8" t="n">
        <v>30.630136</v>
      </c>
      <c r="S885" s="4" t="inlineStr">
        <is>
          <t>ASX50</t>
        </is>
      </c>
      <c r="T885" s="9" t="inlineStr">
        <is>
          <t>SI</t>
        </is>
      </c>
      <c r="U885" s="9" t="inlineStr"/>
      <c r="V885" s="10">
        <f>Umbrales!$B$9*(K885/1000)^Umbrales!$B$10</f>
        <v/>
      </c>
    </row>
    <row r="886">
      <c r="A886" s="4" t="inlineStr">
        <is>
          <t>MRU.TO</t>
        </is>
      </c>
      <c r="B886" s="4" t="inlineStr">
        <is>
          <t>Metro Inc.</t>
        </is>
      </c>
      <c r="C886" s="4" t="inlineStr">
        <is>
          <t>Canada</t>
        </is>
      </c>
      <c r="D886" s="4" t="inlineStr">
        <is>
          <t>CA</t>
        </is>
      </c>
      <c r="E886" s="4" t="inlineStr">
        <is>
          <t>Consumo básico</t>
        </is>
      </c>
      <c r="F886" s="4" t="inlineStr">
        <is>
          <t>Grocery Stores</t>
        </is>
      </c>
      <c r="G886" s="4" t="inlineStr">
        <is>
          <t>TOR</t>
        </is>
      </c>
      <c r="H886" s="4" t="inlineStr">
        <is>
          <t>CAD</t>
        </is>
      </c>
      <c r="I886" s="5" t="n">
        <v>20114.571264</v>
      </c>
      <c r="J886" s="6">
        <f>INDEX(FX!$B:$B,MATCH(H886,FX!$A:$A,0))</f>
        <v/>
      </c>
      <c r="K886" s="5">
        <f>I886*J886</f>
        <v/>
      </c>
      <c r="L886" s="4">
        <f>IF(U886&lt;&gt;"",U886,IF(K886&gt;=Umbrales!$B$2,"Legendaria",IF(K886&gt;=Umbrales!$B$3,"Épica",IF(K886&gt;=Umbrales!$B$4,"Rara",IF(K886&gt;=Umbrales!$B$5,"Poco común","Común")))))</f>
        <v/>
      </c>
      <c r="M886" s="5" t="n">
        <v>22477.899776</v>
      </c>
      <c r="N886" s="5" t="n">
        <v>899.1000320000001</v>
      </c>
      <c r="O886" s="5">
        <f>IF(M886="","",M886*J886)</f>
        <v/>
      </c>
      <c r="P886" s="5">
        <f>IF(N886="","",N886*J886)</f>
        <v/>
      </c>
      <c r="Q886" s="7" t="n">
        <v>0.0179</v>
      </c>
      <c r="R886" s="8" t="n">
        <v>22.650831</v>
      </c>
      <c r="S886" s="4" t="inlineStr">
        <is>
          <t>TSX60</t>
        </is>
      </c>
      <c r="T886" s="9" t="inlineStr">
        <is>
          <t>SI</t>
        </is>
      </c>
      <c r="U886" s="9" t="inlineStr"/>
      <c r="V886" s="10">
        <f>Umbrales!$B$9*(K886/1000)^Umbrales!$B$10</f>
        <v/>
      </c>
    </row>
    <row r="887">
      <c r="A887" s="4" t="inlineStr">
        <is>
          <t>MAS</t>
        </is>
      </c>
      <c r="B887" s="4" t="inlineStr">
        <is>
          <t>Masco Corporation</t>
        </is>
      </c>
      <c r="C887" s="4" t="inlineStr">
        <is>
          <t>United States</t>
        </is>
      </c>
      <c r="D887" s="4" t="inlineStr">
        <is>
          <t>US</t>
        </is>
      </c>
      <c r="E887" s="4" t="inlineStr">
        <is>
          <t>Industria</t>
        </is>
      </c>
      <c r="F887" s="4" t="inlineStr">
        <is>
          <t>Building Products &amp; Equipment</t>
        </is>
      </c>
      <c r="G887" s="4" t="inlineStr">
        <is>
          <t>NYQ</t>
        </is>
      </c>
      <c r="H887" s="4" t="inlineStr">
        <is>
          <t>USD</t>
        </is>
      </c>
      <c r="I887" s="5" t="n">
        <v>14156.085248</v>
      </c>
      <c r="J887" s="6">
        <f>INDEX(FX!$B:$B,MATCH(H887,FX!$A:$A,0))</f>
        <v/>
      </c>
      <c r="K887" s="5">
        <f>I887*J887</f>
        <v/>
      </c>
      <c r="L887" s="4">
        <f>IF(U887&lt;&gt;"",U887,IF(K887&gt;=Umbrales!$B$2,"Legendaria",IF(K887&gt;=Umbrales!$B$3,"Épica",IF(K887&gt;=Umbrales!$B$4,"Rara",IF(K887&gt;=Umbrales!$B$5,"Poco común","Común")))))</f>
        <v/>
      </c>
      <c r="M887" s="5" t="n">
        <v>7619.999744</v>
      </c>
      <c r="N887" s="5" t="n">
        <v>885</v>
      </c>
      <c r="O887" s="5">
        <f>IF(M887="","",M887*J887)</f>
        <v/>
      </c>
      <c r="P887" s="5">
        <f>IF(N887="","",N887*J887)</f>
        <v/>
      </c>
      <c r="Q887" s="7" t="n">
        <v>0.0184</v>
      </c>
      <c r="R887" s="8" t="n">
        <v>16.541473</v>
      </c>
      <c r="S887" s="4" t="inlineStr">
        <is>
          <t>SP500</t>
        </is>
      </c>
      <c r="T887" s="9" t="inlineStr">
        <is>
          <t>SI</t>
        </is>
      </c>
      <c r="U887" s="9" t="inlineStr"/>
      <c r="V887" s="10">
        <f>Umbrales!$B$9*(K887/1000)^Umbrales!$B$10</f>
        <v/>
      </c>
    </row>
    <row r="888">
      <c r="A888" s="4" t="inlineStr">
        <is>
          <t>TRMB</t>
        </is>
      </c>
      <c r="B888" s="4" t="inlineStr">
        <is>
          <t>Trimble Inc.</t>
        </is>
      </c>
      <c r="C888" s="4" t="inlineStr">
        <is>
          <t>United States</t>
        </is>
      </c>
      <c r="D888" s="4" t="inlineStr">
        <is>
          <t>US</t>
        </is>
      </c>
      <c r="E888" s="4" t="inlineStr">
        <is>
          <t>Tecnología</t>
        </is>
      </c>
      <c r="F888" s="4" t="inlineStr">
        <is>
          <t>Scientific &amp; Technical Instruments</t>
        </is>
      </c>
      <c r="G888" s="4" t="inlineStr">
        <is>
          <t>NMS</t>
        </is>
      </c>
      <c r="H888" s="4" t="inlineStr">
        <is>
          <t>USD</t>
        </is>
      </c>
      <c r="I888" s="5" t="n">
        <v>14149.352448</v>
      </c>
      <c r="J888" s="6">
        <f>INDEX(FX!$B:$B,MATCH(H888,FX!$A:$A,0))</f>
        <v/>
      </c>
      <c r="K888" s="5">
        <f>I888*J888</f>
        <v/>
      </c>
      <c r="L888" s="4">
        <f>IF(U888&lt;&gt;"",U888,IF(K888&gt;=Umbrales!$B$2,"Legendaria",IF(K888&gt;=Umbrales!$B$3,"Épica",IF(K888&gt;=Umbrales!$B$4,"Rara",IF(K888&gt;=Umbrales!$B$5,"Poco común","Común")))))</f>
        <v/>
      </c>
      <c r="M888" s="5" t="n">
        <v>3782.899968</v>
      </c>
      <c r="N888" s="5" t="n">
        <v>-104.7</v>
      </c>
      <c r="O888" s="5">
        <f>IF(M888="","",M888*J888)</f>
        <v/>
      </c>
      <c r="P888" s="5">
        <f>IF(N888="","",N888*J888)</f>
        <v/>
      </c>
      <c r="Q888" s="7" t="n">
        <v>0</v>
      </c>
      <c r="R888" s="8" t="n"/>
      <c r="S888" s="4" t="inlineStr">
        <is>
          <t>SP500</t>
        </is>
      </c>
      <c r="T888" s="9" t="inlineStr">
        <is>
          <t>SI</t>
        </is>
      </c>
      <c r="U888" s="9" t="inlineStr"/>
      <c r="V888" s="10">
        <f>Umbrales!$B$9*(K888/1000)^Umbrales!$B$10</f>
        <v/>
      </c>
    </row>
    <row r="889">
      <c r="A889" s="4" t="inlineStr">
        <is>
          <t>HAS</t>
        </is>
      </c>
      <c r="B889" s="4" t="inlineStr">
        <is>
          <t>Hasbro, Inc.</t>
        </is>
      </c>
      <c r="C889" s="4" t="inlineStr">
        <is>
          <t>United States</t>
        </is>
      </c>
      <c r="D889" s="4" t="inlineStr">
        <is>
          <t>US</t>
        </is>
      </c>
      <c r="E889" s="4" t="inlineStr">
        <is>
          <t>Consumo cíclico</t>
        </is>
      </c>
      <c r="F889" s="4" t="inlineStr">
        <is>
          <t>Leisure</t>
        </is>
      </c>
      <c r="G889" s="4" t="inlineStr">
        <is>
          <t>NMS</t>
        </is>
      </c>
      <c r="H889" s="4" t="inlineStr">
        <is>
          <t>USD</t>
        </is>
      </c>
      <c r="I889" s="5" t="n">
        <v>14074.12224</v>
      </c>
      <c r="J889" s="6">
        <f>INDEX(FX!$B:$B,MATCH(H889,FX!$A:$A,0))</f>
        <v/>
      </c>
      <c r="K889" s="5">
        <f>I889*J889</f>
        <v/>
      </c>
      <c r="L889" s="4">
        <f>IF(U889&lt;&gt;"",U889,IF(K889&gt;=Umbrales!$B$2,"Legendaria",IF(K889&gt;=Umbrales!$B$3,"Épica",IF(K889&gt;=Umbrales!$B$4,"Rara",IF(K889&gt;=Umbrales!$B$5,"Poco común","Común")))))</f>
        <v/>
      </c>
      <c r="M889" s="5" t="n">
        <v>4973.199872</v>
      </c>
      <c r="N889" s="5" t="n">
        <v>794.099968</v>
      </c>
      <c r="O889" s="5">
        <f>IF(M889="","",M889*J889)</f>
        <v/>
      </c>
      <c r="P889" s="5">
        <f>IF(N889="","",N889*J889)</f>
        <v/>
      </c>
      <c r="Q889" s="7" t="n">
        <v>0.0292</v>
      </c>
      <c r="R889" s="8" t="n">
        <v>17.850626</v>
      </c>
      <c r="S889" s="4" t="inlineStr">
        <is>
          <t>SP500</t>
        </is>
      </c>
      <c r="T889" s="9" t="inlineStr">
        <is>
          <t>SI</t>
        </is>
      </c>
      <c r="U889" s="9" t="inlineStr"/>
      <c r="V889" s="10">
        <f>Umbrales!$B$9*(K889/1000)^Umbrales!$B$10</f>
        <v/>
      </c>
    </row>
    <row r="890">
      <c r="A890" s="4" t="inlineStr">
        <is>
          <t>WY</t>
        </is>
      </c>
      <c r="B890" s="4" t="inlineStr">
        <is>
          <t>Weyerhaeuser Company</t>
        </is>
      </c>
      <c r="C890" s="4" t="inlineStr">
        <is>
          <t>United States</t>
        </is>
      </c>
      <c r="D890" s="4" t="inlineStr">
        <is>
          <t>US</t>
        </is>
      </c>
      <c r="E890" s="4" t="inlineStr">
        <is>
          <t>Inmobiliario</t>
        </is>
      </c>
      <c r="F890" s="4" t="inlineStr">
        <is>
          <t>REIT - Specialty</t>
        </is>
      </c>
      <c r="G890" s="4" t="inlineStr">
        <is>
          <t>NYQ</t>
        </is>
      </c>
      <c r="H890" s="4" t="inlineStr">
        <is>
          <t>USD</t>
        </is>
      </c>
      <c r="I890" s="5" t="n">
        <v>14029.126656</v>
      </c>
      <c r="J890" s="6">
        <f>INDEX(FX!$B:$B,MATCH(H890,FX!$A:$A,0))</f>
        <v/>
      </c>
      <c r="K890" s="5">
        <f>I890*J890</f>
        <v/>
      </c>
      <c r="L890" s="4">
        <f>IF(U890&lt;&gt;"",U890,IF(K890&gt;=Umbrales!$B$2,"Legendaria",IF(K890&gt;=Umbrales!$B$3,"Épica",IF(K890&gt;=Umbrales!$B$4,"Rara",IF(K890&gt;=Umbrales!$B$5,"Poco común","Común")))))</f>
        <v/>
      </c>
      <c r="M890" s="5" t="n">
        <v>6851.999744</v>
      </c>
      <c r="N890" s="5" t="n">
        <v>472</v>
      </c>
      <c r="O890" s="5">
        <f>IF(M890="","",M890*J890)</f>
        <v/>
      </c>
      <c r="P890" s="5">
        <f>IF(N890="","",N890*J890)</f>
        <v/>
      </c>
      <c r="Q890" s="7" t="n">
        <v>0.0443</v>
      </c>
      <c r="R890" s="8" t="n">
        <v>29.492424</v>
      </c>
      <c r="S890" s="4" t="inlineStr">
        <is>
          <t>SP500</t>
        </is>
      </c>
      <c r="T890" s="9" t="inlineStr">
        <is>
          <t>SI</t>
        </is>
      </c>
      <c r="U890" s="9" t="inlineStr"/>
      <c r="V890" s="10">
        <f>Umbrales!$B$9*(K890/1000)^Umbrales!$B$10</f>
        <v/>
      </c>
    </row>
    <row r="891">
      <c r="A891" s="4" t="inlineStr">
        <is>
          <t>SWK</t>
        </is>
      </c>
      <c r="B891" s="4" t="inlineStr">
        <is>
          <t>Stanley Black &amp; Decker, Inc.</t>
        </is>
      </c>
      <c r="C891" s="4" t="inlineStr">
        <is>
          <t>United States</t>
        </is>
      </c>
      <c r="D891" s="4" t="inlineStr">
        <is>
          <t>US</t>
        </is>
      </c>
      <c r="E891" s="4" t="inlineStr">
        <is>
          <t>Industria</t>
        </is>
      </c>
      <c r="F891" s="4" t="inlineStr">
        <is>
          <t>Tools &amp; Accessories</t>
        </is>
      </c>
      <c r="G891" s="4" t="inlineStr">
        <is>
          <t>NYQ</t>
        </is>
      </c>
      <c r="H891" s="4" t="inlineStr">
        <is>
          <t>USD</t>
        </is>
      </c>
      <c r="I891" s="5" t="n">
        <v>13955.176448</v>
      </c>
      <c r="J891" s="6">
        <f>INDEX(FX!$B:$B,MATCH(H891,FX!$A:$A,0))</f>
        <v/>
      </c>
      <c r="K891" s="5">
        <f>I891*J891</f>
        <v/>
      </c>
      <c r="L891" s="4">
        <f>IF(U891&lt;&gt;"",U891,IF(K891&gt;=Umbrales!$B$2,"Legendaria",IF(K891&gt;=Umbrales!$B$3,"Épica",IF(K891&gt;=Umbrales!$B$4,"Rara",IF(K891&gt;=Umbrales!$B$5,"Poco común","Común")))))</f>
        <v/>
      </c>
      <c r="M891" s="5" t="n">
        <v>15247.699968</v>
      </c>
      <c r="N891" s="5" t="n">
        <v>620.499968</v>
      </c>
      <c r="O891" s="5">
        <f>IF(M891="","",M891*J891)</f>
        <v/>
      </c>
      <c r="P891" s="5">
        <f>IF(N891="","",N891*J891)</f>
        <v/>
      </c>
      <c r="Q891" s="7" t="n">
        <v>0.03700000000000001</v>
      </c>
      <c r="R891" s="8" t="n">
        <v>22.704718</v>
      </c>
      <c r="S891" s="4" t="inlineStr">
        <is>
          <t>SP500</t>
        </is>
      </c>
      <c r="T891" s="9" t="inlineStr">
        <is>
          <t>SI</t>
        </is>
      </c>
      <c r="U891" s="9" t="inlineStr"/>
      <c r="V891" s="10">
        <f>Umbrales!$B$9*(K891/1000)^Umbrales!$B$10</f>
        <v/>
      </c>
    </row>
    <row r="892">
      <c r="A892" s="4" t="inlineStr">
        <is>
          <t>AIZ</t>
        </is>
      </c>
      <c r="B892" s="4" t="inlineStr">
        <is>
          <t>Assurant, Inc.</t>
        </is>
      </c>
      <c r="C892" s="4" t="inlineStr">
        <is>
          <t>United States</t>
        </is>
      </c>
      <c r="D892" s="4" t="inlineStr">
        <is>
          <t>US</t>
        </is>
      </c>
      <c r="E892" s="4" t="inlineStr">
        <is>
          <t>Finanzas</t>
        </is>
      </c>
      <c r="F892" s="4" t="inlineStr">
        <is>
          <t>Insurance - Property &amp; Casualty</t>
        </is>
      </c>
      <c r="G892" s="4" t="inlineStr">
        <is>
          <t>NYQ</t>
        </is>
      </c>
      <c r="H892" s="4" t="inlineStr">
        <is>
          <t>USD</t>
        </is>
      </c>
      <c r="I892" s="5" t="n">
        <v>13947.528192</v>
      </c>
      <c r="J892" s="6">
        <f>INDEX(FX!$B:$B,MATCH(H892,FX!$A:$A,0))</f>
        <v/>
      </c>
      <c r="K892" s="5">
        <f>I892*J892</f>
        <v/>
      </c>
      <c r="L892" s="4">
        <f>IF(U892&lt;&gt;"",U892,IF(K892&gt;=Umbrales!$B$2,"Legendaria",IF(K892&gt;=Umbrales!$B$3,"Épica",IF(K892&gt;=Umbrales!$B$4,"Rara",IF(K892&gt;=Umbrales!$B$5,"Poco común","Común")))))</f>
        <v/>
      </c>
      <c r="M892" s="5" t="n">
        <v>13456.19968</v>
      </c>
      <c r="N892" s="5" t="n">
        <v>1054.700032</v>
      </c>
      <c r="O892" s="5">
        <f>IF(M892="","",M892*J892)</f>
        <v/>
      </c>
      <c r="P892" s="5">
        <f>IF(N892="","",N892*J892)</f>
        <v/>
      </c>
      <c r="Q892" s="7" t="n">
        <v>0.013</v>
      </c>
      <c r="R892" s="8" t="n">
        <v>13.275822</v>
      </c>
      <c r="S892" s="4" t="inlineStr">
        <is>
          <t>SP500</t>
        </is>
      </c>
      <c r="T892" s="9" t="inlineStr">
        <is>
          <t>SI</t>
        </is>
      </c>
      <c r="U892" s="9" t="inlineStr"/>
      <c r="V892" s="10">
        <f>Umbrales!$B$9*(K892/1000)^Umbrales!$B$10</f>
        <v/>
      </c>
    </row>
    <row r="893">
      <c r="A893" s="4" t="inlineStr">
        <is>
          <t>1929.HK</t>
        </is>
      </c>
      <c r="B893" s="4" t="inlineStr">
        <is>
          <t>Chow Tai Fook Jewellery Group Limited</t>
        </is>
      </c>
      <c r="C893" s="4" t="inlineStr">
        <is>
          <t>Hong Kong</t>
        </is>
      </c>
      <c r="D893" s="4" t="inlineStr">
        <is>
          <t>HK</t>
        </is>
      </c>
      <c r="E893" s="4" t="inlineStr">
        <is>
          <t>Consumo cíclico</t>
        </is>
      </c>
      <c r="F893" s="4" t="inlineStr">
        <is>
          <t>Luxury Goods</t>
        </is>
      </c>
      <c r="G893" s="4" t="inlineStr">
        <is>
          <t>HKG</t>
        </is>
      </c>
      <c r="H893" s="4" t="inlineStr">
        <is>
          <t>HKD</t>
        </is>
      </c>
      <c r="I893" s="5" t="n">
        <v>108924.297216</v>
      </c>
      <c r="J893" s="6">
        <f>INDEX(FX!$B:$B,MATCH(H893,FX!$A:$A,0))</f>
        <v/>
      </c>
      <c r="K893" s="5">
        <f>I893*J893</f>
        <v/>
      </c>
      <c r="L893" s="4">
        <f>IF(U893&lt;&gt;"",U893,IF(K893&gt;=Umbrales!$B$2,"Legendaria",IF(K893&gt;=Umbrales!$B$3,"Épica",IF(K893&gt;=Umbrales!$B$4,"Rara",IF(K893&gt;=Umbrales!$B$5,"Poco común","Común")))))</f>
        <v/>
      </c>
      <c r="M893" s="5" t="n">
        <v>94398.398464</v>
      </c>
      <c r="N893" s="5" t="n">
        <v>9004.300288</v>
      </c>
      <c r="O893" s="5">
        <f>IF(M893="","",M893*J893)</f>
        <v/>
      </c>
      <c r="P893" s="5">
        <f>IF(N893="","",N893*J893)</f>
        <v/>
      </c>
      <c r="Q893" s="7" t="n">
        <v>0.0623</v>
      </c>
      <c r="R893" s="8" t="n">
        <v>12.266667</v>
      </c>
      <c r="S893" s="4" t="inlineStr">
        <is>
          <t>HANGSENG</t>
        </is>
      </c>
      <c r="T893" s="9" t="inlineStr">
        <is>
          <t>SI</t>
        </is>
      </c>
      <c r="U893" s="9" t="inlineStr"/>
      <c r="V893" s="10">
        <f>Umbrales!$B$9*(K893/1000)^Umbrales!$B$10</f>
        <v/>
      </c>
    </row>
    <row r="894">
      <c r="A894" s="4" t="inlineStr">
        <is>
          <t>S32.AX</t>
        </is>
      </c>
      <c r="B894" s="4" t="inlineStr">
        <is>
          <t>South32 Limited</t>
        </is>
      </c>
      <c r="C894" s="4" t="inlineStr">
        <is>
          <t>Australia</t>
        </is>
      </c>
      <c r="D894" s="4" t="inlineStr">
        <is>
          <t>AU</t>
        </is>
      </c>
      <c r="E894" s="4" t="inlineStr">
        <is>
          <t>Materiales</t>
        </is>
      </c>
      <c r="F894" s="4" t="inlineStr">
        <is>
          <t>Other Industrial Metals &amp; Mining</t>
        </is>
      </c>
      <c r="G894" s="4" t="inlineStr">
        <is>
          <t>ASX</t>
        </is>
      </c>
      <c r="H894" s="4" t="inlineStr">
        <is>
          <t>AUD</t>
        </is>
      </c>
      <c r="I894" s="5" t="n">
        <v>20017.784832</v>
      </c>
      <c r="J894" s="6">
        <f>INDEX(FX!$B:$B,MATCH(H894,FX!$A:$A,0))</f>
        <v/>
      </c>
      <c r="K894" s="5">
        <f>I894*J894</f>
        <v/>
      </c>
      <c r="L894" s="4">
        <f>IF(U894&lt;&gt;"",U894,IF(K894&gt;=Umbrales!$B$2,"Legendaria",IF(K894&gt;=Umbrales!$B$3,"Épica",IF(K894&gt;=Umbrales!$B$4,"Rara",IF(K894&gt;=Umbrales!$B$5,"Poco común","Común")))))</f>
        <v/>
      </c>
      <c r="M894" s="5" t="n">
        <v>5939.999744</v>
      </c>
      <c r="N894" s="5" t="n">
        <v>1061</v>
      </c>
      <c r="O894" s="5">
        <f>IF(M894="","",M894*J894)</f>
        <v/>
      </c>
      <c r="P894" s="5">
        <f>IF(N894="","",N894*J894)</f>
        <v/>
      </c>
      <c r="Q894" s="7" t="n">
        <v>0.0276</v>
      </c>
      <c r="R894" s="8" t="n">
        <v>13.545453</v>
      </c>
      <c r="S894" s="4" t="inlineStr">
        <is>
          <t>ASX50</t>
        </is>
      </c>
      <c r="T894" s="9" t="inlineStr">
        <is>
          <t>SI</t>
        </is>
      </c>
      <c r="U894" s="9" t="inlineStr"/>
      <c r="V894" s="10">
        <f>Umbrales!$B$9*(K894/1000)^Umbrales!$B$10</f>
        <v/>
      </c>
    </row>
    <row r="895">
      <c r="A895" s="4" t="inlineStr">
        <is>
          <t>BVI.PA</t>
        </is>
      </c>
      <c r="B895" s="4" t="inlineStr">
        <is>
          <t>Bureau Veritas SA</t>
        </is>
      </c>
      <c r="C895" s="4" t="inlineStr">
        <is>
          <t>France</t>
        </is>
      </c>
      <c r="D895" s="4" t="inlineStr">
        <is>
          <t>FR</t>
        </is>
      </c>
      <c r="E895" s="4" t="inlineStr">
        <is>
          <t>Industria</t>
        </is>
      </c>
      <c r="F895" s="4" t="inlineStr">
        <is>
          <t>Consulting Services</t>
        </is>
      </c>
      <c r="G895" s="4" t="inlineStr">
        <is>
          <t>PAR</t>
        </is>
      </c>
      <c r="H895" s="4" t="inlineStr">
        <is>
          <t>EUR</t>
        </is>
      </c>
      <c r="I895" s="5" t="n">
        <v>12346.559488</v>
      </c>
      <c r="J895" s="6">
        <f>INDEX(FX!$B:$B,MATCH(H895,FX!$A:$A,0))</f>
        <v/>
      </c>
      <c r="K895" s="5">
        <f>I895*J895</f>
        <v/>
      </c>
      <c r="L895" s="4">
        <f>IF(U895&lt;&gt;"",U895,IF(K895&gt;=Umbrales!$B$2,"Legendaria",IF(K895&gt;=Umbrales!$B$3,"Épica",IF(K895&gt;=Umbrales!$B$4,"Rara",IF(K895&gt;=Umbrales!$B$5,"Poco común","Común")))))</f>
        <v/>
      </c>
      <c r="M895" s="5" t="n">
        <v>6748.100096</v>
      </c>
      <c r="N895" s="5" t="n">
        <v>503.6</v>
      </c>
      <c r="O895" s="5">
        <f>IF(M895="","",M895*J895)</f>
        <v/>
      </c>
      <c r="P895" s="5">
        <f>IF(N895="","",N895*J895)</f>
        <v/>
      </c>
      <c r="Q895" s="7" t="n">
        <v>0.0336</v>
      </c>
      <c r="R895" s="8" t="n">
        <v>24.45614</v>
      </c>
      <c r="S895" s="4" t="inlineStr">
        <is>
          <t>CAC40</t>
        </is>
      </c>
      <c r="T895" s="9" t="inlineStr">
        <is>
          <t>SI</t>
        </is>
      </c>
      <c r="U895" s="9" t="inlineStr"/>
      <c r="V895" s="10">
        <f>Umbrales!$B$9*(K895/1000)^Umbrales!$B$10</f>
        <v/>
      </c>
    </row>
    <row r="896">
      <c r="A896" s="4" t="inlineStr">
        <is>
          <t>MAA</t>
        </is>
      </c>
      <c r="B896" s="4" t="inlineStr">
        <is>
          <t>Mid-America Apartment Communities, Inc.</t>
        </is>
      </c>
      <c r="C896" s="4" t="inlineStr">
        <is>
          <t>United States</t>
        </is>
      </c>
      <c r="D896" s="4" t="inlineStr">
        <is>
          <t>US</t>
        </is>
      </c>
      <c r="E896" s="4" t="inlineStr">
        <is>
          <t>Inmobiliario</t>
        </is>
      </c>
      <c r="F896" s="4" t="inlineStr">
        <is>
          <t>REIT - Residential</t>
        </is>
      </c>
      <c r="G896" s="4" t="inlineStr">
        <is>
          <t>NYQ</t>
        </is>
      </c>
      <c r="H896" s="4" t="inlineStr">
        <is>
          <t>USD</t>
        </is>
      </c>
      <c r="I896" s="5" t="n">
        <v>13840.100352</v>
      </c>
      <c r="J896" s="6">
        <f>INDEX(FX!$B:$B,MATCH(H896,FX!$A:$A,0))</f>
        <v/>
      </c>
      <c r="K896" s="5">
        <f>I896*J896</f>
        <v/>
      </c>
      <c r="L896" s="4">
        <f>IF(U896&lt;&gt;"",U896,IF(K896&gt;=Umbrales!$B$2,"Legendaria",IF(K896&gt;=Umbrales!$B$3,"Épica",IF(K896&gt;=Umbrales!$B$4,"Rara",IF(K896&gt;=Umbrales!$B$5,"Poco común","Común")))))</f>
        <v/>
      </c>
      <c r="M896" s="5" t="n">
        <v>2218.780928</v>
      </c>
      <c r="N896" s="5" t="n">
        <v>399.288992</v>
      </c>
      <c r="O896" s="5">
        <f>IF(M896="","",M896*J896)</f>
        <v/>
      </c>
      <c r="P896" s="5">
        <f>IF(N896="","",N896*J896)</f>
        <v/>
      </c>
      <c r="Q896" s="7" t="n">
        <v>0.0526</v>
      </c>
      <c r="R896" s="8" t="n">
        <v>34.113235</v>
      </c>
      <c r="S896" s="4" t="inlineStr">
        <is>
          <t>SP500</t>
        </is>
      </c>
      <c r="T896" s="9" t="inlineStr">
        <is>
          <t>SI</t>
        </is>
      </c>
      <c r="U896" s="9" t="inlineStr"/>
      <c r="V896" s="10">
        <f>Umbrales!$B$9*(K896/1000)^Umbrales!$B$10</f>
        <v/>
      </c>
    </row>
    <row r="897">
      <c r="A897" s="4" t="inlineStr">
        <is>
          <t>DPLM.L</t>
        </is>
      </c>
      <c r="B897" s="4" t="inlineStr">
        <is>
          <t>Diploma PLC</t>
        </is>
      </c>
      <c r="C897" s="4" t="inlineStr">
        <is>
          <t>United Kingdom</t>
        </is>
      </c>
      <c r="D897" s="4" t="inlineStr">
        <is>
          <t>GB</t>
        </is>
      </c>
      <c r="E897" s="4" t="inlineStr">
        <is>
          <t>Industria</t>
        </is>
      </c>
      <c r="F897" s="4" t="inlineStr">
        <is>
          <t>Industrial Distribution</t>
        </is>
      </c>
      <c r="G897" s="4" t="inlineStr">
        <is>
          <t>LSE</t>
        </is>
      </c>
      <c r="H897" s="4" t="inlineStr">
        <is>
          <t>GBP</t>
        </is>
      </c>
      <c r="I897" s="5" t="n">
        <v>10385.645568</v>
      </c>
      <c r="J897" s="6">
        <f>INDEX(FX!$B:$B,MATCH(H897,FX!$A:$A,0))</f>
        <v/>
      </c>
      <c r="K897" s="5">
        <f>I897*J897</f>
        <v/>
      </c>
      <c r="L897" s="4">
        <f>IF(U897&lt;&gt;"",U897,IF(K897&gt;=Umbrales!$B$2,"Legendaria",IF(K897&gt;=Umbrales!$B$3,"Épica",IF(K897&gt;=Umbrales!$B$4,"Rara",IF(K897&gt;=Umbrales!$B$5,"Poco común","Común")))))</f>
        <v/>
      </c>
      <c r="M897" s="5" t="n">
        <v>1647.100032</v>
      </c>
      <c r="N897" s="5" t="n">
        <v>189.4</v>
      </c>
      <c r="O897" s="5">
        <f>IF(M897="","",M897*J897)</f>
        <v/>
      </c>
      <c r="P897" s="5">
        <f>IF(N897="","",N897*J897)</f>
        <v/>
      </c>
      <c r="Q897" s="7" t="n">
        <v>0.008</v>
      </c>
      <c r="R897" s="8" t="n">
        <v>54.929077</v>
      </c>
      <c r="S897" s="4" t="inlineStr">
        <is>
          <t>FTSE100</t>
        </is>
      </c>
      <c r="T897" s="9" t="inlineStr">
        <is>
          <t>SI</t>
        </is>
      </c>
      <c r="U897" s="9" t="inlineStr"/>
      <c r="V897" s="10">
        <f>Umbrales!$B$9*(K897/1000)^Umbrales!$B$10</f>
        <v/>
      </c>
    </row>
    <row r="898">
      <c r="A898" s="4" t="inlineStr">
        <is>
          <t>IAG.AX</t>
        </is>
      </c>
      <c r="B898" s="4" t="inlineStr">
        <is>
          <t>Insurance Australia Group Limited</t>
        </is>
      </c>
      <c r="C898" s="4" t="inlineStr">
        <is>
          <t>Australia</t>
        </is>
      </c>
      <c r="D898" s="4" t="inlineStr">
        <is>
          <t>AU</t>
        </is>
      </c>
      <c r="E898" s="4" t="inlineStr">
        <is>
          <t>Finanzas</t>
        </is>
      </c>
      <c r="F898" s="4" t="inlineStr">
        <is>
          <t>Insurance - Property &amp; Casualty</t>
        </is>
      </c>
      <c r="G898" s="4" t="inlineStr">
        <is>
          <t>ASX</t>
        </is>
      </c>
      <c r="H898" s="4" t="inlineStr">
        <is>
          <t>AUD</t>
        </is>
      </c>
      <c r="I898" s="5" t="n">
        <v>19836.493824</v>
      </c>
      <c r="J898" s="6">
        <f>INDEX(FX!$B:$B,MATCH(H898,FX!$A:$A,0))</f>
        <v/>
      </c>
      <c r="K898" s="5">
        <f>I898*J898</f>
        <v/>
      </c>
      <c r="L898" s="4">
        <f>IF(U898&lt;&gt;"",U898,IF(K898&gt;=Umbrales!$B$2,"Legendaria",IF(K898&gt;=Umbrales!$B$3,"Épica",IF(K898&gt;=Umbrales!$B$4,"Rara",IF(K898&gt;=Umbrales!$B$5,"Poco común","Común")))))</f>
        <v/>
      </c>
      <c r="M898" s="5" t="n">
        <v>19153.999872</v>
      </c>
      <c r="N898" s="5" t="n">
        <v>1022</v>
      </c>
      <c r="O898" s="5">
        <f>IF(M898="","",M898*J898)</f>
        <v/>
      </c>
      <c r="P898" s="5">
        <f>IF(N898="","",N898*J898)</f>
        <v/>
      </c>
      <c r="Q898" s="7" t="n">
        <v>0.0386</v>
      </c>
      <c r="R898" s="8" t="n"/>
      <c r="S898" s="4" t="inlineStr">
        <is>
          <t>ASX50</t>
        </is>
      </c>
      <c r="T898" s="9" t="inlineStr">
        <is>
          <t>SI</t>
        </is>
      </c>
      <c r="U898" s="9" t="inlineStr"/>
      <c r="V898" s="10">
        <f>Umbrales!$B$9*(K898/1000)^Umbrales!$B$10</f>
        <v/>
      </c>
    </row>
    <row r="899">
      <c r="A899" s="4" t="inlineStr">
        <is>
          <t>0316.HK</t>
        </is>
      </c>
      <c r="B899" s="4" t="inlineStr">
        <is>
          <t>Orient Overseas (International) Limited</t>
        </is>
      </c>
      <c r="C899" s="4" t="inlineStr">
        <is>
          <t>Hong Kong</t>
        </is>
      </c>
      <c r="D899" s="4" t="inlineStr">
        <is>
          <t>HK</t>
        </is>
      </c>
      <c r="E899" s="4" t="inlineStr">
        <is>
          <t>Industria</t>
        </is>
      </c>
      <c r="F899" s="4" t="inlineStr">
        <is>
          <t>Marine Shipping</t>
        </is>
      </c>
      <c r="G899" s="4" t="inlineStr">
        <is>
          <t>HKG</t>
        </is>
      </c>
      <c r="H899" s="4" t="inlineStr">
        <is>
          <t>HKD</t>
        </is>
      </c>
      <c r="I899" s="5" t="n">
        <v>107508.77696</v>
      </c>
      <c r="J899" s="6">
        <f>INDEX(FX!$B:$B,MATCH(H899,FX!$A:$A,0))</f>
        <v/>
      </c>
      <c r="K899" s="5">
        <f>I899*J899</f>
        <v/>
      </c>
      <c r="L899" s="4">
        <f>IF(U899&lt;&gt;"",U899,IF(K899&gt;=Umbrales!$B$2,"Legendaria",IF(K899&gt;=Umbrales!$B$3,"Épica",IF(K899&gt;=Umbrales!$B$4,"Rara",IF(K899&gt;=Umbrales!$B$5,"Poco común","Común")))))</f>
        <v/>
      </c>
      <c r="M899" s="5" t="n">
        <v>10019.506176</v>
      </c>
      <c r="N899" s="5" t="n">
        <v>1287.203968</v>
      </c>
      <c r="O899" s="5">
        <f>IF(M899="","",M899*J899)</f>
        <v/>
      </c>
      <c r="P899" s="5">
        <f>IF(N899="","",N899*J899)</f>
        <v/>
      </c>
      <c r="Q899" s="7" t="n">
        <v>0.045</v>
      </c>
      <c r="R899" s="8" t="n">
        <v>10.689429</v>
      </c>
      <c r="S899" s="4" t="inlineStr">
        <is>
          <t>HANGSENG</t>
        </is>
      </c>
      <c r="T899" s="9" t="inlineStr">
        <is>
          <t>SI</t>
        </is>
      </c>
      <c r="U899" s="9" t="inlineStr"/>
      <c r="V899" s="10">
        <f>Umbrales!$B$9*(K899/1000)^Umbrales!$B$10</f>
        <v/>
      </c>
    </row>
    <row r="900">
      <c r="A900" s="4" t="inlineStr">
        <is>
          <t>CHTR</t>
        </is>
      </c>
      <c r="B900" s="4" t="inlineStr">
        <is>
          <t>Charter Communications, Inc.</t>
        </is>
      </c>
      <c r="C900" s="4" t="inlineStr">
        <is>
          <t>United States</t>
        </is>
      </c>
      <c r="D900" s="4" t="inlineStr">
        <is>
          <t>US</t>
        </is>
      </c>
      <c r="E900" s="4" t="inlineStr">
        <is>
          <t>Comunicación</t>
        </is>
      </c>
      <c r="F900" s="4" t="inlineStr">
        <is>
          <t>Telecom Services</t>
        </is>
      </c>
      <c r="G900" s="4" t="inlineStr">
        <is>
          <t>NMS</t>
        </is>
      </c>
      <c r="H900" s="4" t="inlineStr">
        <is>
          <t>USD</t>
        </is>
      </c>
      <c r="I900" s="5" t="n">
        <v>13663.741952</v>
      </c>
      <c r="J900" s="6">
        <f>INDEX(FX!$B:$B,MATCH(H900,FX!$A:$A,0))</f>
        <v/>
      </c>
      <c r="K900" s="5">
        <f>I900*J900</f>
        <v/>
      </c>
      <c r="L900" s="4">
        <f>IF(U900&lt;&gt;"",U900,IF(K900&gt;=Umbrales!$B$2,"Legendaria",IF(K900&gt;=Umbrales!$B$3,"Épica",IF(K900&gt;=Umbrales!$B$4,"Rara",IF(K900&gt;=Umbrales!$B$5,"Poco común","Común")))))</f>
        <v/>
      </c>
      <c r="M900" s="5" t="n">
        <v>54395.998208</v>
      </c>
      <c r="N900" s="5" t="n">
        <v>4924.000256</v>
      </c>
      <c r="O900" s="5">
        <f>IF(M900="","",M900*J900)</f>
        <v/>
      </c>
      <c r="P900" s="5">
        <f>IF(N900="","",N900*J900)</f>
        <v/>
      </c>
      <c r="Q900" s="7" t="n">
        <v>0</v>
      </c>
      <c r="R900" s="8" t="n">
        <v>2.7844281</v>
      </c>
      <c r="S900" s="4" t="inlineStr">
        <is>
          <t>NASDAQ100, SP500</t>
        </is>
      </c>
      <c r="T900" s="9" t="inlineStr">
        <is>
          <t>SI</t>
        </is>
      </c>
      <c r="U900" s="9" t="inlineStr"/>
      <c r="V900" s="10">
        <f>Umbrales!$B$9*(K900/1000)^Umbrales!$B$10</f>
        <v/>
      </c>
    </row>
    <row r="901">
      <c r="A901" s="4" t="inlineStr">
        <is>
          <t>REG</t>
        </is>
      </c>
      <c r="B901" s="4" t="inlineStr">
        <is>
          <t>Regency Centers Corporation</t>
        </is>
      </c>
      <c r="C901" s="4" t="inlineStr">
        <is>
          <t>United States</t>
        </is>
      </c>
      <c r="D901" s="4" t="inlineStr">
        <is>
          <t>US</t>
        </is>
      </c>
      <c r="E901" s="4" t="inlineStr">
        <is>
          <t>Inmobiliario</t>
        </is>
      </c>
      <c r="F901" s="4" t="inlineStr">
        <is>
          <t>REIT - Retail</t>
        </is>
      </c>
      <c r="G901" s="4" t="inlineStr">
        <is>
          <t>NMS</t>
        </is>
      </c>
      <c r="H901" s="4" t="inlineStr">
        <is>
          <t>USD</t>
        </is>
      </c>
      <c r="I901" s="5" t="n">
        <v>13598.44352</v>
      </c>
      <c r="J901" s="6">
        <f>INDEX(FX!$B:$B,MATCH(H901,FX!$A:$A,0))</f>
        <v/>
      </c>
      <c r="K901" s="5">
        <f>I901*J901</f>
        <v/>
      </c>
      <c r="L901" s="4">
        <f>IF(U901&lt;&gt;"",U901,IF(K901&gt;=Umbrales!$B$2,"Legendaria",IF(K901&gt;=Umbrales!$B$3,"Épica",IF(K901&gt;=Umbrales!$B$4,"Rara",IF(K901&gt;=Umbrales!$B$5,"Poco común","Común")))))</f>
        <v/>
      </c>
      <c r="M901" s="5" t="n">
        <v>1685.532032</v>
      </c>
      <c r="N901" s="5" t="n">
        <v>542.515008</v>
      </c>
      <c r="O901" s="5">
        <f>IF(M901="","",M901*J901)</f>
        <v/>
      </c>
      <c r="P901" s="5">
        <f>IF(N901="","",N901*J901)</f>
        <v/>
      </c>
      <c r="Q901" s="7" t="n">
        <v>0.0421</v>
      </c>
      <c r="R901" s="8" t="n">
        <v>24.489899</v>
      </c>
      <c r="S901" s="4" t="inlineStr">
        <is>
          <t>SP500</t>
        </is>
      </c>
      <c r="T901" s="9" t="inlineStr">
        <is>
          <t>SI</t>
        </is>
      </c>
      <c r="U901" s="9" t="inlineStr"/>
      <c r="V901" s="10">
        <f>Umbrales!$B$9*(K901/1000)^Umbrales!$B$10</f>
        <v/>
      </c>
    </row>
    <row r="902">
      <c r="A902" s="4" t="inlineStr">
        <is>
          <t>AAF.L</t>
        </is>
      </c>
      <c r="B902" s="4" t="inlineStr">
        <is>
          <t>Airtel Africa Plc</t>
        </is>
      </c>
      <c r="C902" s="4" t="inlineStr">
        <is>
          <t>United Kingdom</t>
        </is>
      </c>
      <c r="D902" s="4" t="inlineStr">
        <is>
          <t>GB</t>
        </is>
      </c>
      <c r="E902" s="4" t="inlineStr">
        <is>
          <t>Comunicación</t>
        </is>
      </c>
      <c r="F902" s="4" t="inlineStr">
        <is>
          <t>Telecom Services</t>
        </is>
      </c>
      <c r="G902" s="4" t="inlineStr">
        <is>
          <t>LSE</t>
        </is>
      </c>
      <c r="H902" s="4" t="inlineStr">
        <is>
          <t>GBP</t>
        </is>
      </c>
      <c r="I902" s="5" t="n">
        <v>10234.82368</v>
      </c>
      <c r="J902" s="6">
        <f>INDEX(FX!$B:$B,MATCH(H902,FX!$A:$A,0))</f>
        <v/>
      </c>
      <c r="K902" s="5">
        <f>I902*J902</f>
        <v/>
      </c>
      <c r="L902" s="4">
        <f>IF(U902&lt;&gt;"",U902,IF(K902&gt;=Umbrales!$B$2,"Legendaria",IF(K902&gt;=Umbrales!$B$3,"Épica",IF(K902&gt;=Umbrales!$B$4,"Rara",IF(K902&gt;=Umbrales!$B$5,"Poco común","Común")))))</f>
        <v/>
      </c>
      <c r="M902" s="5" t="n">
        <v>6876.000256</v>
      </c>
      <c r="N902" s="5" t="n">
        <v>713</v>
      </c>
      <c r="O902" s="5">
        <f>IF(M902="","",M902*J902)</f>
        <v/>
      </c>
      <c r="P902" s="5">
        <f>IF(N902="","",N902*J902)</f>
        <v/>
      </c>
      <c r="Q902" s="7" t="n">
        <v>0.0185</v>
      </c>
      <c r="R902" s="8" t="n">
        <v>21.723076</v>
      </c>
      <c r="S902" s="4" t="inlineStr">
        <is>
          <t>FTSE100</t>
        </is>
      </c>
      <c r="T902" s="9" t="inlineStr">
        <is>
          <t>SI</t>
        </is>
      </c>
      <c r="U902" s="9" t="inlineStr"/>
      <c r="V902" s="10">
        <f>Umbrales!$B$9*(K902/1000)^Umbrales!$B$10</f>
        <v/>
      </c>
    </row>
    <row r="903">
      <c r="A903" s="4" t="inlineStr">
        <is>
          <t>TIT.MI</t>
        </is>
      </c>
      <c r="B903" s="4" t="inlineStr">
        <is>
          <t>Telecom Italia S.p.A.</t>
        </is>
      </c>
      <c r="C903" s="4" t="inlineStr">
        <is>
          <t>Italy</t>
        </is>
      </c>
      <c r="D903" s="4" t="inlineStr">
        <is>
          <t>IT</t>
        </is>
      </c>
      <c r="E903" s="4" t="inlineStr">
        <is>
          <t>Comunicación</t>
        </is>
      </c>
      <c r="F903" s="4" t="inlineStr">
        <is>
          <t>Telecom Services</t>
        </is>
      </c>
      <c r="G903" s="4" t="inlineStr">
        <is>
          <t>MIL</t>
        </is>
      </c>
      <c r="H903" s="4" t="inlineStr">
        <is>
          <t>EUR</t>
        </is>
      </c>
      <c r="I903" s="5" t="n">
        <v>12089.183232</v>
      </c>
      <c r="J903" s="6">
        <f>INDEX(FX!$B:$B,MATCH(H903,FX!$A:$A,0))</f>
        <v/>
      </c>
      <c r="K903" s="5">
        <f>I903*J903</f>
        <v/>
      </c>
      <c r="L903" s="4">
        <f>IF(U903&lt;&gt;"",U903,IF(K903&gt;=Umbrales!$B$2,"Legendaria",IF(K903&gt;=Umbrales!$B$3,"Épica",IF(K903&gt;=Umbrales!$B$4,"Rara",IF(K903&gt;=Umbrales!$B$5,"Poco común","Común")))))</f>
        <v/>
      </c>
      <c r="M903" s="5" t="n">
        <v>14078.000128</v>
      </c>
      <c r="N903" s="5" t="n">
        <v>284</v>
      </c>
      <c r="O903" s="5">
        <f>IF(M903="","",M903*J903)</f>
        <v/>
      </c>
      <c r="P903" s="5">
        <f>IF(N903="","",N903*J903)</f>
        <v/>
      </c>
      <c r="Q903" s="7" t="n">
        <v>0</v>
      </c>
      <c r="R903" s="8" t="n">
        <v>26.985714</v>
      </c>
      <c r="S903" s="4" t="inlineStr">
        <is>
          <t>FTSEMIB</t>
        </is>
      </c>
      <c r="T903" s="9" t="inlineStr">
        <is>
          <t>SI</t>
        </is>
      </c>
      <c r="U903" s="9" t="inlineStr"/>
      <c r="V903" s="10">
        <f>Umbrales!$B$9*(K903/1000)^Umbrales!$B$10</f>
        <v/>
      </c>
    </row>
    <row r="904">
      <c r="A904" s="4" t="inlineStr">
        <is>
          <t>MONC.MI</t>
        </is>
      </c>
      <c r="B904" s="4" t="inlineStr">
        <is>
          <t>Moncler S.p.A.</t>
        </is>
      </c>
      <c r="C904" s="4" t="inlineStr">
        <is>
          <t>Italy</t>
        </is>
      </c>
      <c r="D904" s="4" t="inlineStr">
        <is>
          <t>IT</t>
        </is>
      </c>
      <c r="E904" s="4" t="inlineStr">
        <is>
          <t>Consumo cíclico</t>
        </is>
      </c>
      <c r="F904" s="4" t="inlineStr">
        <is>
          <t>Apparel Manufacturing</t>
        </is>
      </c>
      <c r="G904" s="4" t="inlineStr">
        <is>
          <t>MIL</t>
        </is>
      </c>
      <c r="H904" s="4" t="inlineStr">
        <is>
          <t>EUR</t>
        </is>
      </c>
      <c r="I904" s="5" t="n">
        <v>12046.425088</v>
      </c>
      <c r="J904" s="6">
        <f>INDEX(FX!$B:$B,MATCH(H904,FX!$A:$A,0))</f>
        <v/>
      </c>
      <c r="K904" s="5">
        <f>I904*J904</f>
        <v/>
      </c>
      <c r="L904" s="4">
        <f>IF(U904&lt;&gt;"",U904,IF(K904&gt;=Umbrales!$B$2,"Legendaria",IF(K904&gt;=Umbrales!$B$3,"Épica",IF(K904&gt;=Umbrales!$B$4,"Rara",IF(K904&gt;=Umbrales!$B$5,"Poco común","Común")))))</f>
        <v/>
      </c>
      <c r="M904" s="5" t="n">
        <v>3196.37504</v>
      </c>
      <c r="N904" s="5" t="n">
        <v>637.921984</v>
      </c>
      <c r="O904" s="5">
        <f>IF(M904="","",M904*J904)</f>
        <v/>
      </c>
      <c r="P904" s="5">
        <f>IF(N904="","",N904*J904)</f>
        <v/>
      </c>
      <c r="Q904" s="7" t="n">
        <v>0.0319</v>
      </c>
      <c r="R904" s="8" t="n">
        <v>18.84681</v>
      </c>
      <c r="S904" s="4" t="inlineStr">
        <is>
          <t>FTSEMIB</t>
        </is>
      </c>
      <c r="T904" s="9" t="inlineStr">
        <is>
          <t>SI</t>
        </is>
      </c>
      <c r="U904" s="9" t="inlineStr"/>
      <c r="V904" s="10">
        <f>Umbrales!$B$9*(K904/1000)^Umbrales!$B$10</f>
        <v/>
      </c>
    </row>
    <row r="905">
      <c r="A905" s="4" t="inlineStr">
        <is>
          <t>AVY</t>
        </is>
      </c>
      <c r="B905" s="4" t="inlineStr">
        <is>
          <t>Avery Dennison Corporation</t>
        </is>
      </c>
      <c r="C905" s="4" t="inlineStr">
        <is>
          <t>United States</t>
        </is>
      </c>
      <c r="D905" s="4" t="inlineStr">
        <is>
          <t>US</t>
        </is>
      </c>
      <c r="E905" s="4" t="inlineStr">
        <is>
          <t>Consumo cíclico</t>
        </is>
      </c>
      <c r="F905" s="4" t="inlineStr">
        <is>
          <t>Packaging &amp; Containers</t>
        </is>
      </c>
      <c r="G905" s="4" t="inlineStr">
        <is>
          <t>NYQ</t>
        </is>
      </c>
      <c r="H905" s="4" t="inlineStr">
        <is>
          <t>USD</t>
        </is>
      </c>
      <c r="I905" s="5" t="n">
        <v>13504.377856</v>
      </c>
      <c r="J905" s="6">
        <f>INDEX(FX!$B:$B,MATCH(H905,FX!$A:$A,0))</f>
        <v/>
      </c>
      <c r="K905" s="5">
        <f>I905*J905</f>
        <v/>
      </c>
      <c r="L905" s="4">
        <f>IF(U905&lt;&gt;"",U905,IF(K905&gt;=Umbrales!$B$2,"Legendaria",IF(K905&gt;=Umbrales!$B$3,"Épica",IF(K905&gt;=Umbrales!$B$4,"Rara",IF(K905&gt;=Umbrales!$B$5,"Poco común","Común")))))</f>
        <v/>
      </c>
      <c r="M905" s="5" t="n">
        <v>9248.100351999999</v>
      </c>
      <c r="N905" s="5" t="n">
        <v>704.8999679999999</v>
      </c>
      <c r="O905" s="5">
        <f>IF(M905="","",M905*J905)</f>
        <v/>
      </c>
      <c r="P905" s="5">
        <f>IF(N905="","",N905*J905)</f>
        <v/>
      </c>
      <c r="Q905" s="7" t="n">
        <v>0.0234</v>
      </c>
      <c r="R905" s="8" t="n">
        <v>19.2111</v>
      </c>
      <c r="S905" s="4" t="inlineStr">
        <is>
          <t>SP500</t>
        </is>
      </c>
      <c r="T905" s="9" t="inlineStr">
        <is>
          <t>SI</t>
        </is>
      </c>
      <c r="U905" s="9" t="inlineStr"/>
      <c r="V905" s="10">
        <f>Umbrales!$B$9*(K905/1000)^Umbrales!$B$10</f>
        <v/>
      </c>
    </row>
    <row r="906">
      <c r="A906" s="4" t="inlineStr">
        <is>
          <t>SJM</t>
        </is>
      </c>
      <c r="B906" s="4" t="inlineStr">
        <is>
          <t>The J. M. Smucker Company</t>
        </is>
      </c>
      <c r="C906" s="4" t="inlineStr">
        <is>
          <t>United States</t>
        </is>
      </c>
      <c r="D906" s="4" t="inlineStr">
        <is>
          <t>US</t>
        </is>
      </c>
      <c r="E906" s="4" t="inlineStr">
        <is>
          <t>Consumo básico</t>
        </is>
      </c>
      <c r="F906" s="4" t="inlineStr">
        <is>
          <t>Packaged Foods</t>
        </is>
      </c>
      <c r="G906" s="4" t="inlineStr">
        <is>
          <t>NYQ</t>
        </is>
      </c>
      <c r="H906" s="4" t="inlineStr">
        <is>
          <t>USD</t>
        </is>
      </c>
      <c r="I906" s="5" t="n">
        <v>13465.0624</v>
      </c>
      <c r="J906" s="6">
        <f>INDEX(FX!$B:$B,MATCH(H906,FX!$A:$A,0))</f>
        <v/>
      </c>
      <c r="K906" s="5">
        <f>I906*J906</f>
        <v/>
      </c>
      <c r="L906" s="4">
        <f>IF(U906&lt;&gt;"",U906,IF(K906&gt;=Umbrales!$B$2,"Legendaria",IF(K906&gt;=Umbrales!$B$3,"Épica",IF(K906&gt;=Umbrales!$B$4,"Rara",IF(K906&gt;=Umbrales!$B$5,"Poco común","Común")))))</f>
        <v/>
      </c>
      <c r="M906" s="5" t="n">
        <v>9156.89984</v>
      </c>
      <c r="N906" s="5" t="n">
        <v>229.5</v>
      </c>
      <c r="O906" s="5">
        <f>IF(M906="","",M906*J906)</f>
        <v/>
      </c>
      <c r="P906" s="5">
        <f>IF(N906="","",N906*J906)</f>
        <v/>
      </c>
      <c r="Q906" s="7" t="n">
        <v>0.0369</v>
      </c>
      <c r="R906" s="8" t="n">
        <v>58.901867</v>
      </c>
      <c r="S906" s="4" t="inlineStr">
        <is>
          <t>SP500</t>
        </is>
      </c>
      <c r="T906" s="9" t="inlineStr">
        <is>
          <t>SI</t>
        </is>
      </c>
      <c r="U906" s="9" t="inlineStr"/>
      <c r="V906" s="10">
        <f>Umbrales!$B$9*(K906/1000)^Umbrales!$B$10</f>
        <v/>
      </c>
    </row>
    <row r="907">
      <c r="A907" s="4" t="inlineStr">
        <is>
          <t>DOC</t>
        </is>
      </c>
      <c r="B907" s="4" t="inlineStr">
        <is>
          <t>Healthpeak Properties, Inc.</t>
        </is>
      </c>
      <c r="C907" s="4" t="inlineStr">
        <is>
          <t>United States</t>
        </is>
      </c>
      <c r="D907" s="4" t="inlineStr">
        <is>
          <t>US</t>
        </is>
      </c>
      <c r="E907" s="4" t="inlineStr">
        <is>
          <t>Inmobiliario</t>
        </is>
      </c>
      <c r="F907" s="4" t="inlineStr">
        <is>
          <t>REIT - Healthcare Facilities</t>
        </is>
      </c>
      <c r="G907" s="4" t="inlineStr">
        <is>
          <t>NYQ</t>
        </is>
      </c>
      <c r="H907" s="4" t="inlineStr">
        <is>
          <t>USD</t>
        </is>
      </c>
      <c r="I907" s="5" t="n">
        <v>13451.4944</v>
      </c>
      <c r="J907" s="6">
        <f>INDEX(FX!$B:$B,MATCH(H907,FX!$A:$A,0))</f>
        <v/>
      </c>
      <c r="K907" s="5">
        <f>I907*J907</f>
        <v/>
      </c>
      <c r="L907" s="4">
        <f>IF(U907&lt;&gt;"",U907,IF(K907&gt;=Umbrales!$B$2,"Legendaria",IF(K907&gt;=Umbrales!$B$3,"Épica",IF(K907&gt;=Umbrales!$B$4,"Rara",IF(K907&gt;=Umbrales!$B$5,"Poco común","Común")))))</f>
        <v/>
      </c>
      <c r="M907" s="5" t="n">
        <v>2949.80608</v>
      </c>
      <c r="N907" s="5" t="n">
        <v>242.743008</v>
      </c>
      <c r="O907" s="5">
        <f>IF(M907="","",M907*J907)</f>
        <v/>
      </c>
      <c r="P907" s="5">
        <f>IF(N907="","",N907*J907)</f>
        <v/>
      </c>
      <c r="Q907" s="7" t="n">
        <v>0.0643</v>
      </c>
      <c r="R907" s="8" t="n">
        <v>54.211143</v>
      </c>
      <c r="S907" s="4" t="inlineStr">
        <is>
          <t>SP500</t>
        </is>
      </c>
      <c r="T907" s="9" t="inlineStr">
        <is>
          <t>SI</t>
        </is>
      </c>
      <c r="U907" s="9" t="inlineStr"/>
      <c r="V907" s="10">
        <f>Umbrales!$B$9*(K907/1000)^Umbrales!$B$10</f>
        <v/>
      </c>
    </row>
    <row r="908">
      <c r="A908" s="4" t="inlineStr">
        <is>
          <t>GDDY</t>
        </is>
      </c>
      <c r="B908" s="4" t="inlineStr">
        <is>
          <t>GoDaddy Inc.</t>
        </is>
      </c>
      <c r="C908" s="4" t="inlineStr">
        <is>
          <t>United States</t>
        </is>
      </c>
      <c r="D908" s="4" t="inlineStr">
        <is>
          <t>US</t>
        </is>
      </c>
      <c r="E908" s="4" t="inlineStr">
        <is>
          <t>Tecnología</t>
        </is>
      </c>
      <c r="F908" s="4" t="inlineStr">
        <is>
          <t>Software - Infrastructure</t>
        </is>
      </c>
      <c r="G908" s="4" t="inlineStr">
        <is>
          <t>NYQ</t>
        </is>
      </c>
      <c r="H908" s="4" t="inlineStr">
        <is>
          <t>USD</t>
        </is>
      </c>
      <c r="I908" s="5" t="n">
        <v>13443.019776</v>
      </c>
      <c r="J908" s="6">
        <f>INDEX(FX!$B:$B,MATCH(H908,FX!$A:$A,0))</f>
        <v/>
      </c>
      <c r="K908" s="5">
        <f>I908*J908</f>
        <v/>
      </c>
      <c r="L908" s="4">
        <f>IF(U908&lt;&gt;"",U908,IF(K908&gt;=Umbrales!$B$2,"Legendaria",IF(K908&gt;=Umbrales!$B$3,"Épica",IF(K908&gt;=Umbrales!$B$4,"Rara",IF(K908&gt;=Umbrales!$B$5,"Poco común","Común")))))</f>
        <v/>
      </c>
      <c r="M908" s="5" t="n">
        <v>5104.09984</v>
      </c>
      <c r="N908" s="5" t="n">
        <v>910.300032</v>
      </c>
      <c r="O908" s="5">
        <f>IF(M908="","",M908*J908)</f>
        <v/>
      </c>
      <c r="P908" s="5">
        <f>IF(N908="","",N908*J908)</f>
        <v/>
      </c>
      <c r="Q908" s="7" t="n">
        <v>0</v>
      </c>
      <c r="R908" s="8" t="n">
        <v>15.748516</v>
      </c>
      <c r="S908" s="4" t="inlineStr">
        <is>
          <t>SP500</t>
        </is>
      </c>
      <c r="T908" s="9" t="inlineStr">
        <is>
          <t>SI</t>
        </is>
      </c>
      <c r="U908" s="9" t="inlineStr"/>
      <c r="V908" s="10">
        <f>Umbrales!$B$9*(K908/1000)^Umbrales!$B$10</f>
        <v/>
      </c>
    </row>
    <row r="909">
      <c r="A909" s="4" t="inlineStr">
        <is>
          <t>SGE.L</t>
        </is>
      </c>
      <c r="B909" s="4" t="inlineStr">
        <is>
          <t>The Sage Group plc</t>
        </is>
      </c>
      <c r="C909" s="4" t="inlineStr">
        <is>
          <t>United Kingdom</t>
        </is>
      </c>
      <c r="D909" s="4" t="inlineStr">
        <is>
          <t>GB</t>
        </is>
      </c>
      <c r="E909" s="4" t="inlineStr">
        <is>
          <t>Tecnología</t>
        </is>
      </c>
      <c r="F909" s="4" t="inlineStr">
        <is>
          <t>Software - Application</t>
        </is>
      </c>
      <c r="G909" s="4" t="inlineStr">
        <is>
          <t>LSE</t>
        </is>
      </c>
      <c r="H909" s="4" t="inlineStr">
        <is>
          <t>GBP</t>
        </is>
      </c>
      <c r="I909" s="5" t="n">
        <v>10077.134848</v>
      </c>
      <c r="J909" s="6">
        <f>INDEX(FX!$B:$B,MATCH(H909,FX!$A:$A,0))</f>
        <v/>
      </c>
      <c r="K909" s="5">
        <f>I909*J909</f>
        <v/>
      </c>
      <c r="L909" s="4">
        <f>IF(U909&lt;&gt;"",U909,IF(K909&gt;=Umbrales!$B$2,"Legendaria",IF(K909&gt;=Umbrales!$B$3,"Épica",IF(K909&gt;=Umbrales!$B$4,"Rara",IF(K909&gt;=Umbrales!$B$5,"Poco común","Común")))))</f>
        <v/>
      </c>
      <c r="M909" s="5" t="n">
        <v>2633.999872</v>
      </c>
      <c r="N909" s="5" t="n">
        <v>385</v>
      </c>
      <c r="O909" s="5">
        <f>IF(M909="","",M909*J909)</f>
        <v/>
      </c>
      <c r="P909" s="5">
        <f>IF(N909="","",N909*J909)</f>
        <v/>
      </c>
      <c r="Q909" s="7" t="n">
        <v>0.0206</v>
      </c>
      <c r="R909" s="8" t="n">
        <v>28.692308</v>
      </c>
      <c r="S909" s="4" t="inlineStr">
        <is>
          <t>FTSE100</t>
        </is>
      </c>
      <c r="T909" s="9" t="inlineStr">
        <is>
          <t>SI</t>
        </is>
      </c>
      <c r="U909" s="9" t="inlineStr"/>
      <c r="V909" s="10">
        <f>Umbrales!$B$9*(K909/1000)^Umbrales!$B$10</f>
        <v/>
      </c>
    </row>
    <row r="910">
      <c r="A910" s="4" t="inlineStr">
        <is>
          <t>BAX</t>
        </is>
      </c>
      <c r="B910" s="4" t="inlineStr">
        <is>
          <t>Baxter International Inc.</t>
        </is>
      </c>
      <c r="C910" s="4" t="inlineStr">
        <is>
          <t>United States</t>
        </is>
      </c>
      <c r="D910" s="4" t="inlineStr">
        <is>
          <t>US</t>
        </is>
      </c>
      <c r="E910" s="4" t="inlineStr">
        <is>
          <t>Salud</t>
        </is>
      </c>
      <c r="F910" s="4" t="inlineStr">
        <is>
          <t>Medical Instruments &amp; Supplies</t>
        </is>
      </c>
      <c r="G910" s="4" t="inlineStr">
        <is>
          <t>NYQ</t>
        </is>
      </c>
      <c r="H910" s="4" t="inlineStr">
        <is>
          <t>USD</t>
        </is>
      </c>
      <c r="I910" s="5" t="n">
        <v>13312.647168</v>
      </c>
      <c r="J910" s="6">
        <f>INDEX(FX!$B:$B,MATCH(H910,FX!$A:$A,0))</f>
        <v/>
      </c>
      <c r="K910" s="5">
        <f>I910*J910</f>
        <v/>
      </c>
      <c r="L910" s="4">
        <f>IF(U910&lt;&gt;"",U910,IF(K910&gt;=Umbrales!$B$2,"Legendaria",IF(K910&gt;=Umbrales!$B$3,"Épica",IF(K910&gt;=Umbrales!$B$4,"Rara",IF(K910&gt;=Umbrales!$B$5,"Poco común","Común")))))</f>
        <v/>
      </c>
      <c r="M910" s="5" t="n">
        <v>11470.000128</v>
      </c>
      <c r="N910" s="5" t="n">
        <v>-968</v>
      </c>
      <c r="O910" s="5">
        <f>IF(M910="","",M910*J910)</f>
        <v/>
      </c>
      <c r="P910" s="5">
        <f>IF(N910="","",N910*J910)</f>
        <v/>
      </c>
      <c r="Q910" s="7" t="n">
        <v>0.0016</v>
      </c>
      <c r="R910" s="8" t="n"/>
      <c r="S910" s="4" t="inlineStr">
        <is>
          <t>SP500</t>
        </is>
      </c>
      <c r="T910" s="9" t="inlineStr">
        <is>
          <t>SI</t>
        </is>
      </c>
      <c r="U910" s="9" t="inlineStr"/>
      <c r="V910" s="10">
        <f>Umbrales!$B$9*(K910/1000)^Umbrales!$B$10</f>
        <v/>
      </c>
    </row>
    <row r="911">
      <c r="A911" s="4" t="inlineStr">
        <is>
          <t>T.TO</t>
        </is>
      </c>
      <c r="B911" s="4" t="inlineStr">
        <is>
          <t>TELUS Corporation</t>
        </is>
      </c>
      <c r="C911" s="4" t="inlineStr">
        <is>
          <t>Canada</t>
        </is>
      </c>
      <c r="D911" s="4" t="inlineStr">
        <is>
          <t>CA</t>
        </is>
      </c>
      <c r="E911" s="4" t="inlineStr">
        <is>
          <t>Comunicación</t>
        </is>
      </c>
      <c r="F911" s="4" t="inlineStr">
        <is>
          <t>Telecom Services</t>
        </is>
      </c>
      <c r="G911" s="4" t="inlineStr">
        <is>
          <t>TOR</t>
        </is>
      </c>
      <c r="H911" s="4" t="inlineStr">
        <is>
          <t>CAD</t>
        </is>
      </c>
      <c r="I911" s="5" t="n">
        <v>18844.8768</v>
      </c>
      <c r="J911" s="6">
        <f>INDEX(FX!$B:$B,MATCH(H911,FX!$A:$A,0))</f>
        <v/>
      </c>
      <c r="K911" s="5">
        <f>I911*J911</f>
        <v/>
      </c>
      <c r="L911" s="4">
        <f>IF(U911&lt;&gt;"",U911,IF(K911&gt;=Umbrales!$B$2,"Legendaria",IF(K911&gt;=Umbrales!$B$3,"Épica",IF(K911&gt;=Umbrales!$B$4,"Rara",IF(K911&gt;=Umbrales!$B$5,"Poco común","Común")))))</f>
        <v/>
      </c>
      <c r="M911" s="5" t="n">
        <v>20206.000128</v>
      </c>
      <c r="N911" s="5" t="n">
        <v>-919</v>
      </c>
      <c r="O911" s="5">
        <f>IF(M911="","",M911*J911)</f>
        <v/>
      </c>
      <c r="P911" s="5">
        <f>IF(N911="","",N911*J911)</f>
        <v/>
      </c>
      <c r="Q911" s="7" t="n">
        <v>0.1271</v>
      </c>
      <c r="R911" s="8" t="n"/>
      <c r="S911" s="4" t="inlineStr">
        <is>
          <t>TSX60</t>
        </is>
      </c>
      <c r="T911" s="9" t="inlineStr">
        <is>
          <t>SI</t>
        </is>
      </c>
      <c r="U911" s="9" t="inlineStr"/>
      <c r="V911" s="10">
        <f>Umbrales!$B$9*(K911/1000)^Umbrales!$B$10</f>
        <v/>
      </c>
    </row>
    <row r="912">
      <c r="A912" s="4" t="inlineStr">
        <is>
          <t>CA.PA</t>
        </is>
      </c>
      <c r="B912" s="4" t="inlineStr">
        <is>
          <t>Carrefour SA</t>
        </is>
      </c>
      <c r="C912" s="4" t="inlineStr">
        <is>
          <t>France</t>
        </is>
      </c>
      <c r="D912" s="4" t="inlineStr">
        <is>
          <t>FR</t>
        </is>
      </c>
      <c r="E912" s="4" t="inlineStr">
        <is>
          <t>Consumo básico</t>
        </is>
      </c>
      <c r="F912" s="4" t="inlineStr">
        <is>
          <t>Grocery Stores</t>
        </is>
      </c>
      <c r="G912" s="4" t="inlineStr">
        <is>
          <t>PAR</t>
        </is>
      </c>
      <c r="H912" s="4" t="inlineStr">
        <is>
          <t>EUR</t>
        </is>
      </c>
      <c r="I912" s="5" t="n">
        <v>11795.912704</v>
      </c>
      <c r="J912" s="6">
        <f>INDEX(FX!$B:$B,MATCH(H912,FX!$A:$A,0))</f>
        <v/>
      </c>
      <c r="K912" s="5">
        <f>I912*J912</f>
        <v/>
      </c>
      <c r="L912" s="4">
        <f>IF(U912&lt;&gt;"",U912,IF(K912&gt;=Umbrales!$B$2,"Legendaria",IF(K912&gt;=Umbrales!$B$3,"Épica",IF(K912&gt;=Umbrales!$B$4,"Rara",IF(K912&gt;=Umbrales!$B$5,"Poco común","Común")))))</f>
        <v/>
      </c>
      <c r="M912" s="5" t="n">
        <v>84606.001152</v>
      </c>
      <c r="N912" s="5" t="n">
        <v>911</v>
      </c>
      <c r="O912" s="5">
        <f>IF(M912="","",M912*J912)</f>
        <v/>
      </c>
      <c r="P912" s="5">
        <f>IF(N912="","",N912*J912)</f>
        <v/>
      </c>
      <c r="Q912" s="7" t="n">
        <v>0.0604</v>
      </c>
      <c r="R912" s="8" t="n">
        <v>7.7175922</v>
      </c>
      <c r="S912" s="4" t="inlineStr">
        <is>
          <t>CAC40</t>
        </is>
      </c>
      <c r="T912" s="9" t="inlineStr">
        <is>
          <t>SI</t>
        </is>
      </c>
      <c r="U912" s="9" t="inlineStr"/>
      <c r="V912" s="10">
        <f>Umbrales!$B$9*(K912/1000)^Umbrales!$B$10</f>
        <v/>
      </c>
    </row>
    <row r="913">
      <c r="A913" s="4" t="inlineStr">
        <is>
          <t>0836.HK</t>
        </is>
      </c>
      <c r="B913" s="4" t="inlineStr">
        <is>
          <t>China Resources Power Holdings Company Limited</t>
        </is>
      </c>
      <c r="C913" s="4" t="inlineStr">
        <is>
          <t>Hong Kong</t>
        </is>
      </c>
      <c r="D913" s="4" t="inlineStr">
        <is>
          <t>HK</t>
        </is>
      </c>
      <c r="E913" s="4" t="inlineStr">
        <is>
          <t>Servicios públicos</t>
        </is>
      </c>
      <c r="F913" s="4" t="inlineStr">
        <is>
          <t>Utilities - Independent Power Producers</t>
        </is>
      </c>
      <c r="G913" s="4" t="inlineStr">
        <is>
          <t>HKG</t>
        </is>
      </c>
      <c r="H913" s="4" t="inlineStr">
        <is>
          <t>HKD</t>
        </is>
      </c>
      <c r="I913" s="5" t="n">
        <v>103644.700672</v>
      </c>
      <c r="J913" s="6">
        <f>INDEX(FX!$B:$B,MATCH(H913,FX!$A:$A,0))</f>
        <v/>
      </c>
      <c r="K913" s="5">
        <f>I913*J913</f>
        <v/>
      </c>
      <c r="L913" s="4">
        <f>IF(U913&lt;&gt;"",U913,IF(K913&gt;=Umbrales!$B$2,"Legendaria",IF(K913&gt;=Umbrales!$B$3,"Épica",IF(K913&gt;=Umbrales!$B$4,"Rara",IF(K913&gt;=Umbrales!$B$5,"Poco común","Común")))))</f>
        <v/>
      </c>
      <c r="M913" s="5" t="n">
        <v>106719.92832</v>
      </c>
      <c r="N913" s="5" t="n">
        <v>13296.224256</v>
      </c>
      <c r="O913" s="5">
        <f>IF(M913="","",M913*J913)</f>
        <v/>
      </c>
      <c r="P913" s="5">
        <f>IF(N913="","",N913*J913)</f>
        <v/>
      </c>
      <c r="Q913" s="7" t="n">
        <v>0.05400000000000001</v>
      </c>
      <c r="R913" s="8" t="n">
        <v>7.820313</v>
      </c>
      <c r="S913" s="4" t="inlineStr">
        <is>
          <t>HANGSENG</t>
        </is>
      </c>
      <c r="T913" s="9" t="inlineStr">
        <is>
          <t>SI</t>
        </is>
      </c>
      <c r="U913" s="9" t="inlineStr"/>
      <c r="V913" s="10">
        <f>Umbrales!$B$9*(K913/1000)^Umbrales!$B$10</f>
        <v/>
      </c>
    </row>
    <row r="914">
      <c r="A914" s="4" t="inlineStr">
        <is>
          <t>ALLE</t>
        </is>
      </c>
      <c r="B914" s="4" t="inlineStr">
        <is>
          <t>Allegion plc</t>
        </is>
      </c>
      <c r="C914" s="4" t="inlineStr">
        <is>
          <t>Ireland</t>
        </is>
      </c>
      <c r="D914" s="4" t="inlineStr">
        <is>
          <t>IE</t>
        </is>
      </c>
      <c r="E914" s="4" t="inlineStr">
        <is>
          <t>Industria</t>
        </is>
      </c>
      <c r="F914" s="4" t="inlineStr">
        <is>
          <t>Security &amp; Protection Services</t>
        </is>
      </c>
      <c r="G914" s="4" t="inlineStr">
        <is>
          <t>NYQ</t>
        </is>
      </c>
      <c r="H914" s="4" t="inlineStr">
        <is>
          <t>USD</t>
        </is>
      </c>
      <c r="I914" s="5" t="n">
        <v>13198.560256</v>
      </c>
      <c r="J914" s="6">
        <f>INDEX(FX!$B:$B,MATCH(H914,FX!$A:$A,0))</f>
        <v/>
      </c>
      <c r="K914" s="5">
        <f>I914*J914</f>
        <v/>
      </c>
      <c r="L914" s="4">
        <f>IF(U914&lt;&gt;"",U914,IF(K914&gt;=Umbrales!$B$2,"Legendaria",IF(K914&gt;=Umbrales!$B$3,"Épica",IF(K914&gt;=Umbrales!$B$4,"Rara",IF(K914&gt;=Umbrales!$B$5,"Poco común","Común")))))</f>
        <v/>
      </c>
      <c r="M914" s="5" t="n">
        <v>4288.499968</v>
      </c>
      <c r="N914" s="5" t="n">
        <v>658.6</v>
      </c>
      <c r="O914" s="5">
        <f>IF(M914="","",M914*J914)</f>
        <v/>
      </c>
      <c r="P914" s="5">
        <f>IF(N914="","",N914*J914)</f>
        <v/>
      </c>
      <c r="Q914" s="7" t="n">
        <v>0.0144</v>
      </c>
      <c r="R914" s="8" t="n">
        <v>20.422369</v>
      </c>
      <c r="S914" s="4" t="inlineStr">
        <is>
          <t>SP500</t>
        </is>
      </c>
      <c r="T914" s="9" t="inlineStr">
        <is>
          <t>SI</t>
        </is>
      </c>
      <c r="U914" s="9" t="inlineStr"/>
      <c r="V914" s="10">
        <f>Umbrales!$B$9*(K914/1000)^Umbrales!$B$10</f>
        <v/>
      </c>
    </row>
    <row r="915">
      <c r="A915" s="4" t="inlineStr">
        <is>
          <t>BF-B</t>
        </is>
      </c>
      <c r="B915" s="4" t="inlineStr">
        <is>
          <t>Brown-Forman Corporation</t>
        </is>
      </c>
      <c r="C915" s="4" t="inlineStr">
        <is>
          <t>United States</t>
        </is>
      </c>
      <c r="D915" s="4" t="inlineStr">
        <is>
          <t>US</t>
        </is>
      </c>
      <c r="E915" s="4" t="inlineStr">
        <is>
          <t>Consumo básico</t>
        </is>
      </c>
      <c r="F915" s="4" t="inlineStr">
        <is>
          <t>Beverages - Wineries &amp; Distilleries</t>
        </is>
      </c>
      <c r="G915" s="4" t="inlineStr">
        <is>
          <t>NYQ</t>
        </is>
      </c>
      <c r="H915" s="4" t="inlineStr">
        <is>
          <t>USD</t>
        </is>
      </c>
      <c r="I915" s="5" t="n">
        <v>13112.046592</v>
      </c>
      <c r="J915" s="6">
        <f>INDEX(FX!$B:$B,MATCH(H915,FX!$A:$A,0))</f>
        <v/>
      </c>
      <c r="K915" s="5">
        <f>I915*J915</f>
        <v/>
      </c>
      <c r="L915" s="4">
        <f>IF(U915&lt;&gt;"",U915,IF(K915&gt;=Umbrales!$B$2,"Legendaria",IF(K915&gt;=Umbrales!$B$3,"Épica",IF(K915&gt;=Umbrales!$B$4,"Rara",IF(K915&gt;=Umbrales!$B$5,"Poco común","Común")))))</f>
        <v/>
      </c>
      <c r="M915" s="5" t="n">
        <v>3915.000064</v>
      </c>
      <c r="N915" s="5" t="n">
        <v>721</v>
      </c>
      <c r="O915" s="5">
        <f>IF(M915="","",M915*J915)</f>
        <v/>
      </c>
      <c r="P915" s="5">
        <f>IF(N915="","",N915*J915)</f>
        <v/>
      </c>
      <c r="Q915" s="7" t="n">
        <v>0.0339</v>
      </c>
      <c r="R915" s="8" t="n">
        <v>17.748447</v>
      </c>
      <c r="S915" s="4" t="inlineStr">
        <is>
          <t>SP500</t>
        </is>
      </c>
      <c r="T915" s="9" t="inlineStr">
        <is>
          <t>SI</t>
        </is>
      </c>
      <c r="U915" s="9" t="inlineStr"/>
      <c r="V915" s="10">
        <f>Umbrales!$B$9*(K915/1000)^Umbrales!$B$10</f>
        <v/>
      </c>
    </row>
    <row r="916">
      <c r="A916" s="4" t="inlineStr">
        <is>
          <t>IT</t>
        </is>
      </c>
      <c r="B916" s="4" t="inlineStr">
        <is>
          <t>Gartner, Inc.</t>
        </is>
      </c>
      <c r="C916" s="4" t="inlineStr">
        <is>
          <t>United States</t>
        </is>
      </c>
      <c r="D916" s="4" t="inlineStr">
        <is>
          <t>US</t>
        </is>
      </c>
      <c r="E916" s="4" t="inlineStr">
        <is>
          <t>Tecnología</t>
        </is>
      </c>
      <c r="F916" s="4" t="inlineStr">
        <is>
          <t>Information Technology Services</t>
        </is>
      </c>
      <c r="G916" s="4" t="inlineStr">
        <is>
          <t>NYQ</t>
        </is>
      </c>
      <c r="H916" s="4" t="inlineStr">
        <is>
          <t>USD</t>
        </is>
      </c>
      <c r="I916" s="5" t="n">
        <v>13047.840768</v>
      </c>
      <c r="J916" s="6">
        <f>INDEX(FX!$B:$B,MATCH(H916,FX!$A:$A,0))</f>
        <v/>
      </c>
      <c r="K916" s="5">
        <f>I916*J916</f>
        <v/>
      </c>
      <c r="L916" s="4">
        <f>IF(U916&lt;&gt;"",U916,IF(K916&gt;=Umbrales!$B$2,"Legendaria",IF(K916&gt;=Umbrales!$B$3,"Épica",IF(K916&gt;=Umbrales!$B$4,"Rara",IF(K916&gt;=Umbrales!$B$5,"Poco común","Común")))))</f>
        <v/>
      </c>
      <c r="M916" s="5" t="n">
        <v>6463.62624</v>
      </c>
      <c r="N916" s="5" t="n">
        <v>775.3509759999999</v>
      </c>
      <c r="O916" s="5">
        <f>IF(M916="","",M916*J916)</f>
        <v/>
      </c>
      <c r="P916" s="5">
        <f>IF(N916="","",N916*J916)</f>
        <v/>
      </c>
      <c r="Q916" s="7" t="n">
        <v>0</v>
      </c>
      <c r="R916" s="8" t="n">
        <v>18.800728</v>
      </c>
      <c r="S916" s="4" t="inlineStr">
        <is>
          <t>SP500</t>
        </is>
      </c>
      <c r="T916" s="9" t="inlineStr">
        <is>
          <t>SI</t>
        </is>
      </c>
      <c r="U916" s="9" t="inlineStr"/>
      <c r="V916" s="10">
        <f>Umbrales!$B$9*(K916/1000)^Umbrales!$B$10</f>
        <v/>
      </c>
    </row>
    <row r="917">
      <c r="A917" s="4" t="inlineStr">
        <is>
          <t>EDV.L</t>
        </is>
      </c>
      <c r="B917" s="4" t="inlineStr">
        <is>
          <t>Endeavour Mining plc</t>
        </is>
      </c>
      <c r="C917" s="4" t="inlineStr">
        <is>
          <t>United Kingdom</t>
        </is>
      </c>
      <c r="D917" s="4" t="inlineStr">
        <is>
          <t>GB</t>
        </is>
      </c>
      <c r="E917" s="4" t="inlineStr">
        <is>
          <t>Materiales</t>
        </is>
      </c>
      <c r="F917" s="4" t="inlineStr">
        <is>
          <t>Gold</t>
        </is>
      </c>
      <c r="G917" s="4" t="inlineStr">
        <is>
          <t>LSE</t>
        </is>
      </c>
      <c r="H917" s="4" t="inlineStr">
        <is>
          <t>GBP</t>
        </is>
      </c>
      <c r="I917" s="5" t="n">
        <v>9841.835008</v>
      </c>
      <c r="J917" s="6">
        <f>INDEX(FX!$B:$B,MATCH(H917,FX!$A:$A,0))</f>
        <v/>
      </c>
      <c r="K917" s="5">
        <f>I917*J917</f>
        <v/>
      </c>
      <c r="L917" s="4">
        <f>IF(U917&lt;&gt;"",U917,IF(K917&gt;=Umbrales!$B$2,"Legendaria",IF(K917&gt;=Umbrales!$B$3,"Épica",IF(K917&gt;=Umbrales!$B$4,"Rara",IF(K917&gt;=Umbrales!$B$5,"Poco común","Común")))))</f>
        <v/>
      </c>
      <c r="M917" s="5" t="n">
        <v>4753.200128</v>
      </c>
      <c r="N917" s="5" t="n">
        <v>839.900032</v>
      </c>
      <c r="O917" s="5">
        <f>IF(M917="","",M917*J917)</f>
        <v/>
      </c>
      <c r="P917" s="5">
        <f>IF(N917="","",N917*J917)</f>
        <v/>
      </c>
      <c r="Q917" s="7" t="n">
        <v>0.0348</v>
      </c>
      <c r="R917" s="8" t="n">
        <v>16.13834</v>
      </c>
      <c r="S917" s="4" t="inlineStr">
        <is>
          <t>FTSE100</t>
        </is>
      </c>
      <c r="T917" s="9" t="inlineStr">
        <is>
          <t>SI</t>
        </is>
      </c>
      <c r="U917" s="9" t="inlineStr"/>
      <c r="V917" s="10">
        <f>Umbrales!$B$9*(K917/1000)^Umbrales!$B$10</f>
        <v/>
      </c>
    </row>
    <row r="918">
      <c r="A918" s="4" t="inlineStr">
        <is>
          <t>TXT</t>
        </is>
      </c>
      <c r="B918" s="4" t="inlineStr">
        <is>
          <t>Textron Inc.</t>
        </is>
      </c>
      <c r="C918" s="4" t="inlineStr">
        <is>
          <t>United States</t>
        </is>
      </c>
      <c r="D918" s="4" t="inlineStr">
        <is>
          <t>US</t>
        </is>
      </c>
      <c r="E918" s="4" t="inlineStr">
        <is>
          <t>Industria</t>
        </is>
      </c>
      <c r="F918" s="4" t="inlineStr">
        <is>
          <t>Aerospace &amp; Defense</t>
        </is>
      </c>
      <c r="G918" s="4" t="inlineStr">
        <is>
          <t>NYQ</t>
        </is>
      </c>
      <c r="H918" s="4" t="inlineStr">
        <is>
          <t>USD</t>
        </is>
      </c>
      <c r="I918" s="5" t="n">
        <v>13009.504256</v>
      </c>
      <c r="J918" s="6">
        <f>INDEX(FX!$B:$B,MATCH(H918,FX!$A:$A,0))</f>
        <v/>
      </c>
      <c r="K918" s="5">
        <f>I918*J918</f>
        <v/>
      </c>
      <c r="L918" s="4">
        <f>IF(U918&lt;&gt;"",U918,IF(K918&gt;=Umbrales!$B$2,"Legendaria",IF(K918&gt;=Umbrales!$B$3,"Épica",IF(K918&gt;=Umbrales!$B$4,"Rara",IF(K918&gt;=Umbrales!$B$5,"Poco común","Común")))))</f>
        <v/>
      </c>
      <c r="M918" s="5" t="n">
        <v>15299.00032</v>
      </c>
      <c r="N918" s="5" t="n">
        <v>939</v>
      </c>
      <c r="O918" s="5">
        <f>IF(M918="","",M918*J918)</f>
        <v/>
      </c>
      <c r="P918" s="5">
        <f>IF(N918="","",N918*J918)</f>
        <v/>
      </c>
      <c r="Q918" s="7" t="n">
        <v>0.0011</v>
      </c>
      <c r="R918" s="8" t="n">
        <v>14.223384</v>
      </c>
      <c r="S918" s="4" t="inlineStr">
        <is>
          <t>SP500</t>
        </is>
      </c>
      <c r="T918" s="9" t="inlineStr">
        <is>
          <t>SI</t>
        </is>
      </c>
      <c r="U918" s="9" t="inlineStr"/>
      <c r="V918" s="10">
        <f>Umbrales!$B$9*(K918/1000)^Umbrales!$B$10</f>
        <v/>
      </c>
    </row>
    <row r="919">
      <c r="A919" s="4" t="inlineStr">
        <is>
          <t>GL</t>
        </is>
      </c>
      <c r="B919" s="4" t="inlineStr">
        <is>
          <t>Globe Life Inc.</t>
        </is>
      </c>
      <c r="C919" s="4" t="inlineStr">
        <is>
          <t>United States</t>
        </is>
      </c>
      <c r="D919" s="4" t="inlineStr">
        <is>
          <t>US</t>
        </is>
      </c>
      <c r="E919" s="4" t="inlineStr">
        <is>
          <t>Finanzas</t>
        </is>
      </c>
      <c r="F919" s="4" t="inlineStr">
        <is>
          <t>Insurance - Life</t>
        </is>
      </c>
      <c r="G919" s="4" t="inlineStr">
        <is>
          <t>NYQ</t>
        </is>
      </c>
      <c r="H919" s="4" t="inlineStr">
        <is>
          <t>USD</t>
        </is>
      </c>
      <c r="I919" s="5" t="n">
        <v>12936.836096</v>
      </c>
      <c r="J919" s="6">
        <f>INDEX(FX!$B:$B,MATCH(H919,FX!$A:$A,0))</f>
        <v/>
      </c>
      <c r="K919" s="5">
        <f>I919*J919</f>
        <v/>
      </c>
      <c r="L919" s="4">
        <f>IF(U919&lt;&gt;"",U919,IF(K919&gt;=Umbrales!$B$2,"Legendaria",IF(K919&gt;=Umbrales!$B$3,"Épica",IF(K919&gt;=Umbrales!$B$4,"Rara",IF(K919&gt;=Umbrales!$B$5,"Poco común","Común")))))</f>
        <v/>
      </c>
      <c r="M919" s="5" t="n">
        <v>6191.958016</v>
      </c>
      <c r="N919" s="5" t="n">
        <v>1212.19904</v>
      </c>
      <c r="O919" s="5">
        <f>IF(M919="","",M919*J919)</f>
        <v/>
      </c>
      <c r="P919" s="5">
        <f>IF(N919="","",N919*J919)</f>
        <v/>
      </c>
      <c r="Q919" s="7" t="n">
        <v>0.008</v>
      </c>
      <c r="R919" s="8" t="n">
        <v>11.075</v>
      </c>
      <c r="S919" s="4" t="inlineStr">
        <is>
          <t>SP500</t>
        </is>
      </c>
      <c r="T919" s="9" t="inlineStr">
        <is>
          <t>SI</t>
        </is>
      </c>
      <c r="U919" s="9" t="inlineStr"/>
      <c r="V919" s="10">
        <f>Umbrales!$B$9*(K919/1000)^Umbrales!$B$10</f>
        <v/>
      </c>
    </row>
    <row r="920">
      <c r="A920" s="4" t="inlineStr">
        <is>
          <t>1093.HK</t>
        </is>
      </c>
      <c r="B920" s="4" t="inlineStr">
        <is>
          <t>CSPC Pharmaceutical Group Limited</t>
        </is>
      </c>
      <c r="C920" s="4" t="inlineStr">
        <is>
          <t>China</t>
        </is>
      </c>
      <c r="D920" s="4" t="inlineStr">
        <is>
          <t>CN</t>
        </is>
      </c>
      <c r="E920" s="4" t="inlineStr">
        <is>
          <t>Salud</t>
        </is>
      </c>
      <c r="F920" s="4" t="inlineStr">
        <is>
          <t>Drug Manufacturers - General</t>
        </is>
      </c>
      <c r="G920" s="4" t="inlineStr">
        <is>
          <t>HKG</t>
        </is>
      </c>
      <c r="H920" s="4" t="inlineStr">
        <is>
          <t>HKD</t>
        </is>
      </c>
      <c r="I920" s="5" t="n">
        <v>101109.325824</v>
      </c>
      <c r="J920" s="6">
        <f>INDEX(FX!$B:$B,MATCH(H920,FX!$A:$A,0))</f>
        <v/>
      </c>
      <c r="K920" s="5">
        <f>I920*J920</f>
        <v/>
      </c>
      <c r="L920" s="4">
        <f>IF(U920&lt;&gt;"",U920,IF(K920&gt;=Umbrales!$B$2,"Legendaria",IF(K920&gt;=Umbrales!$B$3,"Épica",IF(K920&gt;=Umbrales!$B$4,"Rara",IF(K920&gt;=Umbrales!$B$5,"Poco común","Común")))))</f>
        <v/>
      </c>
      <c r="M920" s="5" t="n">
        <v>31327.05792</v>
      </c>
      <c r="N920" s="5" t="n">
        <v>7428.469248</v>
      </c>
      <c r="O920" s="5">
        <f>IF(M920="","",M920*J920)</f>
        <v/>
      </c>
      <c r="P920" s="5">
        <f>IF(N920="","",N920*J920)</f>
        <v/>
      </c>
      <c r="Q920" s="7" t="n">
        <v>0.0409</v>
      </c>
      <c r="R920" s="8" t="n">
        <v>12.143835</v>
      </c>
      <c r="S920" s="4" t="inlineStr">
        <is>
          <t>HANGSENG</t>
        </is>
      </c>
      <c r="T920" s="9" t="inlineStr">
        <is>
          <t>SI</t>
        </is>
      </c>
      <c r="U920" s="9" t="inlineStr"/>
      <c r="V920" s="10">
        <f>Umbrales!$B$9*(K920/1000)^Umbrales!$B$10</f>
        <v/>
      </c>
    </row>
    <row r="921">
      <c r="A921" s="4" t="inlineStr">
        <is>
          <t>SVT.L</t>
        </is>
      </c>
      <c r="B921" s="4" t="inlineStr">
        <is>
          <t>Severn Trent PLC</t>
        </is>
      </c>
      <c r="C921" s="4" t="inlineStr">
        <is>
          <t>United Kingdom</t>
        </is>
      </c>
      <c r="D921" s="4" t="inlineStr">
        <is>
          <t>GB</t>
        </is>
      </c>
      <c r="E921" s="4" t="inlineStr">
        <is>
          <t>Servicios públicos</t>
        </is>
      </c>
      <c r="F921" s="4" t="inlineStr">
        <is>
          <t>Utilities - Regulated Water</t>
        </is>
      </c>
      <c r="G921" s="4" t="inlineStr">
        <is>
          <t>LSE</t>
        </is>
      </c>
      <c r="H921" s="4" t="inlineStr">
        <is>
          <t>GBP</t>
        </is>
      </c>
      <c r="I921" s="5" t="n">
        <v>9720.737792</v>
      </c>
      <c r="J921" s="6">
        <f>INDEX(FX!$B:$B,MATCH(H921,FX!$A:$A,0))</f>
        <v/>
      </c>
      <c r="K921" s="5">
        <f>I921*J921</f>
        <v/>
      </c>
      <c r="L921" s="4">
        <f>IF(U921&lt;&gt;"",U921,IF(K921&gt;=Umbrales!$B$2,"Legendaria",IF(K921&gt;=Umbrales!$B$3,"Épica",IF(K921&gt;=Umbrales!$B$4,"Rara",IF(K921&gt;=Umbrales!$B$5,"Poco común","Común")))))</f>
        <v/>
      </c>
      <c r="M921" s="5" t="n">
        <v>2831.000064</v>
      </c>
      <c r="N921" s="5" t="n">
        <v>371</v>
      </c>
      <c r="O921" s="5">
        <f>IF(M921="","",M921*J921)</f>
        <v/>
      </c>
      <c r="P921" s="5">
        <f>IF(N921="","",N921*J921)</f>
        <v/>
      </c>
      <c r="Q921" s="7" t="n">
        <v>0.04019999999999999</v>
      </c>
      <c r="R921" s="8" t="n">
        <v>26.162601</v>
      </c>
      <c r="S921" s="4" t="inlineStr">
        <is>
          <t>FTSE100</t>
        </is>
      </c>
      <c r="T921" s="9" t="inlineStr">
        <is>
          <t>SI</t>
        </is>
      </c>
      <c r="U921" s="9" t="inlineStr"/>
      <c r="V921" s="10">
        <f>Umbrales!$B$9*(K921/1000)^Umbrales!$B$10</f>
        <v/>
      </c>
    </row>
    <row r="922">
      <c r="A922" s="4" t="inlineStr">
        <is>
          <t>UDR</t>
        </is>
      </c>
      <c r="B922" s="4" t="inlineStr">
        <is>
          <t>UDR, Inc.</t>
        </is>
      </c>
      <c r="C922" s="4" t="inlineStr">
        <is>
          <t>United States</t>
        </is>
      </c>
      <c r="D922" s="4" t="inlineStr">
        <is>
          <t>US</t>
        </is>
      </c>
      <c r="E922" s="4" t="inlineStr">
        <is>
          <t>Inmobiliario</t>
        </is>
      </c>
      <c r="F922" s="4" t="inlineStr">
        <is>
          <t>REIT - Residential</t>
        </is>
      </c>
      <c r="G922" s="4" t="inlineStr">
        <is>
          <t>NYQ</t>
        </is>
      </c>
      <c r="H922" s="4" t="inlineStr">
        <is>
          <t>USD</t>
        </is>
      </c>
      <c r="I922" s="5" t="n">
        <v>12727.212032</v>
      </c>
      <c r="J922" s="6">
        <f>INDEX(FX!$B:$B,MATCH(H922,FX!$A:$A,0))</f>
        <v/>
      </c>
      <c r="K922" s="5">
        <f>I922*J922</f>
        <v/>
      </c>
      <c r="L922" s="4">
        <f>IF(U922&lt;&gt;"",U922,IF(K922&gt;=Umbrales!$B$2,"Legendaria",IF(K922&gt;=Umbrales!$B$3,"Épica",IF(K922&gt;=Umbrales!$B$4,"Rara",IF(K922&gt;=Umbrales!$B$5,"Poco común","Común")))))</f>
        <v/>
      </c>
      <c r="M922" s="5" t="n">
        <v>1766.329984</v>
      </c>
      <c r="N922" s="5" t="n">
        <v>517.310016</v>
      </c>
      <c r="O922" s="5">
        <f>IF(M922="","",M922*J922)</f>
        <v/>
      </c>
      <c r="P922" s="5">
        <f>IF(N922="","",N922*J922)</f>
        <v/>
      </c>
      <c r="Q922" s="7" t="n">
        <v>0.0512</v>
      </c>
      <c r="R922" s="8" t="n">
        <v>21.740505</v>
      </c>
      <c r="S922" s="4" t="inlineStr">
        <is>
          <t>SP500</t>
        </is>
      </c>
      <c r="T922" s="9" t="inlineStr">
        <is>
          <t>SI</t>
        </is>
      </c>
      <c r="U922" s="9" t="inlineStr"/>
      <c r="V922" s="10">
        <f>Umbrales!$B$9*(K922/1000)^Umbrales!$B$10</f>
        <v/>
      </c>
    </row>
    <row r="923">
      <c r="A923" s="4" t="inlineStr">
        <is>
          <t>HDFCLIFE.NS</t>
        </is>
      </c>
      <c r="B923" s="4" t="inlineStr">
        <is>
          <t>HDFC Life Insurance Company Limited</t>
        </is>
      </c>
      <c r="C923" s="4" t="inlineStr">
        <is>
          <t>India</t>
        </is>
      </c>
      <c r="D923" s="4" t="inlineStr">
        <is>
          <t>IN</t>
        </is>
      </c>
      <c r="E923" s="4" t="inlineStr">
        <is>
          <t>Finanzas</t>
        </is>
      </c>
      <c r="F923" s="4" t="inlineStr">
        <is>
          <t>Insurance - Life</t>
        </is>
      </c>
      <c r="G923" s="4" t="inlineStr">
        <is>
          <t>NSI</t>
        </is>
      </c>
      <c r="H923" s="4" t="inlineStr">
        <is>
          <t>INR</t>
        </is>
      </c>
      <c r="I923" s="5" t="n">
        <v>1195821.62944</v>
      </c>
      <c r="J923" s="6">
        <f>INDEX(FX!$B:$B,MATCH(H923,FX!$A:$A,0))</f>
        <v/>
      </c>
      <c r="K923" s="5">
        <f>I923*J923</f>
        <v/>
      </c>
      <c r="L923" s="4">
        <f>IF(U923&lt;&gt;"",U923,IF(K923&gt;=Umbrales!$B$2,"Legendaria",IF(K923&gt;=Umbrales!$B$3,"Épica",IF(K923&gt;=Umbrales!$B$4,"Rara",IF(K923&gt;=Umbrales!$B$5,"Poco común","Común")))))</f>
        <v/>
      </c>
      <c r="M923" s="5" t="n">
        <v>1040789.66784</v>
      </c>
      <c r="N923" s="5" t="n">
        <v>19772.801024</v>
      </c>
      <c r="O923" s="5">
        <f>IF(M923="","",M923*J923)</f>
        <v/>
      </c>
      <c r="P923" s="5">
        <f>IF(N923="","",N923*J923)</f>
        <v/>
      </c>
      <c r="Q923" s="7" t="n">
        <v>0.0039</v>
      </c>
      <c r="R923" s="8" t="n">
        <v>60.1694</v>
      </c>
      <c r="S923" s="4" t="inlineStr">
        <is>
          <t>NIFTY50</t>
        </is>
      </c>
      <c r="T923" s="9" t="inlineStr">
        <is>
          <t>SI</t>
        </is>
      </c>
      <c r="U923" s="9" t="inlineStr"/>
      <c r="V923" s="10">
        <f>Umbrales!$B$9*(K923/1000)^Umbrales!$B$10</f>
        <v/>
      </c>
    </row>
    <row r="924">
      <c r="A924" s="4" t="inlineStr">
        <is>
          <t>ERIE</t>
        </is>
      </c>
      <c r="B924" s="4" t="inlineStr">
        <is>
          <t>Erie Indemnity Company</t>
        </is>
      </c>
      <c r="C924" s="4" t="inlineStr">
        <is>
          <t>United States</t>
        </is>
      </c>
      <c r="D924" s="4" t="inlineStr">
        <is>
          <t>US</t>
        </is>
      </c>
      <c r="E924" s="4" t="inlineStr">
        <is>
          <t>Finanzas</t>
        </is>
      </c>
      <c r="F924" s="4" t="inlineStr">
        <is>
          <t>Insurance Brokers</t>
        </is>
      </c>
      <c r="G924" s="4" t="inlineStr">
        <is>
          <t>NMS</t>
        </is>
      </c>
      <c r="H924" s="4" t="inlineStr">
        <is>
          <t>USD</t>
        </is>
      </c>
      <c r="I924" s="5" t="n">
        <v>12574.666752</v>
      </c>
      <c r="J924" s="6">
        <f>INDEX(FX!$B:$B,MATCH(H924,FX!$A:$A,0))</f>
        <v/>
      </c>
      <c r="K924" s="5">
        <f>I924*J924</f>
        <v/>
      </c>
      <c r="L924" s="4">
        <f>IF(U924&lt;&gt;"",U924,IF(K924&gt;=Umbrales!$B$2,"Legendaria",IF(K924&gt;=Umbrales!$B$3,"Épica",IF(K924&gt;=Umbrales!$B$4,"Rara",IF(K924&gt;=Umbrales!$B$5,"Poco común","Común")))))</f>
        <v/>
      </c>
      <c r="M924" s="5" t="n">
        <v>4119.469056</v>
      </c>
      <c r="N924" s="5" t="n">
        <v>577.001024</v>
      </c>
      <c r="O924" s="5">
        <f>IF(M924="","",M924*J924)</f>
        <v/>
      </c>
      <c r="P924" s="5">
        <f>IF(N924="","",N924*J924)</f>
        <v/>
      </c>
      <c r="Q924" s="7" t="n">
        <v>0.0254</v>
      </c>
      <c r="R924" s="8" t="n">
        <v>21.84196</v>
      </c>
      <c r="S924" s="4" t="inlineStr">
        <is>
          <t>SP500</t>
        </is>
      </c>
      <c r="T924" s="9" t="inlineStr">
        <is>
          <t>SI</t>
        </is>
      </c>
      <c r="U924" s="9" t="inlineStr"/>
      <c r="V924" s="10">
        <f>Umbrales!$B$9*(K924/1000)^Umbrales!$B$10</f>
        <v/>
      </c>
    </row>
    <row r="925">
      <c r="A925" s="4" t="inlineStr">
        <is>
          <t>AKAM</t>
        </is>
      </c>
      <c r="B925" s="4" t="inlineStr">
        <is>
          <t>Akamai Technologies, Inc.</t>
        </is>
      </c>
      <c r="C925" s="4" t="inlineStr">
        <is>
          <t>United States</t>
        </is>
      </c>
      <c r="D925" s="4" t="inlineStr">
        <is>
          <t>US</t>
        </is>
      </c>
      <c r="E925" s="4" t="inlineStr">
        <is>
          <t>Tecnología</t>
        </is>
      </c>
      <c r="F925" s="4" t="inlineStr">
        <is>
          <t>Software - Infrastructure</t>
        </is>
      </c>
      <c r="G925" s="4" t="inlineStr">
        <is>
          <t>NMS</t>
        </is>
      </c>
      <c r="H925" s="4" t="inlineStr">
        <is>
          <t>USD</t>
        </is>
      </c>
      <c r="I925" s="5" t="n">
        <v>12563.705856</v>
      </c>
      <c r="J925" s="6">
        <f>INDEX(FX!$B:$B,MATCH(H925,FX!$A:$A,0))</f>
        <v/>
      </c>
      <c r="K925" s="5">
        <f>I925*J925</f>
        <v/>
      </c>
      <c r="L925" s="4">
        <f>IF(U925&lt;&gt;"",U925,IF(K925&gt;=Umbrales!$B$2,"Legendaria",IF(K925&gt;=Umbrales!$B$3,"Épica",IF(K925&gt;=Umbrales!$B$4,"Rara",IF(K925&gt;=Umbrales!$B$5,"Poco común","Común")))))</f>
        <v/>
      </c>
      <c r="M925" s="5" t="n">
        <v>4322.83392</v>
      </c>
      <c r="N925" s="5" t="n">
        <v>410.964992</v>
      </c>
      <c r="O925" s="5">
        <f>IF(M925="","",M925*J925)</f>
        <v/>
      </c>
      <c r="P925" s="5">
        <f>IF(N925="","",N925*J925)</f>
        <v/>
      </c>
      <c r="Q925" s="7" t="n">
        <v>0</v>
      </c>
      <c r="R925" s="8" t="n">
        <v>34.55336</v>
      </c>
      <c r="S925" s="4" t="inlineStr">
        <is>
          <t>SP500</t>
        </is>
      </c>
      <c r="T925" s="9" t="inlineStr">
        <is>
          <t>SI</t>
        </is>
      </c>
      <c r="U925" s="9" t="inlineStr"/>
      <c r="V925" s="10">
        <f>Umbrales!$B$9*(K925/1000)^Umbrales!$B$10</f>
        <v/>
      </c>
    </row>
    <row r="926">
      <c r="A926" s="4" t="inlineStr">
        <is>
          <t>SCG.AX</t>
        </is>
      </c>
      <c r="B926" s="4" t="inlineStr">
        <is>
          <t>Scentre Group</t>
        </is>
      </c>
      <c r="C926" s="4" t="inlineStr">
        <is>
          <t>Australia</t>
        </is>
      </c>
      <c r="D926" s="4" t="inlineStr">
        <is>
          <t>AU</t>
        </is>
      </c>
      <c r="E926" s="4" t="inlineStr">
        <is>
          <t>Inmobiliario</t>
        </is>
      </c>
      <c r="F926" s="4" t="inlineStr">
        <is>
          <t>REIT - Retail</t>
        </is>
      </c>
      <c r="G926" s="4" t="inlineStr">
        <is>
          <t>ASX</t>
        </is>
      </c>
      <c r="H926" s="4" t="inlineStr">
        <is>
          <t>AUD</t>
        </is>
      </c>
      <c r="I926" s="5" t="n">
        <v>18093.805568</v>
      </c>
      <c r="J926" s="6">
        <f>INDEX(FX!$B:$B,MATCH(H926,FX!$A:$A,0))</f>
        <v/>
      </c>
      <c r="K926" s="5">
        <f>I926*J926</f>
        <v/>
      </c>
      <c r="L926" s="4">
        <f>IF(U926&lt;&gt;"",U926,IF(K926&gt;=Umbrales!$B$2,"Legendaria",IF(K926&gt;=Umbrales!$B$3,"Épica",IF(K926&gt;=Umbrales!$B$4,"Rara",IF(K926&gt;=Umbrales!$B$5,"Poco común","Común")))))</f>
        <v/>
      </c>
      <c r="M926" s="5" t="n">
        <v>2575.300096</v>
      </c>
      <c r="N926" s="5" t="n">
        <v>1970.8</v>
      </c>
      <c r="O926" s="5">
        <f>IF(M926="","",M926*J926)</f>
        <v/>
      </c>
      <c r="P926" s="5">
        <f>IF(N926="","",N926*J926)</f>
        <v/>
      </c>
      <c r="Q926" s="7" t="n">
        <v>0.0544</v>
      </c>
      <c r="R926" s="8" t="n">
        <v>9.105264</v>
      </c>
      <c r="S926" s="4" t="inlineStr">
        <is>
          <t>ASX50</t>
        </is>
      </c>
      <c r="T926" s="9" t="inlineStr">
        <is>
          <t>SI</t>
        </is>
      </c>
      <c r="U926" s="9" t="inlineStr"/>
      <c r="V926" s="10">
        <f>Umbrales!$B$9*(K926/1000)^Umbrales!$B$10</f>
        <v/>
      </c>
    </row>
    <row r="927">
      <c r="A927" s="4" t="inlineStr">
        <is>
          <t>0823.HK</t>
        </is>
      </c>
      <c r="B927" s="4" t="inlineStr">
        <is>
          <t>Link Real Estate Investment Trust</t>
        </is>
      </c>
      <c r="C927" s="4" t="inlineStr">
        <is>
          <t>Hong Kong</t>
        </is>
      </c>
      <c r="D927" s="4" t="inlineStr">
        <is>
          <t>HK</t>
        </is>
      </c>
      <c r="E927" s="4" t="inlineStr">
        <is>
          <t>Inmobiliario</t>
        </is>
      </c>
      <c r="F927" s="4" t="inlineStr">
        <is>
          <t>REIT - Retail</t>
        </is>
      </c>
      <c r="G927" s="4" t="inlineStr">
        <is>
          <t>HKG</t>
        </is>
      </c>
      <c r="H927" s="4" t="inlineStr">
        <is>
          <t>HKD</t>
        </is>
      </c>
      <c r="I927" s="5" t="n">
        <v>98123.030528</v>
      </c>
      <c r="J927" s="6">
        <f>INDEX(FX!$B:$B,MATCH(H927,FX!$A:$A,0))</f>
        <v/>
      </c>
      <c r="K927" s="5">
        <f>I927*J927</f>
        <v/>
      </c>
      <c r="L927" s="4">
        <f>IF(U927&lt;&gt;"",U927,IF(K927&gt;=Umbrales!$B$2,"Legendaria",IF(K927&gt;=Umbrales!$B$3,"Épica",IF(K927&gt;=Umbrales!$B$4,"Rara",IF(K927&gt;=Umbrales!$B$5,"Poco común","Común")))))</f>
        <v/>
      </c>
      <c r="M927" s="5" t="n">
        <v>14124.99968</v>
      </c>
      <c r="N927" s="5" t="n">
        <v>-7397.000192</v>
      </c>
      <c r="O927" s="5">
        <f>IF(M927="","",M927*J927)</f>
        <v/>
      </c>
      <c r="P927" s="5">
        <f>IF(N927="","",N927*J927)</f>
        <v/>
      </c>
      <c r="Q927" s="7" t="n">
        <v>0.0672</v>
      </c>
      <c r="R927" s="8" t="n"/>
      <c r="S927" s="4" t="inlineStr">
        <is>
          <t>HANGSENG</t>
        </is>
      </c>
      <c r="T927" s="9" t="inlineStr">
        <is>
          <t>SI</t>
        </is>
      </c>
      <c r="U927" s="9" t="inlineStr"/>
      <c r="V927" s="10">
        <f>Umbrales!$B$9*(K927/1000)^Umbrales!$B$10</f>
        <v/>
      </c>
    </row>
    <row r="928">
      <c r="A928" s="4" t="inlineStr">
        <is>
          <t>STLAM.MI</t>
        </is>
      </c>
      <c r="B928" s="4" t="inlineStr">
        <is>
          <t>Stellantis N.V.</t>
        </is>
      </c>
      <c r="C928" s="4" t="inlineStr">
        <is>
          <t>Netherlands</t>
        </is>
      </c>
      <c r="D928" s="4" t="inlineStr">
        <is>
          <t>NL</t>
        </is>
      </c>
      <c r="E928" s="4" t="inlineStr">
        <is>
          <t>Consumo cíclico</t>
        </is>
      </c>
      <c r="F928" s="4" t="inlineStr">
        <is>
          <t>Auto Manufacturers</t>
        </is>
      </c>
      <c r="G928" s="4" t="inlineStr">
        <is>
          <t>MIL</t>
        </is>
      </c>
      <c r="H928" s="4" t="inlineStr">
        <is>
          <t>EUR</t>
        </is>
      </c>
      <c r="I928" s="5" t="n">
        <v>11149.76768</v>
      </c>
      <c r="J928" s="6">
        <f>INDEX(FX!$B:$B,MATCH(H928,FX!$A:$A,0))</f>
        <v/>
      </c>
      <c r="K928" s="5">
        <f>I928*J928</f>
        <v/>
      </c>
      <c r="L928" s="4">
        <f>IF(U928&lt;&gt;"",U928,IF(K928&gt;=Umbrales!$B$2,"Legendaria",IF(K928&gt;=Umbrales!$B$3,"Épica",IF(K928&gt;=Umbrales!$B$4,"Rara",IF(K928&gt;=Umbrales!$B$5,"Poco común","Común")))))</f>
        <v/>
      </c>
      <c r="M928" s="5" t="n">
        <v>160860.995584</v>
      </c>
      <c r="N928" s="5" t="n">
        <v>-19471.998976</v>
      </c>
      <c r="O928" s="5">
        <f>IF(M928="","",M928*J928)</f>
        <v/>
      </c>
      <c r="P928" s="5">
        <f>IF(N928="","",N928*J928)</f>
        <v/>
      </c>
      <c r="Q928" s="7" t="n">
        <v>0</v>
      </c>
      <c r="R928" s="8" t="n"/>
      <c r="S928" s="4" t="inlineStr">
        <is>
          <t>FTSEMIB</t>
        </is>
      </c>
      <c r="T928" s="9" t="inlineStr">
        <is>
          <t>SI</t>
        </is>
      </c>
      <c r="U928" s="9" t="inlineStr"/>
      <c r="V928" s="10">
        <f>Umbrales!$B$9*(K928/1000)^Umbrales!$B$10</f>
        <v/>
      </c>
    </row>
    <row r="929">
      <c r="A929" s="4" t="inlineStr">
        <is>
          <t>ANA.MC</t>
        </is>
      </c>
      <c r="B929" s="4" t="inlineStr">
        <is>
          <t>Acciona, S.A.</t>
        </is>
      </c>
      <c r="C929" s="4" t="inlineStr">
        <is>
          <t>Spain</t>
        </is>
      </c>
      <c r="D929" s="4" t="inlineStr">
        <is>
          <t>ES</t>
        </is>
      </c>
      <c r="E929" s="4" t="inlineStr">
        <is>
          <t>Industria</t>
        </is>
      </c>
      <c r="F929" s="4" t="inlineStr">
        <is>
          <t>Engineering &amp; Construction</t>
        </is>
      </c>
      <c r="G929" s="4" t="inlineStr">
        <is>
          <t>MCE</t>
        </is>
      </c>
      <c r="H929" s="4" t="inlineStr">
        <is>
          <t>EUR</t>
        </is>
      </c>
      <c r="I929" s="5" t="n">
        <v>11119.735808</v>
      </c>
      <c r="J929" s="6">
        <f>INDEX(FX!$B:$B,MATCH(H929,FX!$A:$A,0))</f>
        <v/>
      </c>
      <c r="K929" s="5">
        <f>I929*J929</f>
        <v/>
      </c>
      <c r="L929" s="4">
        <f>IF(U929&lt;&gt;"",U929,IF(K929&gt;=Umbrales!$B$2,"Legendaria",IF(K929&gt;=Umbrales!$B$3,"Épica",IF(K929&gt;=Umbrales!$B$4,"Rara",IF(K929&gt;=Umbrales!$B$5,"Poco común","Común")))))</f>
        <v/>
      </c>
      <c r="M929" s="5" t="n">
        <v>21895.999488</v>
      </c>
      <c r="N929" s="5" t="n">
        <v>360</v>
      </c>
      <c r="O929" s="5">
        <f>IF(M929="","",M929*J929)</f>
        <v/>
      </c>
      <c r="P929" s="5">
        <f>IF(N929="","",N929*J929)</f>
        <v/>
      </c>
      <c r="Q929" s="7" t="n">
        <v>0.0273</v>
      </c>
      <c r="R929" s="8" t="n">
        <v>31.570997</v>
      </c>
      <c r="S929" s="4" t="inlineStr">
        <is>
          <t>IBEX35</t>
        </is>
      </c>
      <c r="T929" s="9" t="inlineStr">
        <is>
          <t>SI</t>
        </is>
      </c>
      <c r="U929" s="9" t="inlineStr"/>
      <c r="V929" s="10">
        <f>Umbrales!$B$9*(K929/1000)^Umbrales!$B$10</f>
        <v/>
      </c>
    </row>
    <row r="930">
      <c r="A930" s="4" t="inlineStr">
        <is>
          <t>STLAP.PA</t>
        </is>
      </c>
      <c r="B930" s="4" t="inlineStr">
        <is>
          <t>Stellantis N.V.</t>
        </is>
      </c>
      <c r="C930" s="4" t="inlineStr">
        <is>
          <t>Netherlands</t>
        </is>
      </c>
      <c r="D930" s="4" t="inlineStr">
        <is>
          <t>NL</t>
        </is>
      </c>
      <c r="E930" s="4" t="inlineStr">
        <is>
          <t>Consumo cíclico</t>
        </is>
      </c>
      <c r="F930" s="4" t="inlineStr">
        <is>
          <t>Auto Manufacturers</t>
        </is>
      </c>
      <c r="G930" s="4" t="inlineStr">
        <is>
          <t>PAR</t>
        </is>
      </c>
      <c r="H930" s="4" t="inlineStr">
        <is>
          <t>EUR</t>
        </is>
      </c>
      <c r="I930" s="5" t="n">
        <v>11099.001856</v>
      </c>
      <c r="J930" s="6">
        <f>INDEX(FX!$B:$B,MATCH(H930,FX!$A:$A,0))</f>
        <v/>
      </c>
      <c r="K930" s="5">
        <f>I930*J930</f>
        <v/>
      </c>
      <c r="L930" s="4">
        <f>IF(U930&lt;&gt;"",U930,IF(K930&gt;=Umbrales!$B$2,"Legendaria",IF(K930&gt;=Umbrales!$B$3,"Épica",IF(K930&gt;=Umbrales!$B$4,"Rara",IF(K930&gt;=Umbrales!$B$5,"Poco común","Común")))))</f>
        <v/>
      </c>
      <c r="M930" s="5" t="n">
        <v>160860.995584</v>
      </c>
      <c r="N930" s="5" t="n">
        <v>-19471.998976</v>
      </c>
      <c r="O930" s="5">
        <f>IF(M930="","",M930*J930)</f>
        <v/>
      </c>
      <c r="P930" s="5">
        <f>IF(N930="","",N930*J930)</f>
        <v/>
      </c>
      <c r="Q930" s="7" t="n">
        <v>0</v>
      </c>
      <c r="R930" s="8" t="n"/>
      <c r="S930" s="4" t="inlineStr">
        <is>
          <t>CAC40, EUROSTOXX50</t>
        </is>
      </c>
      <c r="T930" s="9" t="inlineStr">
        <is>
          <t>SI</t>
        </is>
      </c>
      <c r="U930" s="9" t="inlineStr"/>
      <c r="V930" s="10">
        <f>Umbrales!$B$9*(K930/1000)^Umbrales!$B$10</f>
        <v/>
      </c>
    </row>
    <row r="931">
      <c r="A931" s="4" t="inlineStr">
        <is>
          <t>MKC</t>
        </is>
      </c>
      <c r="B931" s="4" t="inlineStr">
        <is>
          <t>McCormick &amp; Company, Incorporated</t>
        </is>
      </c>
      <c r="C931" s="4" t="inlineStr">
        <is>
          <t>United States</t>
        </is>
      </c>
      <c r="D931" s="4" t="inlineStr">
        <is>
          <t>US</t>
        </is>
      </c>
      <c r="E931" s="4" t="inlineStr">
        <is>
          <t>Consumo básico</t>
        </is>
      </c>
      <c r="F931" s="4" t="inlineStr">
        <is>
          <t>Packaged Foods</t>
        </is>
      </c>
      <c r="G931" s="4" t="inlineStr">
        <is>
          <t>NYQ</t>
        </is>
      </c>
      <c r="H931" s="4" t="inlineStr">
        <is>
          <t>USD</t>
        </is>
      </c>
      <c r="I931" s="5" t="n">
        <v>12379.656192</v>
      </c>
      <c r="J931" s="6">
        <f>INDEX(FX!$B:$B,MATCH(H931,FX!$A:$A,0))</f>
        <v/>
      </c>
      <c r="K931" s="5">
        <f>I931*J931</f>
        <v/>
      </c>
      <c r="L931" s="4">
        <f>IF(U931&lt;&gt;"",U931,IF(K931&gt;=Umbrales!$B$2,"Legendaria",IF(K931&gt;=Umbrales!$B$3,"Épica",IF(K931&gt;=Umbrales!$B$4,"Rara",IF(K931&gt;=Umbrales!$B$5,"Poco común","Común")))))</f>
        <v/>
      </c>
      <c r="M931" s="5" t="n">
        <v>7685.700096</v>
      </c>
      <c r="N931" s="5" t="n">
        <v>1490.499968</v>
      </c>
      <c r="O931" s="5">
        <f>IF(M931="","",M931*J931)</f>
        <v/>
      </c>
      <c r="P931" s="5">
        <f>IF(N931="","",N931*J931)</f>
        <v/>
      </c>
      <c r="Q931" s="7" t="n">
        <v>0.043</v>
      </c>
      <c r="R931" s="8" t="n">
        <v>8.320072</v>
      </c>
      <c r="S931" s="4" t="inlineStr">
        <is>
          <t>SP500</t>
        </is>
      </c>
      <c r="T931" s="9" t="inlineStr">
        <is>
          <t>SI</t>
        </is>
      </c>
      <c r="U931" s="9" t="inlineStr"/>
      <c r="V931" s="10">
        <f>Umbrales!$B$9*(K931/1000)^Umbrales!$B$10</f>
        <v/>
      </c>
    </row>
    <row r="932">
      <c r="A932" s="4" t="inlineStr">
        <is>
          <t>LII</t>
        </is>
      </c>
      <c r="B932" s="4" t="inlineStr">
        <is>
          <t>Lennox International Inc.</t>
        </is>
      </c>
      <c r="C932" s="4" t="inlineStr">
        <is>
          <t>United States</t>
        </is>
      </c>
      <c r="D932" s="4" t="inlineStr">
        <is>
          <t>US</t>
        </is>
      </c>
      <c r="E932" s="4" t="inlineStr">
        <is>
          <t>Industria</t>
        </is>
      </c>
      <c r="F932" s="4" t="inlineStr">
        <is>
          <t>Building Products &amp; Equipment</t>
        </is>
      </c>
      <c r="G932" s="4" t="inlineStr">
        <is>
          <t>NYQ</t>
        </is>
      </c>
      <c r="H932" s="4" t="inlineStr">
        <is>
          <t>USD</t>
        </is>
      </c>
      <c r="I932" s="5" t="n">
        <v>12360.281088</v>
      </c>
      <c r="J932" s="6">
        <f>INDEX(FX!$B:$B,MATCH(H932,FX!$A:$A,0))</f>
        <v/>
      </c>
      <c r="K932" s="5">
        <f>I932*J932</f>
        <v/>
      </c>
      <c r="L932" s="4">
        <f>IF(U932&lt;&gt;"",U932,IF(K932&gt;=Umbrales!$B$2,"Legendaria",IF(K932&gt;=Umbrales!$B$3,"Épica",IF(K932&gt;=Umbrales!$B$4,"Rara",IF(K932&gt;=Umbrales!$B$5,"Poco común","Común")))))</f>
        <v/>
      </c>
      <c r="M932" s="5" t="n">
        <v>5302.199808</v>
      </c>
      <c r="N932" s="5" t="n">
        <v>788.499968</v>
      </c>
      <c r="O932" s="5">
        <f>IF(M932="","",M932*J932)</f>
        <v/>
      </c>
      <c r="P932" s="5">
        <f>IF(N932="","",N932*J932)</f>
        <v/>
      </c>
      <c r="Q932" s="7" t="n">
        <v>0.0155</v>
      </c>
      <c r="R932" s="8" t="n">
        <v>15.8247795</v>
      </c>
      <c r="S932" s="4" t="inlineStr">
        <is>
          <t>SP500</t>
        </is>
      </c>
      <c r="T932" s="9" t="inlineStr">
        <is>
          <t>SI</t>
        </is>
      </c>
      <c r="U932" s="9" t="inlineStr"/>
      <c r="V932" s="10">
        <f>Umbrales!$B$9*(K932/1000)^Umbrales!$B$10</f>
        <v/>
      </c>
    </row>
    <row r="933">
      <c r="A933" s="4" t="inlineStr">
        <is>
          <t>REC.MI</t>
        </is>
      </c>
      <c r="B933" s="4" t="inlineStr">
        <is>
          <t>Recordati Industria Chimica e Farmaceutica S.p.A.</t>
        </is>
      </c>
      <c r="C933" s="4" t="inlineStr">
        <is>
          <t>Italy</t>
        </is>
      </c>
      <c r="D933" s="4" t="inlineStr">
        <is>
          <t>IT</t>
        </is>
      </c>
      <c r="E933" s="4" t="inlineStr">
        <is>
          <t>Salud</t>
        </is>
      </c>
      <c r="F933" s="4" t="inlineStr">
        <is>
          <t>Drug Manufacturers - General</t>
        </is>
      </c>
      <c r="G933" s="4" t="inlineStr">
        <is>
          <t>MIL</t>
        </is>
      </c>
      <c r="H933" s="4" t="inlineStr">
        <is>
          <t>EUR</t>
        </is>
      </c>
      <c r="I933" s="5" t="n">
        <v>11024</v>
      </c>
      <c r="J933" s="6">
        <f>INDEX(FX!$B:$B,MATCH(H933,FX!$A:$A,0))</f>
        <v/>
      </c>
      <c r="K933" s="5">
        <f>I933*J933</f>
        <v/>
      </c>
      <c r="L933" s="4">
        <f>IF(U933&lt;&gt;"",U933,IF(K933&gt;=Umbrales!$B$2,"Legendaria",IF(K933&gt;=Umbrales!$B$3,"Épica",IF(K933&gt;=Umbrales!$B$4,"Rara",IF(K933&gt;=Umbrales!$B$5,"Poco común","Común")))))</f>
        <v/>
      </c>
      <c r="M933" s="5" t="n">
        <v>2705.319936</v>
      </c>
      <c r="N933" s="5" t="n">
        <v>497.176992</v>
      </c>
      <c r="O933" s="5">
        <f>IF(M933="","",M933*J933)</f>
        <v/>
      </c>
      <c r="P933" s="5">
        <f>IF(N933="","",N933*J933)</f>
        <v/>
      </c>
      <c r="Q933" s="7" t="n">
        <v>0.0268</v>
      </c>
      <c r="R933" s="8" t="n">
        <v>22.268906</v>
      </c>
      <c r="S933" s="4" t="inlineStr">
        <is>
          <t>FTSEMIB</t>
        </is>
      </c>
      <c r="T933" s="9" t="inlineStr">
        <is>
          <t>SI</t>
        </is>
      </c>
      <c r="U933" s="9" t="inlineStr"/>
      <c r="V933" s="10">
        <f>Umbrales!$B$9*(K933/1000)^Umbrales!$B$10</f>
        <v/>
      </c>
    </row>
    <row r="934">
      <c r="A934" s="4" t="inlineStr">
        <is>
          <t>AGN.AS</t>
        </is>
      </c>
      <c r="B934" s="4" t="inlineStr">
        <is>
          <t>Aegon Ltd.</t>
        </is>
      </c>
      <c r="C934" s="4" t="inlineStr">
        <is>
          <t>Netherlands</t>
        </is>
      </c>
      <c r="D934" s="4" t="inlineStr">
        <is>
          <t>NL</t>
        </is>
      </c>
      <c r="E934" s="4" t="inlineStr">
        <is>
          <t>Finanzas</t>
        </is>
      </c>
      <c r="F934" s="4" t="inlineStr">
        <is>
          <t>Insurance - Diversified</t>
        </is>
      </c>
      <c r="G934" s="4" t="inlineStr">
        <is>
          <t>AMS</t>
        </is>
      </c>
      <c r="H934" s="4" t="inlineStr">
        <is>
          <t>EUR</t>
        </is>
      </c>
      <c r="I934" s="5" t="n">
        <v>11022.969856</v>
      </c>
      <c r="J934" s="6">
        <f>INDEX(FX!$B:$B,MATCH(H934,FX!$A:$A,0))</f>
        <v/>
      </c>
      <c r="K934" s="5">
        <f>I934*J934</f>
        <v/>
      </c>
      <c r="L934" s="4">
        <f>IF(U934&lt;&gt;"",U934,IF(K934&gt;=Umbrales!$B$2,"Legendaria",IF(K934&gt;=Umbrales!$B$3,"Épica",IF(K934&gt;=Umbrales!$B$4,"Rara",IF(K934&gt;=Umbrales!$B$5,"Poco común","Común")))))</f>
        <v/>
      </c>
      <c r="M934" s="5" t="n">
        <v>11680</v>
      </c>
      <c r="N934" s="5" t="n">
        <v>970</v>
      </c>
      <c r="O934" s="5">
        <f>IF(M934="","",M934*J934)</f>
        <v/>
      </c>
      <c r="P934" s="5">
        <f>IF(N934="","",N934*J934)</f>
        <v/>
      </c>
      <c r="Q934" s="7" t="n">
        <v>0.0559</v>
      </c>
      <c r="R934" s="8" t="n">
        <v>12.62373</v>
      </c>
      <c r="S934" s="4" t="inlineStr">
        <is>
          <t>AEX</t>
        </is>
      </c>
      <c r="T934" s="9" t="inlineStr">
        <is>
          <t>SI</t>
        </is>
      </c>
      <c r="U934" s="9" t="inlineStr"/>
      <c r="V934" s="10">
        <f>Umbrales!$B$9*(K934/1000)^Umbrales!$B$10</f>
        <v/>
      </c>
    </row>
    <row r="935">
      <c r="A935" s="4" t="inlineStr">
        <is>
          <t>PNW</t>
        </is>
      </c>
      <c r="B935" s="4" t="inlineStr">
        <is>
          <t>Pinnacle West Capital Corporation</t>
        </is>
      </c>
      <c r="C935" s="4" t="inlineStr">
        <is>
          <t>United States</t>
        </is>
      </c>
      <c r="D935" s="4" t="inlineStr">
        <is>
          <t>US</t>
        </is>
      </c>
      <c r="E935" s="4" t="inlineStr">
        <is>
          <t>Servicios públicos</t>
        </is>
      </c>
      <c r="F935" s="4" t="inlineStr">
        <is>
          <t>Utilities - Regulated Electric</t>
        </is>
      </c>
      <c r="G935" s="4" t="inlineStr">
        <is>
          <t>NYQ</t>
        </is>
      </c>
      <c r="H935" s="4" t="inlineStr">
        <is>
          <t>USD</t>
        </is>
      </c>
      <c r="I935" s="5" t="n">
        <v>12323.334144</v>
      </c>
      <c r="J935" s="6">
        <f>INDEX(FX!$B:$B,MATCH(H935,FX!$A:$A,0))</f>
        <v/>
      </c>
      <c r="K935" s="5">
        <f>I935*J935</f>
        <v/>
      </c>
      <c r="L935" s="4">
        <f>IF(U935&lt;&gt;"",U935,IF(K935&gt;=Umbrales!$B$2,"Legendaria",IF(K935&gt;=Umbrales!$B$3,"Épica",IF(K935&gt;=Umbrales!$B$4,"Rara",IF(K935&gt;=Umbrales!$B$5,"Poco común","Común")))))</f>
        <v/>
      </c>
      <c r="M935" s="5" t="n">
        <v>5554.253824</v>
      </c>
      <c r="N935" s="5" t="n">
        <v>640.105024</v>
      </c>
      <c r="O935" s="5">
        <f>IF(M935="","",M935*J935)</f>
        <v/>
      </c>
      <c r="P935" s="5">
        <f>IF(N935="","",N935*J935)</f>
        <v/>
      </c>
      <c r="Q935" s="7" t="n">
        <v>0.0358</v>
      </c>
      <c r="R935" s="8" t="n">
        <v>19.441683</v>
      </c>
      <c r="S935" s="4" t="inlineStr">
        <is>
          <t>SP500</t>
        </is>
      </c>
      <c r="T935" s="9" t="inlineStr">
        <is>
          <t>SI</t>
        </is>
      </c>
      <c r="U935" s="9" t="inlineStr"/>
      <c r="V935" s="10">
        <f>Umbrales!$B$9*(K935/1000)^Umbrales!$B$10</f>
        <v/>
      </c>
    </row>
    <row r="936">
      <c r="A936" s="4" t="inlineStr">
        <is>
          <t>IDR.MC</t>
        </is>
      </c>
      <c r="B936" s="4" t="inlineStr">
        <is>
          <t>Indra Sistemas, S.A.</t>
        </is>
      </c>
      <c r="C936" s="4" t="inlineStr">
        <is>
          <t>Spain</t>
        </is>
      </c>
      <c r="D936" s="4" t="inlineStr">
        <is>
          <t>ES</t>
        </is>
      </c>
      <c r="E936" s="4" t="inlineStr">
        <is>
          <t>Tecnología</t>
        </is>
      </c>
      <c r="F936" s="4" t="inlineStr">
        <is>
          <t>Information Technology Services</t>
        </is>
      </c>
      <c r="G936" s="4" t="inlineStr">
        <is>
          <t>MCE</t>
        </is>
      </c>
      <c r="H936" s="4" t="inlineStr">
        <is>
          <t>EUR</t>
        </is>
      </c>
      <c r="I936" s="5" t="n">
        <v>10987.589632</v>
      </c>
      <c r="J936" s="6">
        <f>INDEX(FX!$B:$B,MATCH(H936,FX!$A:$A,0))</f>
        <v/>
      </c>
      <c r="K936" s="5">
        <f>I936*J936</f>
        <v/>
      </c>
      <c r="L936" s="4">
        <f>IF(U936&lt;&gt;"",U936,IF(K936&gt;=Umbrales!$B$2,"Legendaria",IF(K936&gt;=Umbrales!$B$3,"Épica",IF(K936&gt;=Umbrales!$B$4,"Rara",IF(K936&gt;=Umbrales!$B$5,"Poco común","Común")))))</f>
        <v/>
      </c>
      <c r="M936" s="5" t="n">
        <v>6340.870144</v>
      </c>
      <c r="N936" s="5" t="n">
        <v>440.404992</v>
      </c>
      <c r="O936" s="5">
        <f>IF(M936="","",M936*J936)</f>
        <v/>
      </c>
      <c r="P936" s="5">
        <f>IF(N936="","",N936*J936)</f>
        <v/>
      </c>
      <c r="Q936" s="7" t="n">
        <v>0.0048</v>
      </c>
      <c r="R936" s="8" t="n">
        <v>21.573883</v>
      </c>
      <c r="S936" s="4" t="inlineStr">
        <is>
          <t>IBEX35</t>
        </is>
      </c>
      <c r="T936" s="9" t="inlineStr">
        <is>
          <t>SI</t>
        </is>
      </c>
      <c r="U936" s="9" t="inlineStr"/>
      <c r="V936" s="10">
        <f>Umbrales!$B$9*(K936/1000)^Umbrales!$B$10</f>
        <v/>
      </c>
    </row>
    <row r="937">
      <c r="A937" s="4" t="inlineStr">
        <is>
          <t>IVZ</t>
        </is>
      </c>
      <c r="B937" s="4" t="inlineStr">
        <is>
          <t>Invesco Ltd.</t>
        </is>
      </c>
      <c r="C937" s="4" t="inlineStr">
        <is>
          <t>United States</t>
        </is>
      </c>
      <c r="D937" s="4" t="inlineStr">
        <is>
          <t>US</t>
        </is>
      </c>
      <c r="E937" s="4" t="inlineStr">
        <is>
          <t>Finanzas</t>
        </is>
      </c>
      <c r="F937" s="4" t="inlineStr">
        <is>
          <t>Asset Management</t>
        </is>
      </c>
      <c r="G937" s="4" t="inlineStr">
        <is>
          <t>NYQ</t>
        </is>
      </c>
      <c r="H937" s="4" t="inlineStr">
        <is>
          <t>USD</t>
        </is>
      </c>
      <c r="I937" s="5" t="n">
        <v>12203.053056</v>
      </c>
      <c r="J937" s="6">
        <f>INDEX(FX!$B:$B,MATCH(H937,FX!$A:$A,0))</f>
        <v/>
      </c>
      <c r="K937" s="5">
        <f>I937*J937</f>
        <v/>
      </c>
      <c r="L937" s="4">
        <f>IF(U937&lt;&gt;"",U937,IF(K937&gt;=Umbrales!$B$2,"Legendaria",IF(K937&gt;=Umbrales!$B$3,"Épica",IF(K937&gt;=Umbrales!$B$4,"Rara",IF(K937&gt;=Umbrales!$B$5,"Poco común","Común")))))</f>
        <v/>
      </c>
      <c r="M937" s="5" t="n">
        <v>6902.49984</v>
      </c>
      <c r="N937" s="5" t="n">
        <v>-309.2</v>
      </c>
      <c r="O937" s="5">
        <f>IF(M937="","",M937*J937)</f>
        <v/>
      </c>
      <c r="P937" s="5">
        <f>IF(N937="","",N937*J937)</f>
        <v/>
      </c>
      <c r="Q937" s="7" t="n">
        <v>0.0297</v>
      </c>
      <c r="R937" s="8" t="n"/>
      <c r="S937" s="4" t="inlineStr">
        <is>
          <t>SP500</t>
        </is>
      </c>
      <c r="T937" s="9" t="inlineStr">
        <is>
          <t>SI</t>
        </is>
      </c>
      <c r="U937" s="9" t="inlineStr"/>
      <c r="V937" s="10">
        <f>Umbrales!$B$9*(K937/1000)^Umbrales!$B$10</f>
        <v/>
      </c>
    </row>
    <row r="938">
      <c r="A938" s="4" t="inlineStr">
        <is>
          <t>CSGP</t>
        </is>
      </c>
      <c r="B938" s="4" t="inlineStr">
        <is>
          <t>CoStar Group, Inc.</t>
        </is>
      </c>
      <c r="C938" s="4" t="inlineStr">
        <is>
          <t>United States</t>
        </is>
      </c>
      <c r="D938" s="4" t="inlineStr">
        <is>
          <t>US</t>
        </is>
      </c>
      <c r="E938" s="4" t="inlineStr">
        <is>
          <t>Inmobiliario</t>
        </is>
      </c>
      <c r="F938" s="4" t="inlineStr">
        <is>
          <t>Real Estate Services</t>
        </is>
      </c>
      <c r="G938" s="4" t="inlineStr">
        <is>
          <t>NMS</t>
        </is>
      </c>
      <c r="H938" s="4" t="inlineStr">
        <is>
          <t>USD</t>
        </is>
      </c>
      <c r="I938" s="5" t="n">
        <v>12200.500224</v>
      </c>
      <c r="J938" s="6">
        <f>INDEX(FX!$B:$B,MATCH(H938,FX!$A:$A,0))</f>
        <v/>
      </c>
      <c r="K938" s="5">
        <f>I938*J938</f>
        <v/>
      </c>
      <c r="L938" s="4">
        <f>IF(U938&lt;&gt;"",U938,IF(K938&gt;=Umbrales!$B$2,"Legendaria",IF(K938&gt;=Umbrales!$B$3,"Épica",IF(K938&gt;=Umbrales!$B$4,"Rara",IF(K938&gt;=Umbrales!$B$5,"Poco común","Común")))))</f>
        <v/>
      </c>
      <c r="M938" s="5" t="n">
        <v>3556</v>
      </c>
      <c r="N938" s="5" t="n">
        <v>74</v>
      </c>
      <c r="O938" s="5">
        <f>IF(M938="","",M938*J938)</f>
        <v/>
      </c>
      <c r="P938" s="5">
        <f>IF(N938="","",N938*J938)</f>
        <v/>
      </c>
      <c r="Q938" s="7" t="n">
        <v>0</v>
      </c>
      <c r="R938" s="8" t="n">
        <v>167.27777</v>
      </c>
      <c r="S938" s="4" t="inlineStr">
        <is>
          <t>NASDAQ100, SP500</t>
        </is>
      </c>
      <c r="T938" s="9" t="inlineStr">
        <is>
          <t>SI</t>
        </is>
      </c>
      <c r="U938" s="9" t="inlineStr"/>
      <c r="V938" s="10">
        <f>Umbrales!$B$9*(K938/1000)^Umbrales!$B$10</f>
        <v/>
      </c>
    </row>
    <row r="939">
      <c r="A939" s="4" t="inlineStr">
        <is>
          <t>PUIG.MC</t>
        </is>
      </c>
      <c r="B939" s="4" t="inlineStr">
        <is>
          <t>Puig Brands, S.A.</t>
        </is>
      </c>
      <c r="C939" s="4" t="inlineStr">
        <is>
          <t>Spain</t>
        </is>
      </c>
      <c r="D939" s="4" t="inlineStr">
        <is>
          <t>ES</t>
        </is>
      </c>
      <c r="E939" s="4" t="inlineStr">
        <is>
          <t>Consumo básico</t>
        </is>
      </c>
      <c r="F939" s="4" t="inlineStr">
        <is>
          <t>Household &amp; Personal Products</t>
        </is>
      </c>
      <c r="G939" s="4" t="inlineStr">
        <is>
          <t>MCE</t>
        </is>
      </c>
      <c r="H939" s="4" t="inlineStr">
        <is>
          <t>EUR</t>
        </is>
      </c>
      <c r="I939" s="5" t="n">
        <v>10877.169664</v>
      </c>
      <c r="J939" s="6">
        <f>INDEX(FX!$B:$B,MATCH(H939,FX!$A:$A,0))</f>
        <v/>
      </c>
      <c r="K939" s="5">
        <f>I939*J939</f>
        <v/>
      </c>
      <c r="L939" s="4">
        <f>IF(U939&lt;&gt;"",U939,IF(K939&gt;=Umbrales!$B$2,"Legendaria",IF(K939&gt;=Umbrales!$B$3,"Épica",IF(K939&gt;=Umbrales!$B$4,"Rara",IF(K939&gt;=Umbrales!$B$5,"Poco común","Común")))))</f>
        <v/>
      </c>
      <c r="M939" s="5" t="n">
        <v>5096.397824</v>
      </c>
      <c r="N939" s="5" t="n">
        <v>581.502976</v>
      </c>
      <c r="O939" s="5">
        <f>IF(M939="","",M939*J939)</f>
        <v/>
      </c>
      <c r="P939" s="5">
        <f>IF(N939="","",N939*J939)</f>
        <v/>
      </c>
      <c r="Q939" s="7" t="n">
        <v>0.0219</v>
      </c>
      <c r="R939" s="8" t="n">
        <v>19.50505</v>
      </c>
      <c r="S939" s="4" t="inlineStr">
        <is>
          <t>IBEX35</t>
        </is>
      </c>
      <c r="T939" s="9" t="inlineStr">
        <is>
          <t>SI</t>
        </is>
      </c>
      <c r="U939" s="9" t="inlineStr"/>
      <c r="V939" s="10">
        <f>Umbrales!$B$9*(K939/1000)^Umbrales!$B$10</f>
        <v/>
      </c>
    </row>
    <row r="940">
      <c r="A940" s="4" t="inlineStr">
        <is>
          <t>SKF-B.ST</t>
        </is>
      </c>
      <c r="B940" s="4" t="inlineStr">
        <is>
          <t>AB SKF (publ)</t>
        </is>
      </c>
      <c r="C940" s="4" t="inlineStr">
        <is>
          <t>Sweden</t>
        </is>
      </c>
      <c r="D940" s="4" t="inlineStr">
        <is>
          <t>SE</t>
        </is>
      </c>
      <c r="E940" s="4" t="inlineStr">
        <is>
          <t>Industria</t>
        </is>
      </c>
      <c r="F940" s="4" t="inlineStr">
        <is>
          <t>Tools &amp; Accessories</t>
        </is>
      </c>
      <c r="G940" s="4" t="inlineStr">
        <is>
          <t>STO</t>
        </is>
      </c>
      <c r="H940" s="4" t="inlineStr">
        <is>
          <t>SEK</t>
        </is>
      </c>
      <c r="I940" s="5" t="n">
        <v>120713.568256</v>
      </c>
      <c r="J940" s="6">
        <f>INDEX(FX!$B:$B,MATCH(H940,FX!$A:$A,0))</f>
        <v/>
      </c>
      <c r="K940" s="5">
        <f>I940*J940</f>
        <v/>
      </c>
      <c r="L940" s="4">
        <f>IF(U940&lt;&gt;"",U940,IF(K940&gt;=Umbrales!$B$2,"Legendaria",IF(K940&gt;=Umbrales!$B$3,"Épica",IF(K940&gt;=Umbrales!$B$4,"Rara",IF(K940&gt;=Umbrales!$B$5,"Poco común","Común")))))</f>
        <v/>
      </c>
      <c r="M940" s="5" t="n">
        <v>89518.997504</v>
      </c>
      <c r="N940" s="5" t="n">
        <v>4504.999936</v>
      </c>
      <c r="O940" s="5">
        <f>IF(M940="","",M940*J940)</f>
        <v/>
      </c>
      <c r="P940" s="5">
        <f>IF(N940="","",N940*J940)</f>
        <v/>
      </c>
      <c r="Q940" s="7" t="n">
        <v>0.0146</v>
      </c>
      <c r="R940" s="8" t="n">
        <v>27.245634</v>
      </c>
      <c r="S940" s="4" t="inlineStr">
        <is>
          <t>OMXS30</t>
        </is>
      </c>
      <c r="T940" s="9" t="inlineStr">
        <is>
          <t>SI</t>
        </is>
      </c>
      <c r="U940" s="9" t="inlineStr"/>
      <c r="V940" s="10">
        <f>Umbrales!$B$9*(K940/1000)^Umbrales!$B$10</f>
        <v/>
      </c>
    </row>
    <row r="941">
      <c r="A941" s="4" t="inlineStr">
        <is>
          <t>SOL.AX</t>
        </is>
      </c>
      <c r="B941" s="4" t="inlineStr">
        <is>
          <t>Washington H. Soul Pattinson and Company Limited</t>
        </is>
      </c>
      <c r="C941" s="4" t="inlineStr">
        <is>
          <t>Australia</t>
        </is>
      </c>
      <c r="D941" s="4" t="inlineStr">
        <is>
          <t>AU</t>
        </is>
      </c>
      <c r="E941" s="4" t="inlineStr">
        <is>
          <t>Finanzas</t>
        </is>
      </c>
      <c r="F941" s="4" t="inlineStr">
        <is>
          <t>Capital Markets</t>
        </is>
      </c>
      <c r="G941" s="4" t="inlineStr">
        <is>
          <t>ASX</t>
        </is>
      </c>
      <c r="H941" s="4" t="inlineStr">
        <is>
          <t>AUD</t>
        </is>
      </c>
      <c r="I941" s="5" t="n">
        <v>17491.503104</v>
      </c>
      <c r="J941" s="6">
        <f>INDEX(FX!$B:$B,MATCH(H941,FX!$A:$A,0))</f>
        <v/>
      </c>
      <c r="K941" s="5">
        <f>I941*J941</f>
        <v/>
      </c>
      <c r="L941" s="4">
        <f>IF(U941&lt;&gt;"",U941,IF(K941&gt;=Umbrales!$B$2,"Legendaria",IF(K941&gt;=Umbrales!$B$3,"Épica",IF(K941&gt;=Umbrales!$B$4,"Rara",IF(K941&gt;=Umbrales!$B$5,"Poco común","Común")))))</f>
        <v/>
      </c>
      <c r="M941" s="5" t="n">
        <v>2948.999936</v>
      </c>
      <c r="N941" s="5" t="n">
        <v>2191.000064</v>
      </c>
      <c r="O941" s="5">
        <f>IF(M941="","",M941*J941)</f>
        <v/>
      </c>
      <c r="P941" s="5">
        <f>IF(N941="","",N941*J941)</f>
        <v/>
      </c>
      <c r="Q941" s="7" t="n">
        <v>0.0243</v>
      </c>
      <c r="R941" s="8" t="n">
        <v>7.777027</v>
      </c>
      <c r="S941" s="4" t="inlineStr">
        <is>
          <t>ASX50</t>
        </is>
      </c>
      <c r="T941" s="9" t="inlineStr">
        <is>
          <t>SI</t>
        </is>
      </c>
      <c r="U941" s="9" t="inlineStr"/>
      <c r="V941" s="10">
        <f>Umbrales!$B$9*(K941/1000)^Umbrales!$B$10</f>
        <v/>
      </c>
    </row>
    <row r="942">
      <c r="A942" s="4" t="inlineStr">
        <is>
          <t>SN.L</t>
        </is>
      </c>
      <c r="B942" s="4" t="inlineStr">
        <is>
          <t>Smith &amp; Nephew plc</t>
        </is>
      </c>
      <c r="C942" s="4" t="inlineStr">
        <is>
          <t>United Kingdom</t>
        </is>
      </c>
      <c r="D942" s="4" t="inlineStr">
        <is>
          <t>GB</t>
        </is>
      </c>
      <c r="E942" s="4" t="inlineStr">
        <is>
          <t>Salud</t>
        </is>
      </c>
      <c r="F942" s="4" t="inlineStr">
        <is>
          <t>Medical Devices</t>
        </is>
      </c>
      <c r="G942" s="4" t="inlineStr">
        <is>
          <t>LSE</t>
        </is>
      </c>
      <c r="H942" s="4" t="inlineStr">
        <is>
          <t>GBP</t>
        </is>
      </c>
      <c r="I942" s="5" t="n">
        <v>9090.172928</v>
      </c>
      <c r="J942" s="6">
        <f>INDEX(FX!$B:$B,MATCH(H942,FX!$A:$A,0))</f>
        <v/>
      </c>
      <c r="K942" s="5">
        <f>I942*J942</f>
        <v/>
      </c>
      <c r="L942" s="4">
        <f>IF(U942&lt;&gt;"",U942,IF(K942&gt;=Umbrales!$B$2,"Legendaria",IF(K942&gt;=Umbrales!$B$3,"Épica",IF(K942&gt;=Umbrales!$B$4,"Rara",IF(K942&gt;=Umbrales!$B$5,"Poco común","Común")))))</f>
        <v/>
      </c>
      <c r="M942" s="5" t="n">
        <v>6300.000256</v>
      </c>
      <c r="N942" s="5" t="n">
        <v>635</v>
      </c>
      <c r="O942" s="5">
        <f>IF(M942="","",M942*J942)</f>
        <v/>
      </c>
      <c r="P942" s="5">
        <f>IF(N942="","",N942*J942)</f>
        <v/>
      </c>
      <c r="Q942" s="7" t="n">
        <v>0.0282</v>
      </c>
      <c r="R942" s="8" t="n">
        <v>19.745453</v>
      </c>
      <c r="S942" s="4" t="inlineStr">
        <is>
          <t>FTSE100</t>
        </is>
      </c>
      <c r="T942" s="9" t="inlineStr">
        <is>
          <t>SI</t>
        </is>
      </c>
      <c r="U942" s="9" t="inlineStr"/>
      <c r="V942" s="10">
        <f>Umbrales!$B$9*(K942/1000)^Umbrales!$B$10</f>
        <v/>
      </c>
    </row>
    <row r="943">
      <c r="A943" s="4" t="inlineStr">
        <is>
          <t>ITRK.L</t>
        </is>
      </c>
      <c r="B943" s="4" t="inlineStr">
        <is>
          <t>Intertek Group plc</t>
        </is>
      </c>
      <c r="C943" s="4" t="inlineStr">
        <is>
          <t>United Kingdom</t>
        </is>
      </c>
      <c r="D943" s="4" t="inlineStr">
        <is>
          <t>GB</t>
        </is>
      </c>
      <c r="E943" s="4" t="inlineStr">
        <is>
          <t>Industria</t>
        </is>
      </c>
      <c r="F943" s="4" t="inlineStr">
        <is>
          <t>Specialty Business Services</t>
        </is>
      </c>
      <c r="G943" s="4" t="inlineStr">
        <is>
          <t>LSE</t>
        </is>
      </c>
      <c r="H943" s="4" t="inlineStr">
        <is>
          <t>GBP</t>
        </is>
      </c>
      <c r="I943" s="5" t="n">
        <v>9079.300096000001</v>
      </c>
      <c r="J943" s="6">
        <f>INDEX(FX!$B:$B,MATCH(H943,FX!$A:$A,0))</f>
        <v/>
      </c>
      <c r="K943" s="5">
        <f>I943*J943</f>
        <v/>
      </c>
      <c r="L943" s="4">
        <f>IF(U943&lt;&gt;"",U943,IF(K943&gt;=Umbrales!$B$2,"Legendaria",IF(K943&gt;=Umbrales!$B$3,"Épica",IF(K943&gt;=Umbrales!$B$4,"Rara",IF(K943&gt;=Umbrales!$B$5,"Poco común","Común")))))</f>
        <v/>
      </c>
      <c r="M943" s="5" t="n">
        <v>3530.200064</v>
      </c>
      <c r="N943" s="5" t="n">
        <v>320.1</v>
      </c>
      <c r="O943" s="5">
        <f>IF(M943="","",M943*J943)</f>
        <v/>
      </c>
      <c r="P943" s="5">
        <f>IF(N943="","",N943*J943)</f>
        <v/>
      </c>
      <c r="Q943" s="7" t="n">
        <v>0.0279</v>
      </c>
      <c r="R943" s="8" t="n">
        <v>28.85366</v>
      </c>
      <c r="S943" s="4" t="inlineStr">
        <is>
          <t>FTSE100</t>
        </is>
      </c>
      <c r="T943" s="9" t="inlineStr">
        <is>
          <t>SI</t>
        </is>
      </c>
      <c r="U943" s="9" t="inlineStr"/>
      <c r="V943" s="10">
        <f>Umbrales!$B$9*(K943/1000)^Umbrales!$B$10</f>
        <v/>
      </c>
    </row>
    <row r="944">
      <c r="A944" s="4" t="inlineStr">
        <is>
          <t>1177.HK</t>
        </is>
      </c>
      <c r="B944" s="4" t="inlineStr">
        <is>
          <t>Sino Biopharmaceutical Limited</t>
        </is>
      </c>
      <c r="C944" s="4" t="inlineStr">
        <is>
          <t>Hong Kong</t>
        </is>
      </c>
      <c r="D944" s="4" t="inlineStr">
        <is>
          <t>HK</t>
        </is>
      </c>
      <c r="E944" s="4" t="inlineStr">
        <is>
          <t>Salud</t>
        </is>
      </c>
      <c r="F944" s="4" t="inlineStr">
        <is>
          <t>Biotechnology</t>
        </is>
      </c>
      <c r="G944" s="4" t="inlineStr">
        <is>
          <t>HKG</t>
        </is>
      </c>
      <c r="H944" s="4" t="inlineStr">
        <is>
          <t>HKD</t>
        </is>
      </c>
      <c r="I944" s="5" t="n">
        <v>93819.45344</v>
      </c>
      <c r="J944" s="6">
        <f>INDEX(FX!$B:$B,MATCH(H944,FX!$A:$A,0))</f>
        <v/>
      </c>
      <c r="K944" s="5">
        <f>I944*J944</f>
        <v/>
      </c>
      <c r="L944" s="4">
        <f>IF(U944&lt;&gt;"",U944,IF(K944&gt;=Umbrales!$B$2,"Legendaria",IF(K944&gt;=Umbrales!$B$3,"Épica",IF(K944&gt;=Umbrales!$B$4,"Rara",IF(K944&gt;=Umbrales!$B$5,"Poco común","Común")))))</f>
        <v/>
      </c>
      <c r="M944" s="5" t="n">
        <v>33704.073216</v>
      </c>
      <c r="N944" s="5" t="n">
        <v>2389.355008</v>
      </c>
      <c r="O944" s="5">
        <f>IF(M944="","",M944*J944)</f>
        <v/>
      </c>
      <c r="P944" s="5">
        <f>IF(N944="","",N944*J944)</f>
        <v/>
      </c>
      <c r="Q944" s="7" t="n">
        <v>0.0271</v>
      </c>
      <c r="R944" s="8" t="n">
        <v>35.13333</v>
      </c>
      <c r="S944" s="4" t="inlineStr">
        <is>
          <t>HANGSENG</t>
        </is>
      </c>
      <c r="T944" s="9" t="inlineStr">
        <is>
          <t>SI</t>
        </is>
      </c>
      <c r="U944" s="9" t="inlineStr"/>
      <c r="V944" s="10">
        <f>Umbrales!$B$9*(K944/1000)^Umbrales!$B$10</f>
        <v/>
      </c>
    </row>
    <row r="945">
      <c r="A945" s="4" t="inlineStr">
        <is>
          <t>APOLLOHOSP.NS</t>
        </is>
      </c>
      <c r="B945" s="4" t="inlineStr">
        <is>
          <t>Apollo Hospitals Enterprise Limited</t>
        </is>
      </c>
      <c r="C945" s="4" t="inlineStr">
        <is>
          <t>India</t>
        </is>
      </c>
      <c r="D945" s="4" t="inlineStr">
        <is>
          <t>IN</t>
        </is>
      </c>
      <c r="E945" s="4" t="inlineStr">
        <is>
          <t>Salud</t>
        </is>
      </c>
      <c r="F945" s="4" t="inlineStr">
        <is>
          <t>Medical Care Facilities</t>
        </is>
      </c>
      <c r="G945" s="4" t="inlineStr">
        <is>
          <t>NSI</t>
        </is>
      </c>
      <c r="H945" s="4" t="inlineStr">
        <is>
          <t>INR</t>
        </is>
      </c>
      <c r="I945" s="5" t="n">
        <v>1134389.100544</v>
      </c>
      <c r="J945" s="6">
        <f>INDEX(FX!$B:$B,MATCH(H945,FX!$A:$A,0))</f>
        <v/>
      </c>
      <c r="K945" s="5">
        <f>I945*J945</f>
        <v/>
      </c>
      <c r="L945" s="4">
        <f>IF(U945&lt;&gt;"",U945,IF(K945&gt;=Umbrales!$B$2,"Legendaria",IF(K945&gt;=Umbrales!$B$3,"Épica",IF(K945&gt;=Umbrales!$B$4,"Rara",IF(K945&gt;=Umbrales!$B$5,"Poco común","Común")))))</f>
        <v/>
      </c>
      <c r="M945" s="5" t="n">
        <v>264299.003904</v>
      </c>
      <c r="N945" s="5" t="n">
        <v>20896</v>
      </c>
      <c r="O945" s="5">
        <f>IF(M945="","",M945*J945)</f>
        <v/>
      </c>
      <c r="P945" s="5">
        <f>IF(N945="","",N945*J945)</f>
        <v/>
      </c>
      <c r="Q945" s="7" t="n">
        <v>0.0026</v>
      </c>
      <c r="R945" s="8" t="n">
        <v>54.312958</v>
      </c>
      <c r="S945" s="4" t="inlineStr">
        <is>
          <t>NIFTY50</t>
        </is>
      </c>
      <c r="T945" s="9" t="inlineStr">
        <is>
          <t>SI</t>
        </is>
      </c>
      <c r="U945" s="9" t="inlineStr"/>
      <c r="V945" s="10">
        <f>Umbrales!$B$9*(K945/1000)^Umbrales!$B$10</f>
        <v/>
      </c>
    </row>
    <row r="946">
      <c r="A946" s="4" t="inlineStr">
        <is>
          <t>DVA</t>
        </is>
      </c>
      <c r="B946" s="4" t="inlineStr">
        <is>
          <t>DaVita Inc.</t>
        </is>
      </c>
      <c r="C946" s="4" t="inlineStr">
        <is>
          <t>United States</t>
        </is>
      </c>
      <c r="D946" s="4" t="inlineStr">
        <is>
          <t>US</t>
        </is>
      </c>
      <c r="E946" s="4" t="inlineStr">
        <is>
          <t>Salud</t>
        </is>
      </c>
      <c r="F946" s="4" t="inlineStr">
        <is>
          <t>Medical Care Facilities</t>
        </is>
      </c>
      <c r="G946" s="4" t="inlineStr">
        <is>
          <t>NYQ</t>
        </is>
      </c>
      <c r="H946" s="4" t="inlineStr">
        <is>
          <t>USD</t>
        </is>
      </c>
      <c r="I946" s="5" t="n">
        <v>11897.331712</v>
      </c>
      <c r="J946" s="6">
        <f>INDEX(FX!$B:$B,MATCH(H946,FX!$A:$A,0))</f>
        <v/>
      </c>
      <c r="K946" s="5">
        <f>I946*J946</f>
        <v/>
      </c>
      <c r="L946" s="4">
        <f>IF(U946&lt;&gt;"",U946,IF(K946&gt;=Umbrales!$B$2,"Legendaria",IF(K946&gt;=Umbrales!$B$3,"Épica",IF(K946&gt;=Umbrales!$B$4,"Rara",IF(K946&gt;=Umbrales!$B$5,"Poco común","Común")))))</f>
        <v/>
      </c>
      <c r="M946" s="5" t="n">
        <v>14009.64608</v>
      </c>
      <c r="N946" s="5" t="n">
        <v>822.476032</v>
      </c>
      <c r="O946" s="5">
        <f>IF(M946="","",M946*J946)</f>
        <v/>
      </c>
      <c r="P946" s="5">
        <f>IF(N946="","",N946*J946)</f>
        <v/>
      </c>
      <c r="Q946" s="7" t="n">
        <v>0</v>
      </c>
      <c r="R946" s="8" t="n">
        <v>15.775319</v>
      </c>
      <c r="S946" s="4" t="inlineStr">
        <is>
          <t>SP500</t>
        </is>
      </c>
      <c r="T946" s="9" t="inlineStr">
        <is>
          <t>SI</t>
        </is>
      </c>
      <c r="U946" s="9" t="inlineStr"/>
      <c r="V946" s="10">
        <f>Umbrales!$B$9*(K946/1000)^Umbrales!$B$10</f>
        <v/>
      </c>
    </row>
    <row r="947">
      <c r="A947" s="4" t="inlineStr">
        <is>
          <t>SDLF.L</t>
        </is>
      </c>
      <c r="B947" s="4" t="inlineStr">
        <is>
          <t>Standard Life plc</t>
        </is>
      </c>
      <c r="C947" s="4" t="inlineStr">
        <is>
          <t>United Kingdom</t>
        </is>
      </c>
      <c r="D947" s="4" t="inlineStr">
        <is>
          <t>GB</t>
        </is>
      </c>
      <c r="E947" s="4" t="inlineStr">
        <is>
          <t>Finanzas</t>
        </is>
      </c>
      <c r="F947" s="4" t="inlineStr">
        <is>
          <t>Insurance - Life</t>
        </is>
      </c>
      <c r="G947" s="4" t="inlineStr">
        <is>
          <t>LSE</t>
        </is>
      </c>
      <c r="H947" s="4" t="inlineStr">
        <is>
          <t>GBP</t>
        </is>
      </c>
      <c r="I947" s="5" t="n">
        <v>8960.115712000001</v>
      </c>
      <c r="J947" s="6">
        <f>INDEX(FX!$B:$B,MATCH(H947,FX!$A:$A,0))</f>
        <v/>
      </c>
      <c r="K947" s="5">
        <f>I947*J947</f>
        <v/>
      </c>
      <c r="L947" s="4">
        <f>IF(U947&lt;&gt;"",U947,IF(K947&gt;=Umbrales!$B$2,"Legendaria",IF(K947&gt;=Umbrales!$B$3,"Épica",IF(K947&gt;=Umbrales!$B$4,"Rara",IF(K947&gt;=Umbrales!$B$5,"Poco común","Común")))))</f>
        <v/>
      </c>
      <c r="M947" s="5" t="n">
        <v>40498.999296</v>
      </c>
      <c r="N947" s="5" t="n">
        <v>-493</v>
      </c>
      <c r="O947" s="5">
        <f>IF(M947="","",M947*J947)</f>
        <v/>
      </c>
      <c r="P947" s="5">
        <f>IF(N947="","",N947*J947)</f>
        <v/>
      </c>
      <c r="Q947" s="7" t="n">
        <v>0.064</v>
      </c>
      <c r="R947" s="8" t="n"/>
      <c r="S947" s="4" t="inlineStr">
        <is>
          <t>FTSE100</t>
        </is>
      </c>
      <c r="T947" s="9" t="inlineStr">
        <is>
          <t>SI</t>
        </is>
      </c>
      <c r="U947" s="9" t="inlineStr"/>
      <c r="V947" s="10">
        <f>Umbrales!$B$9*(K947/1000)^Umbrales!$B$10</f>
        <v/>
      </c>
    </row>
    <row r="948">
      <c r="A948" s="4" t="inlineStr">
        <is>
          <t>BNZL.L</t>
        </is>
      </c>
      <c r="B948" s="4" t="inlineStr">
        <is>
          <t>Bunzl plc</t>
        </is>
      </c>
      <c r="C948" s="4" t="inlineStr">
        <is>
          <t>United Kingdom</t>
        </is>
      </c>
      <c r="D948" s="4" t="inlineStr">
        <is>
          <t>GB</t>
        </is>
      </c>
      <c r="E948" s="4" t="inlineStr">
        <is>
          <t>Consumo básico</t>
        </is>
      </c>
      <c r="F948" s="4" t="inlineStr">
        <is>
          <t>Food Distribution</t>
        </is>
      </c>
      <c r="G948" s="4" t="inlineStr">
        <is>
          <t>LSE</t>
        </is>
      </c>
      <c r="H948" s="4" t="inlineStr">
        <is>
          <t>GBP</t>
        </is>
      </c>
      <c r="I948" s="5" t="n">
        <v>8948.357120000001</v>
      </c>
      <c r="J948" s="6">
        <f>INDEX(FX!$B:$B,MATCH(H948,FX!$A:$A,0))</f>
        <v/>
      </c>
      <c r="K948" s="5">
        <f>I948*J948</f>
        <v/>
      </c>
      <c r="L948" s="4">
        <f>IF(U948&lt;&gt;"",U948,IF(K948&gt;=Umbrales!$B$2,"Legendaria",IF(K948&gt;=Umbrales!$B$3,"Épica",IF(K948&gt;=Umbrales!$B$4,"Rara",IF(K948&gt;=Umbrales!$B$5,"Poco común","Común")))))</f>
        <v/>
      </c>
      <c r="M948" s="5" t="n">
        <v>12018.899968</v>
      </c>
      <c r="N948" s="5" t="n">
        <v>488.6</v>
      </c>
      <c r="O948" s="5">
        <f>IF(M948="","",M948*J948)</f>
        <v/>
      </c>
      <c r="P948" s="5">
        <f>IF(N948="","",N948*J948)</f>
        <v/>
      </c>
      <c r="Q948" s="7" t="n">
        <v>0.0267</v>
      </c>
      <c r="R948" s="8" t="n">
        <v>18.900663</v>
      </c>
      <c r="S948" s="4" t="inlineStr">
        <is>
          <t>FTSE100</t>
        </is>
      </c>
      <c r="T948" s="9" t="inlineStr">
        <is>
          <t>SI</t>
        </is>
      </c>
      <c r="U948" s="9" t="inlineStr"/>
      <c r="V948" s="10">
        <f>Umbrales!$B$9*(K948/1000)^Umbrales!$B$10</f>
        <v/>
      </c>
    </row>
    <row r="949">
      <c r="A949" s="4" t="inlineStr">
        <is>
          <t>AC.PA</t>
        </is>
      </c>
      <c r="B949" s="4" t="inlineStr">
        <is>
          <t>Accor SA</t>
        </is>
      </c>
      <c r="C949" s="4" t="inlineStr">
        <is>
          <t>France</t>
        </is>
      </c>
      <c r="D949" s="4" t="inlineStr">
        <is>
          <t>FR</t>
        </is>
      </c>
      <c r="E949" s="4" t="inlineStr">
        <is>
          <t>Consumo cíclico</t>
        </is>
      </c>
      <c r="F949" s="4" t="inlineStr">
        <is>
          <t>Lodging</t>
        </is>
      </c>
      <c r="G949" s="4" t="inlineStr">
        <is>
          <t>PAR</t>
        </is>
      </c>
      <c r="H949" s="4" t="inlineStr">
        <is>
          <t>EUR</t>
        </is>
      </c>
      <c r="I949" s="5" t="n">
        <v>10556.99456</v>
      </c>
      <c r="J949" s="6">
        <f>INDEX(FX!$B:$B,MATCH(H949,FX!$A:$A,0))</f>
        <v/>
      </c>
      <c r="K949" s="5">
        <f>I949*J949</f>
        <v/>
      </c>
      <c r="L949" s="4">
        <f>IF(U949&lt;&gt;"",U949,IF(K949&gt;=Umbrales!$B$2,"Legendaria",IF(K949&gt;=Umbrales!$B$3,"Épica",IF(K949&gt;=Umbrales!$B$4,"Rara",IF(K949&gt;=Umbrales!$B$5,"Poco común","Común")))))</f>
        <v/>
      </c>
      <c r="M949" s="5" t="n">
        <v>5654.000128</v>
      </c>
      <c r="N949" s="5" t="n">
        <v>230</v>
      </c>
      <c r="O949" s="5">
        <f>IF(M949="","",M949*J949)</f>
        <v/>
      </c>
      <c r="P949" s="5">
        <f>IF(N949="","",N949*J949)</f>
        <v/>
      </c>
      <c r="Q949" s="7" t="n">
        <v>0.0298</v>
      </c>
      <c r="R949" s="8" t="n">
        <v>40.377193</v>
      </c>
      <c r="S949" s="4" t="inlineStr">
        <is>
          <t>CAC40</t>
        </is>
      </c>
      <c r="T949" s="9" t="inlineStr">
        <is>
          <t>SI</t>
        </is>
      </c>
      <c r="U949" s="9" t="inlineStr"/>
      <c r="V949" s="10">
        <f>Umbrales!$B$9*(K949/1000)^Umbrales!$B$10</f>
        <v/>
      </c>
    </row>
    <row r="950">
      <c r="A950" s="4" t="inlineStr">
        <is>
          <t>FME.DE</t>
        </is>
      </c>
      <c r="B950" s="4" t="inlineStr">
        <is>
          <t>Fresenius Medical Care AG</t>
        </is>
      </c>
      <c r="C950" s="4" t="inlineStr">
        <is>
          <t>Germany</t>
        </is>
      </c>
      <c r="D950" s="4" t="inlineStr">
        <is>
          <t>DE</t>
        </is>
      </c>
      <c r="E950" s="4" t="inlineStr">
        <is>
          <t>Salud</t>
        </is>
      </c>
      <c r="F950" s="4" t="inlineStr">
        <is>
          <t>Medical Care Facilities</t>
        </is>
      </c>
      <c r="G950" s="4" t="inlineStr">
        <is>
          <t>GER</t>
        </is>
      </c>
      <c r="H950" s="4" t="inlineStr">
        <is>
          <t>EUR</t>
        </is>
      </c>
      <c r="I950" s="5" t="n">
        <v>10551.90528</v>
      </c>
      <c r="J950" s="6">
        <f>INDEX(FX!$B:$B,MATCH(H950,FX!$A:$A,0))</f>
        <v/>
      </c>
      <c r="K950" s="5">
        <f>I950*J950</f>
        <v/>
      </c>
      <c r="L950" s="4">
        <f>IF(U950&lt;&gt;"",U950,IF(K950&gt;=Umbrales!$B$2,"Legendaria",IF(K950&gt;=Umbrales!$B$3,"Épica",IF(K950&gt;=Umbrales!$B$4,"Rara",IF(K950&gt;=Umbrales!$B$5,"Poco común","Común")))))</f>
        <v/>
      </c>
      <c r="M950" s="5" t="n">
        <v>19427.147776</v>
      </c>
      <c r="N950" s="5" t="n">
        <v>937.780992</v>
      </c>
      <c r="O950" s="5">
        <f>IF(M950="","",M950*J950)</f>
        <v/>
      </c>
      <c r="P950" s="5">
        <f>IF(N950="","",N950*J950)</f>
        <v/>
      </c>
      <c r="Q950" s="7" t="n">
        <v>0.0398</v>
      </c>
      <c r="R950" s="8" t="n">
        <v>11.693453</v>
      </c>
      <c r="S950" s="4" t="inlineStr">
        <is>
          <t>DAX40</t>
        </is>
      </c>
      <c r="T950" s="9" t="inlineStr">
        <is>
          <t>SI</t>
        </is>
      </c>
      <c r="U950" s="9" t="inlineStr"/>
      <c r="V950" s="10">
        <f>Umbrales!$B$9*(K950/1000)^Umbrales!$B$10</f>
        <v/>
      </c>
    </row>
    <row r="951">
      <c r="A951" s="4" t="inlineStr">
        <is>
          <t>PME.AX</t>
        </is>
      </c>
      <c r="B951" s="4" t="inlineStr">
        <is>
          <t>Pro Medicus Limited</t>
        </is>
      </c>
      <c r="C951" s="4" t="inlineStr">
        <is>
          <t>Australia</t>
        </is>
      </c>
      <c r="D951" s="4" t="inlineStr">
        <is>
          <t>AU</t>
        </is>
      </c>
      <c r="E951" s="4" t="inlineStr">
        <is>
          <t>Salud</t>
        </is>
      </c>
      <c r="F951" s="4" t="inlineStr">
        <is>
          <t>Health Information Services</t>
        </is>
      </c>
      <c r="G951" s="4" t="inlineStr">
        <is>
          <t>ASX</t>
        </is>
      </c>
      <c r="H951" s="4" t="inlineStr">
        <is>
          <t>AUD</t>
        </is>
      </c>
      <c r="I951" s="5" t="n">
        <v>17089.197056</v>
      </c>
      <c r="J951" s="6">
        <f>INDEX(FX!$B:$B,MATCH(H951,FX!$A:$A,0))</f>
        <v/>
      </c>
      <c r="K951" s="5">
        <f>I951*J951</f>
        <v/>
      </c>
      <c r="L951" s="4">
        <f>IF(U951&lt;&gt;"",U951,IF(K951&gt;=Umbrales!$B$2,"Legendaria",IF(K951&gt;=Umbrales!$B$3,"Épica",IF(K951&gt;=Umbrales!$B$4,"Rara",IF(K951&gt;=Umbrales!$B$5,"Poco común","Común")))))</f>
        <v/>
      </c>
      <c r="M951" s="5" t="n">
        <v>261.688</v>
      </c>
      <c r="N951" s="5" t="n">
        <v>265.344</v>
      </c>
      <c r="O951" s="5">
        <f>IF(M951="","",M951*J951)</f>
        <v/>
      </c>
      <c r="P951" s="5">
        <f>IF(N951="","",N951*J951)</f>
        <v/>
      </c>
      <c r="Q951" s="7" t="n">
        <v>0.0042</v>
      </c>
      <c r="R951" s="8" t="n">
        <v>64.65613</v>
      </c>
      <c r="S951" s="4" t="inlineStr">
        <is>
          <t>ASX50</t>
        </is>
      </c>
      <c r="T951" s="9" t="inlineStr">
        <is>
          <t>SI</t>
        </is>
      </c>
      <c r="U951" s="9" t="inlineStr"/>
      <c r="V951" s="10">
        <f>Umbrales!$B$9*(K951/1000)^Umbrales!$B$10</f>
        <v/>
      </c>
    </row>
    <row r="952">
      <c r="A952" s="4" t="inlineStr">
        <is>
          <t>1997.HK</t>
        </is>
      </c>
      <c r="B952" s="4" t="inlineStr">
        <is>
          <t>Wharf Real Estate Investment Company Limited</t>
        </is>
      </c>
      <c r="C952" s="4" t="inlineStr">
        <is>
          <t>Hong Kong</t>
        </is>
      </c>
      <c r="D952" s="4" t="inlineStr">
        <is>
          <t>HK</t>
        </is>
      </c>
      <c r="E952" s="4" t="inlineStr">
        <is>
          <t>Inmobiliario</t>
        </is>
      </c>
      <c r="F952" s="4" t="inlineStr">
        <is>
          <t>Real Estate Services</t>
        </is>
      </c>
      <c r="G952" s="4" t="inlineStr">
        <is>
          <t>HKG</t>
        </is>
      </c>
      <c r="H952" s="4" t="inlineStr">
        <is>
          <t>HKD</t>
        </is>
      </c>
      <c r="I952" s="5" t="n">
        <v>92544.20480000001</v>
      </c>
      <c r="J952" s="6">
        <f>INDEX(FX!$B:$B,MATCH(H952,FX!$A:$A,0))</f>
        <v/>
      </c>
      <c r="K952" s="5">
        <f>I952*J952</f>
        <v/>
      </c>
      <c r="L952" s="4">
        <f>IF(U952&lt;&gt;"",U952,IF(K952&gt;=Umbrales!$B$2,"Legendaria",IF(K952&gt;=Umbrales!$B$3,"Épica",IF(K952&gt;=Umbrales!$B$4,"Rara",IF(K952&gt;=Umbrales!$B$5,"Poco común","Común")))))</f>
        <v/>
      </c>
      <c r="M952" s="5" t="n">
        <v>12748.000256</v>
      </c>
      <c r="N952" s="5" t="n">
        <v>-2027.000064</v>
      </c>
      <c r="O952" s="5">
        <f>IF(M952="","",M952*J952)</f>
        <v/>
      </c>
      <c r="P952" s="5">
        <f>IF(N952="","",N952*J952)</f>
        <v/>
      </c>
      <c r="Q952" s="7" t="n">
        <v>0.0526</v>
      </c>
      <c r="R952" s="8" t="n"/>
      <c r="S952" s="4" t="inlineStr">
        <is>
          <t>HANGSENG</t>
        </is>
      </c>
      <c r="T952" s="9" t="inlineStr">
        <is>
          <t>SI</t>
        </is>
      </c>
      <c r="U952" s="9" t="inlineStr"/>
      <c r="V952" s="10">
        <f>Umbrales!$B$9*(K952/1000)^Umbrales!$B$10</f>
        <v/>
      </c>
    </row>
    <row r="953">
      <c r="A953" s="4" t="inlineStr">
        <is>
          <t>1928.HK</t>
        </is>
      </c>
      <c r="B953" s="4" t="inlineStr">
        <is>
          <t>Sands China Ltd.</t>
        </is>
      </c>
      <c r="C953" s="4" t="inlineStr">
        <is>
          <t>Macau</t>
        </is>
      </c>
      <c r="D953" s="4" t="inlineStr">
        <is>
          <t>MO</t>
        </is>
      </c>
      <c r="E953" s="4" t="inlineStr">
        <is>
          <t>Consumo cíclico</t>
        </is>
      </c>
      <c r="F953" s="4" t="inlineStr">
        <is>
          <t>Resorts &amp; Casinos</t>
        </is>
      </c>
      <c r="G953" s="4" t="inlineStr">
        <is>
          <t>HKG</t>
        </is>
      </c>
      <c r="H953" s="4" t="inlineStr">
        <is>
          <t>HKD</t>
        </is>
      </c>
      <c r="I953" s="5" t="n">
        <v>91455.193088</v>
      </c>
      <c r="J953" s="6">
        <f>INDEX(FX!$B:$B,MATCH(H953,FX!$A:$A,0))</f>
        <v/>
      </c>
      <c r="K953" s="5">
        <f>I953*J953</f>
        <v/>
      </c>
      <c r="L953" s="4">
        <f>IF(U953&lt;&gt;"",U953,IF(K953&gt;=Umbrales!$B$2,"Legendaria",IF(K953&gt;=Umbrales!$B$3,"Épica",IF(K953&gt;=Umbrales!$B$4,"Rara",IF(K953&gt;=Umbrales!$B$5,"Poco común","Común")))))</f>
        <v/>
      </c>
      <c r="M953" s="5" t="n">
        <v>7830.000128</v>
      </c>
      <c r="N953" s="5" t="n">
        <v>881</v>
      </c>
      <c r="O953" s="5">
        <f>IF(M953="","",M953*J953)</f>
        <v/>
      </c>
      <c r="P953" s="5">
        <f>IF(N953="","",N953*J953)</f>
        <v/>
      </c>
      <c r="Q953" s="7" t="n">
        <v>0.0886</v>
      </c>
      <c r="R953" s="8" t="n">
        <v>13.294118</v>
      </c>
      <c r="S953" s="4" t="inlineStr">
        <is>
          <t>HANGSENG</t>
        </is>
      </c>
      <c r="T953" s="9" t="inlineStr">
        <is>
          <t>SI</t>
        </is>
      </c>
      <c r="U953" s="9" t="inlineStr"/>
      <c r="V953" s="10">
        <f>Umbrales!$B$9*(K953/1000)^Umbrales!$B$10</f>
        <v/>
      </c>
    </row>
    <row r="954">
      <c r="A954" s="4" t="inlineStr">
        <is>
          <t>DECK</t>
        </is>
      </c>
      <c r="B954" s="4" t="inlineStr">
        <is>
          <t>Deckers Outdoor Corporation</t>
        </is>
      </c>
      <c r="C954" s="4" t="inlineStr">
        <is>
          <t>United States</t>
        </is>
      </c>
      <c r="D954" s="4" t="inlineStr">
        <is>
          <t>US</t>
        </is>
      </c>
      <c r="E954" s="4" t="inlineStr">
        <is>
          <t>Consumo cíclico</t>
        </is>
      </c>
      <c r="F954" s="4" t="inlineStr">
        <is>
          <t>Footwear &amp; Accessories</t>
        </is>
      </c>
      <c r="G954" s="4" t="inlineStr">
        <is>
          <t>NYQ</t>
        </is>
      </c>
      <c r="H954" s="4" t="inlineStr">
        <is>
          <t>USD</t>
        </is>
      </c>
      <c r="I954" s="5" t="n">
        <v>11634.016256</v>
      </c>
      <c r="J954" s="6">
        <f>INDEX(FX!$B:$B,MATCH(H954,FX!$A:$A,0))</f>
        <v/>
      </c>
      <c r="K954" s="5">
        <f>I954*J954</f>
        <v/>
      </c>
      <c r="L954" s="4">
        <f>IF(U954&lt;&gt;"",U954,IF(K954&gt;=Umbrales!$B$2,"Legendaria",IF(K954&gt;=Umbrales!$B$3,"Épica",IF(K954&gt;=Umbrales!$B$4,"Rara",IF(K954&gt;=Umbrales!$B$5,"Poco común","Común")))))</f>
        <v/>
      </c>
      <c r="M954" s="5" t="n">
        <v>5527.288832</v>
      </c>
      <c r="N954" s="5" t="n">
        <v>1014.84</v>
      </c>
      <c r="O954" s="5">
        <f>IF(M954="","",M954*J954)</f>
        <v/>
      </c>
      <c r="P954" s="5">
        <f>IF(N954="","",N954*J954)</f>
        <v/>
      </c>
      <c r="Q954" s="7" t="n">
        <v>0</v>
      </c>
      <c r="R954" s="8" t="n">
        <v>12.083451</v>
      </c>
      <c r="S954" s="4" t="inlineStr">
        <is>
          <t>SP500</t>
        </is>
      </c>
      <c r="T954" s="9" t="inlineStr">
        <is>
          <t>SI</t>
        </is>
      </c>
      <c r="U954" s="9" t="inlineStr"/>
      <c r="V954" s="10">
        <f>Umbrales!$B$9*(K954/1000)^Umbrales!$B$10</f>
        <v/>
      </c>
    </row>
    <row r="955">
      <c r="A955" s="4" t="inlineStr">
        <is>
          <t>CCL-B.TO</t>
        </is>
      </c>
      <c r="B955" s="4" t="inlineStr">
        <is>
          <t>CCL Industries Inc.</t>
        </is>
      </c>
      <c r="C955" s="4" t="inlineStr">
        <is>
          <t>Canada</t>
        </is>
      </c>
      <c r="D955" s="4" t="inlineStr">
        <is>
          <t>CA</t>
        </is>
      </c>
      <c r="E955" s="4" t="inlineStr">
        <is>
          <t>Consumo cíclico</t>
        </is>
      </c>
      <c r="F955" s="4" t="inlineStr">
        <is>
          <t>Packaging &amp; Containers</t>
        </is>
      </c>
      <c r="G955" s="4" t="inlineStr">
        <is>
          <t>TOR</t>
        </is>
      </c>
      <c r="H955" s="4" t="inlineStr">
        <is>
          <t>CAD</t>
        </is>
      </c>
      <c r="I955" s="5" t="n">
        <v>16461.264896</v>
      </c>
      <c r="J955" s="6">
        <f>INDEX(FX!$B:$B,MATCH(H955,FX!$A:$A,0))</f>
        <v/>
      </c>
      <c r="K955" s="5">
        <f>I955*J955</f>
        <v/>
      </c>
      <c r="L955" s="4">
        <f>IF(U955&lt;&gt;"",U955,IF(K955&gt;=Umbrales!$B$2,"Legendaria",IF(K955&gt;=Umbrales!$B$3,"Épica",IF(K955&gt;=Umbrales!$B$4,"Rara",IF(K955&gt;=Umbrales!$B$5,"Poco común","Común")))))</f>
        <v/>
      </c>
      <c r="M955" s="5" t="n">
        <v>7891.29984</v>
      </c>
      <c r="N955" s="5" t="n">
        <v>810.6</v>
      </c>
      <c r="O955" s="5">
        <f>IF(M955="","",M955*J955)</f>
        <v/>
      </c>
      <c r="P955" s="5">
        <f>IF(N955="","",N955*J955)</f>
        <v/>
      </c>
      <c r="Q955" s="7" t="n">
        <v>0.015</v>
      </c>
      <c r="R955" s="8" t="n">
        <v>20.894852</v>
      </c>
      <c r="S955" s="4" t="inlineStr">
        <is>
          <t>TSX60</t>
        </is>
      </c>
      <c r="T955" s="9" t="inlineStr">
        <is>
          <t>SI</t>
        </is>
      </c>
      <c r="U955" s="9" t="inlineStr"/>
      <c r="V955" s="10">
        <f>Umbrales!$B$9*(K955/1000)^Umbrales!$B$10</f>
        <v/>
      </c>
    </row>
    <row r="956">
      <c r="A956" s="4" t="inlineStr">
        <is>
          <t>ALB</t>
        </is>
      </c>
      <c r="B956" s="4" t="inlineStr">
        <is>
          <t>Albemarle Corporation</t>
        </is>
      </c>
      <c r="C956" s="4" t="inlineStr">
        <is>
          <t>United States</t>
        </is>
      </c>
      <c r="D956" s="4" t="inlineStr">
        <is>
          <t>US</t>
        </is>
      </c>
      <c r="E956" s="4" t="inlineStr">
        <is>
          <t>Materiales</t>
        </is>
      </c>
      <c r="F956" s="4" t="inlineStr">
        <is>
          <t>Specialty Chemicals</t>
        </is>
      </c>
      <c r="G956" s="4" t="inlineStr">
        <is>
          <t>NYQ</t>
        </is>
      </c>
      <c r="H956" s="4" t="inlineStr">
        <is>
          <t>USD</t>
        </is>
      </c>
      <c r="I956" s="5" t="n">
        <v>11539.714048</v>
      </c>
      <c r="J956" s="6">
        <f>INDEX(FX!$B:$B,MATCH(H956,FX!$A:$A,0))</f>
        <v/>
      </c>
      <c r="K956" s="5">
        <f>I956*J956</f>
        <v/>
      </c>
      <c r="L956" s="4">
        <f>IF(U956&lt;&gt;"",U956,IF(K956&gt;=Umbrales!$B$2,"Legendaria",IF(K956&gt;=Umbrales!$B$3,"Épica",IF(K956&gt;=Umbrales!$B$4,"Rara",IF(K956&gt;=Umbrales!$B$5,"Poco común","Común")))))</f>
        <v/>
      </c>
      <c r="M956" s="5" t="n">
        <v>5907.904</v>
      </c>
      <c r="N956" s="5" t="n">
        <v>57.427</v>
      </c>
      <c r="O956" s="5">
        <f>IF(M956="","",M956*J956)</f>
        <v/>
      </c>
      <c r="P956" s="5">
        <f>IF(N956="","",N956*J956)</f>
        <v/>
      </c>
      <c r="Q956" s="7" t="n">
        <v>0.0168</v>
      </c>
      <c r="R956" s="8" t="n">
        <v>362.18518</v>
      </c>
      <c r="S956" s="4" t="inlineStr">
        <is>
          <t>SP500</t>
        </is>
      </c>
      <c r="T956" s="9" t="inlineStr">
        <is>
          <t>SI</t>
        </is>
      </c>
      <c r="U956" s="9" t="inlineStr"/>
      <c r="V956" s="10">
        <f>Umbrales!$B$9*(K956/1000)^Umbrales!$B$10</f>
        <v/>
      </c>
    </row>
    <row r="957">
      <c r="A957" s="4" t="inlineStr">
        <is>
          <t>GNRC</t>
        </is>
      </c>
      <c r="B957" s="4" t="inlineStr">
        <is>
          <t>Generac Holdings Inc.</t>
        </is>
      </c>
      <c r="C957" s="4" t="inlineStr">
        <is>
          <t>United States</t>
        </is>
      </c>
      <c r="D957" s="4" t="inlineStr">
        <is>
          <t>US</t>
        </is>
      </c>
      <c r="E957" s="4" t="inlineStr">
        <is>
          <t>Industria</t>
        </is>
      </c>
      <c r="F957" s="4" t="inlineStr">
        <is>
          <t>Specialty Industrial Machinery</t>
        </is>
      </c>
      <c r="G957" s="4" t="inlineStr">
        <is>
          <t>NYQ</t>
        </is>
      </c>
      <c r="H957" s="4" t="inlineStr">
        <is>
          <t>USD</t>
        </is>
      </c>
      <c r="I957" s="5" t="n">
        <v>11469.626368</v>
      </c>
      <c r="J957" s="6">
        <f>INDEX(FX!$B:$B,MATCH(H957,FX!$A:$A,0))</f>
        <v/>
      </c>
      <c r="K957" s="5">
        <f>I957*J957</f>
        <v/>
      </c>
      <c r="L957" s="4">
        <f>IF(U957&lt;&gt;"",U957,IF(K957&gt;=Umbrales!$B$2,"Legendaria",IF(K957&gt;=Umbrales!$B$3,"Épica",IF(K957&gt;=Umbrales!$B$4,"Rara",IF(K957&gt;=Umbrales!$B$5,"Poco común","Común")))))</f>
        <v/>
      </c>
      <c r="M957" s="5" t="n">
        <v>4438.731776</v>
      </c>
      <c r="N957" s="5" t="n">
        <v>258.195008</v>
      </c>
      <c r="O957" s="5">
        <f>IF(M957="","",M957*J957)</f>
        <v/>
      </c>
      <c r="P957" s="5">
        <f>IF(N957="","",N957*J957)</f>
        <v/>
      </c>
      <c r="Q957" s="7" t="n">
        <v>0</v>
      </c>
      <c r="R957" s="8" t="n">
        <v>43.34598</v>
      </c>
      <c r="S957" s="4" t="inlineStr">
        <is>
          <t>SP500</t>
        </is>
      </c>
      <c r="T957" s="9" t="inlineStr">
        <is>
          <t>SI</t>
        </is>
      </c>
      <c r="U957" s="9" t="inlineStr"/>
      <c r="V957" s="10">
        <f>Umbrales!$B$9*(K957/1000)^Umbrales!$B$10</f>
        <v/>
      </c>
    </row>
    <row r="958">
      <c r="A958" s="4" t="inlineStr">
        <is>
          <t>TECH</t>
        </is>
      </c>
      <c r="B958" s="4" t="inlineStr">
        <is>
          <t>Bio-Techne Corporation</t>
        </is>
      </c>
      <c r="C958" s="4" t="inlineStr">
        <is>
          <t>United States</t>
        </is>
      </c>
      <c r="D958" s="4" t="inlineStr">
        <is>
          <t>US</t>
        </is>
      </c>
      <c r="E958" s="4" t="inlineStr">
        <is>
          <t>Salud</t>
        </is>
      </c>
      <c r="F958" s="4" t="inlineStr">
        <is>
          <t>Biotechnology</t>
        </is>
      </c>
      <c r="G958" s="4" t="inlineStr">
        <is>
          <t>NMS</t>
        </is>
      </c>
      <c r="H958" s="4" t="inlineStr">
        <is>
          <t>USD</t>
        </is>
      </c>
      <c r="I958" s="5" t="n">
        <v>11377.947648</v>
      </c>
      <c r="J958" s="6">
        <f>INDEX(FX!$B:$B,MATCH(H958,FX!$A:$A,0))</f>
        <v/>
      </c>
      <c r="K958" s="5">
        <f>I958*J958</f>
        <v/>
      </c>
      <c r="L958" s="4">
        <f>IF(U958&lt;&gt;"",U958,IF(K958&gt;=Umbrales!$B$2,"Legendaria",IF(K958&gt;=Umbrales!$B$3,"Épica",IF(K958&gt;=Umbrales!$B$4,"Rara",IF(K958&gt;=Umbrales!$B$5,"Poco común","Común")))))</f>
        <v/>
      </c>
      <c r="M958" s="5" t="n">
        <v>1215.038976</v>
      </c>
      <c r="N958" s="5" t="n">
        <v>181.84</v>
      </c>
      <c r="O958" s="5">
        <f>IF(M958="","",M958*J958)</f>
        <v/>
      </c>
      <c r="P958" s="5">
        <f>IF(N958="","",N958*J958)</f>
        <v/>
      </c>
      <c r="Q958" s="7" t="n">
        <v>0.0044</v>
      </c>
      <c r="R958" s="8" t="n">
        <v>62.547417</v>
      </c>
      <c r="S958" s="4" t="inlineStr">
        <is>
          <t>SP500</t>
        </is>
      </c>
      <c r="T958" s="9" t="inlineStr">
        <is>
          <t>SI</t>
        </is>
      </c>
      <c r="U958" s="9" t="inlineStr"/>
      <c r="V958" s="10">
        <f>Umbrales!$B$9*(K958/1000)^Umbrales!$B$10</f>
        <v/>
      </c>
    </row>
    <row r="959">
      <c r="A959" s="4" t="inlineStr">
        <is>
          <t>AKZA.AS</t>
        </is>
      </c>
      <c r="B959" s="4" t="inlineStr">
        <is>
          <t>Akzo Nobel N.V.</t>
        </is>
      </c>
      <c r="C959" s="4" t="inlineStr">
        <is>
          <t>Netherlands</t>
        </is>
      </c>
      <c r="D959" s="4" t="inlineStr">
        <is>
          <t>NL</t>
        </is>
      </c>
      <c r="E959" s="4" t="inlineStr">
        <is>
          <t>Materiales</t>
        </is>
      </c>
      <c r="F959" s="4" t="inlineStr">
        <is>
          <t>Specialty Chemicals</t>
        </is>
      </c>
      <c r="G959" s="4" t="inlineStr">
        <is>
          <t>AMS</t>
        </is>
      </c>
      <c r="H959" s="4" t="inlineStr">
        <is>
          <t>EUR</t>
        </is>
      </c>
      <c r="I959" s="5" t="n">
        <v>10126.312448</v>
      </c>
      <c r="J959" s="6">
        <f>INDEX(FX!$B:$B,MATCH(H959,FX!$A:$A,0))</f>
        <v/>
      </c>
      <c r="K959" s="5">
        <f>I959*J959</f>
        <v/>
      </c>
      <c r="L959" s="4">
        <f>IF(U959&lt;&gt;"",U959,IF(K959&gt;=Umbrales!$B$2,"Legendaria",IF(K959&gt;=Umbrales!$B$3,"Épica",IF(K959&gt;=Umbrales!$B$4,"Rara",IF(K959&gt;=Umbrales!$B$5,"Poco común","Común")))))</f>
        <v/>
      </c>
      <c r="M959" s="5" t="n">
        <v>9893.999615999999</v>
      </c>
      <c r="N959" s="5" t="n">
        <v>638</v>
      </c>
      <c r="O959" s="5">
        <f>IF(M959="","",M959*J959)</f>
        <v/>
      </c>
      <c r="P959" s="5">
        <f>IF(N959="","",N959*J959)</f>
        <v/>
      </c>
      <c r="Q959" s="7" t="n">
        <v>0.0337</v>
      </c>
      <c r="R959" s="8" t="n">
        <v>16.098093</v>
      </c>
      <c r="S959" s="4" t="inlineStr">
        <is>
          <t>AEX</t>
        </is>
      </c>
      <c r="T959" s="9" t="inlineStr">
        <is>
          <t>SI</t>
        </is>
      </c>
      <c r="U959" s="9" t="inlineStr"/>
      <c r="V959" s="10">
        <f>Umbrales!$B$9*(K959/1000)^Umbrales!$B$10</f>
        <v/>
      </c>
    </row>
    <row r="960">
      <c r="A960" s="4" t="inlineStr">
        <is>
          <t>MKS.L</t>
        </is>
      </c>
      <c r="B960" s="4" t="inlineStr">
        <is>
          <t>Marks and Spencer Group plc</t>
        </is>
      </c>
      <c r="C960" s="4" t="inlineStr">
        <is>
          <t>United Kingdom</t>
        </is>
      </c>
      <c r="D960" s="4" t="inlineStr">
        <is>
          <t>GB</t>
        </is>
      </c>
      <c r="E960" s="4" t="inlineStr">
        <is>
          <t>Consumo cíclico</t>
        </is>
      </c>
      <c r="F960" s="4" t="inlineStr">
        <is>
          <t>Department Stores</t>
        </is>
      </c>
      <c r="G960" s="4" t="inlineStr">
        <is>
          <t>LSE</t>
        </is>
      </c>
      <c r="H960" s="4" t="inlineStr">
        <is>
          <t>GBP</t>
        </is>
      </c>
      <c r="I960" s="5" t="n">
        <v>8553.248256000001</v>
      </c>
      <c r="J960" s="6">
        <f>INDEX(FX!$B:$B,MATCH(H960,FX!$A:$A,0))</f>
        <v/>
      </c>
      <c r="K960" s="5">
        <f>I960*J960</f>
        <v/>
      </c>
      <c r="L960" s="4">
        <f>IF(U960&lt;&gt;"",U960,IF(K960&gt;=Umbrales!$B$2,"Legendaria",IF(K960&gt;=Umbrales!$B$3,"Épica",IF(K960&gt;=Umbrales!$B$4,"Rara",IF(K960&gt;=Umbrales!$B$5,"Poco común","Común")))))</f>
        <v/>
      </c>
      <c r="M960" s="5" t="n">
        <v>17273.6</v>
      </c>
      <c r="N960" s="5" t="n">
        <v>259.4</v>
      </c>
      <c r="O960" s="5">
        <f>IF(M960="","",M960*J960)</f>
        <v/>
      </c>
      <c r="P960" s="5">
        <f>IF(N960="","",N960*J960)</f>
        <v/>
      </c>
      <c r="Q960" s="7" t="n">
        <v>0.0102</v>
      </c>
      <c r="R960" s="8" t="n">
        <v>34.45</v>
      </c>
      <c r="S960" s="4" t="inlineStr">
        <is>
          <t>FTSE100</t>
        </is>
      </c>
      <c r="T960" s="9" t="inlineStr">
        <is>
          <t>SI</t>
        </is>
      </c>
      <c r="U960" s="9" t="inlineStr"/>
      <c r="V960" s="10">
        <f>Umbrales!$B$9*(K960/1000)^Umbrales!$B$10</f>
        <v/>
      </c>
    </row>
    <row r="961">
      <c r="A961" s="4" t="inlineStr">
        <is>
          <t>CIPLA.NS</t>
        </is>
      </c>
      <c r="B961" s="4" t="inlineStr">
        <is>
          <t>Cipla Limited</t>
        </is>
      </c>
      <c r="C961" s="4" t="inlineStr">
        <is>
          <t>India</t>
        </is>
      </c>
      <c r="D961" s="4" t="inlineStr">
        <is>
          <t>IN</t>
        </is>
      </c>
      <c r="E961" s="4" t="inlineStr">
        <is>
          <t>Salud</t>
        </is>
      </c>
      <c r="F961" s="4" t="inlineStr">
        <is>
          <t>Drug Manufacturers - Specialty &amp; Generic</t>
        </is>
      </c>
      <c r="G961" s="4" t="inlineStr">
        <is>
          <t>NSI</t>
        </is>
      </c>
      <c r="H961" s="4" t="inlineStr">
        <is>
          <t>INR</t>
        </is>
      </c>
      <c r="I961" s="5" t="n">
        <v>1072852.1728</v>
      </c>
      <c r="J961" s="6">
        <f>INDEX(FX!$B:$B,MATCH(H961,FX!$A:$A,0))</f>
        <v/>
      </c>
      <c r="K961" s="5">
        <f>I961*J961</f>
        <v/>
      </c>
      <c r="L961" s="4">
        <f>IF(U961&lt;&gt;"",U961,IF(K961&gt;=Umbrales!$B$2,"Legendaria",IF(K961&gt;=Umbrales!$B$3,"Épica",IF(K961&gt;=Umbrales!$B$4,"Rara",IF(K961&gt;=Umbrales!$B$5,"Poco común","Común")))))</f>
        <v/>
      </c>
      <c r="M961" s="5" t="n">
        <v>280678.203392</v>
      </c>
      <c r="N961" s="5" t="n">
        <v>33706.600448</v>
      </c>
      <c r="O961" s="5">
        <f>IF(M961="","",M961*J961)</f>
        <v/>
      </c>
      <c r="P961" s="5">
        <f>IF(N961="","",N961*J961)</f>
        <v/>
      </c>
      <c r="Q961" s="7" t="n">
        <v>0.009899999999999999</v>
      </c>
      <c r="R961" s="8" t="n">
        <v>31.846521</v>
      </c>
      <c r="S961" s="4" t="inlineStr">
        <is>
          <t>NIFTY50</t>
        </is>
      </c>
      <c r="T961" s="9" t="inlineStr">
        <is>
          <t>SI</t>
        </is>
      </c>
      <c r="U961" s="9" t="inlineStr"/>
      <c r="V961" s="10">
        <f>Umbrales!$B$9*(K961/1000)^Umbrales!$B$10</f>
        <v/>
      </c>
    </row>
    <row r="962">
      <c r="A962" s="4" t="inlineStr">
        <is>
          <t>1209.HK</t>
        </is>
      </c>
      <c r="B962" s="4" t="inlineStr">
        <is>
          <t>China Resources Mixc Lifestyle Services Limited</t>
        </is>
      </c>
      <c r="C962" s="4" t="inlineStr">
        <is>
          <t>China</t>
        </is>
      </c>
      <c r="D962" s="4" t="inlineStr">
        <is>
          <t>CN</t>
        </is>
      </c>
      <c r="E962" s="4" t="inlineStr">
        <is>
          <t>Inmobiliario</t>
        </is>
      </c>
      <c r="F962" s="4" t="inlineStr">
        <is>
          <t>Real Estate Services</t>
        </is>
      </c>
      <c r="G962" s="4" t="inlineStr">
        <is>
          <t>HKG</t>
        </is>
      </c>
      <c r="H962" s="4" t="inlineStr">
        <is>
          <t>HKD</t>
        </is>
      </c>
      <c r="I962" s="5" t="n">
        <v>88515.354624</v>
      </c>
      <c r="J962" s="6">
        <f>INDEX(FX!$B:$B,MATCH(H962,FX!$A:$A,0))</f>
        <v/>
      </c>
      <c r="K962" s="5">
        <f>I962*J962</f>
        <v/>
      </c>
      <c r="L962" s="4">
        <f>IF(U962&lt;&gt;"",U962,IF(K962&gt;=Umbrales!$B$2,"Legendaria",IF(K962&gt;=Umbrales!$B$3,"Épica",IF(K962&gt;=Umbrales!$B$4,"Rara",IF(K962&gt;=Umbrales!$B$5,"Poco común","Común")))))</f>
        <v/>
      </c>
      <c r="M962" s="5" t="n">
        <v>18714.865664</v>
      </c>
      <c r="N962" s="5" t="n">
        <v>4178.021888</v>
      </c>
      <c r="O962" s="5">
        <f>IF(M962="","",M962*J962)</f>
        <v/>
      </c>
      <c r="P962" s="5">
        <f>IF(N962="","",N962*J962)</f>
        <v/>
      </c>
      <c r="Q962" s="7" t="n">
        <v>0.0328</v>
      </c>
      <c r="R962" s="8" t="n">
        <v>19.009804</v>
      </c>
      <c r="S962" s="4" t="inlineStr">
        <is>
          <t>HANGSENG</t>
        </is>
      </c>
      <c r="T962" s="9" t="inlineStr">
        <is>
          <t>SI</t>
        </is>
      </c>
      <c r="U962" s="9" t="inlineStr"/>
      <c r="V962" s="10">
        <f>Umbrales!$B$9*(K962/1000)^Umbrales!$B$10</f>
        <v/>
      </c>
    </row>
    <row r="963">
      <c r="A963" s="4" t="inlineStr">
        <is>
          <t>HRL</t>
        </is>
      </c>
      <c r="B963" s="4" t="inlineStr">
        <is>
          <t>Hormel Foods Corporation</t>
        </is>
      </c>
      <c r="C963" s="4" t="inlineStr">
        <is>
          <t>United States</t>
        </is>
      </c>
      <c r="D963" s="4" t="inlineStr">
        <is>
          <t>US</t>
        </is>
      </c>
      <c r="E963" s="4" t="inlineStr">
        <is>
          <t>Consumo básico</t>
        </is>
      </c>
      <c r="F963" s="4" t="inlineStr">
        <is>
          <t>Packaged Foods</t>
        </is>
      </c>
      <c r="G963" s="4" t="inlineStr">
        <is>
          <t>NYQ</t>
        </is>
      </c>
      <c r="H963" s="4" t="inlineStr">
        <is>
          <t>USD</t>
        </is>
      </c>
      <c r="I963" s="5" t="n">
        <v>11235.411968</v>
      </c>
      <c r="J963" s="6">
        <f>INDEX(FX!$B:$B,MATCH(H963,FX!$A:$A,0))</f>
        <v/>
      </c>
      <c r="K963" s="5">
        <f>I963*J963</f>
        <v/>
      </c>
      <c r="L963" s="4">
        <f>IF(U963&lt;&gt;"",U963,IF(K963&gt;=Umbrales!$B$2,"Legendaria",IF(K963&gt;=Umbrales!$B$3,"Épica",IF(K963&gt;=Umbrales!$B$4,"Rara",IF(K963&gt;=Umbrales!$B$5,"Poco común","Común")))))</f>
        <v/>
      </c>
      <c r="M963" s="5" t="n">
        <v>12146.911232</v>
      </c>
      <c r="N963" s="5" t="n">
        <v>342.711008</v>
      </c>
      <c r="O963" s="5">
        <f>IF(M963="","",M963*J963)</f>
        <v/>
      </c>
      <c r="P963" s="5">
        <f>IF(N963="","",N963*J963)</f>
        <v/>
      </c>
      <c r="Q963" s="7" t="n">
        <v>0.0609</v>
      </c>
      <c r="R963" s="8" t="n">
        <v>32.92742</v>
      </c>
      <c r="S963" s="4" t="inlineStr">
        <is>
          <t>SP500</t>
        </is>
      </c>
      <c r="T963" s="9" t="inlineStr">
        <is>
          <t>SI</t>
        </is>
      </c>
      <c r="U963" s="9" t="inlineStr"/>
      <c r="V963" s="10">
        <f>Umbrales!$B$9*(K963/1000)^Umbrales!$B$10</f>
        <v/>
      </c>
    </row>
    <row r="964">
      <c r="A964" s="4" t="inlineStr">
        <is>
          <t>TMPV.NS</t>
        </is>
      </c>
      <c r="B964" s="4" t="inlineStr">
        <is>
          <t>Tata Motors Passenger Vehicles Limited</t>
        </is>
      </c>
      <c r="C964" s="4" t="inlineStr">
        <is>
          <t>India</t>
        </is>
      </c>
      <c r="D964" s="4" t="inlineStr">
        <is>
          <t>IN</t>
        </is>
      </c>
      <c r="E964" s="4" t="inlineStr">
        <is>
          <t>Consumo cíclico</t>
        </is>
      </c>
      <c r="F964" s="4" t="inlineStr">
        <is>
          <t>Auto Manufacturers</t>
        </is>
      </c>
      <c r="G964" s="4" t="inlineStr">
        <is>
          <t>NSI</t>
        </is>
      </c>
      <c r="H964" s="4" t="inlineStr">
        <is>
          <t>INR</t>
        </is>
      </c>
      <c r="I964" s="5" t="n">
        <v>1057202.83136</v>
      </c>
      <c r="J964" s="6">
        <f>INDEX(FX!$B:$B,MATCH(H964,FX!$A:$A,0))</f>
        <v/>
      </c>
      <c r="K964" s="5">
        <f>I964*J964</f>
        <v/>
      </c>
      <c r="L964" s="4">
        <f>IF(U964&lt;&gt;"",U964,IF(K964&gt;=Umbrales!$B$2,"Legendaria",IF(K964&gt;=Umbrales!$B$3,"Épica",IF(K964&gt;=Umbrales!$B$4,"Rara",IF(K964&gt;=Umbrales!$B$5,"Poco común","Común")))))</f>
        <v/>
      </c>
      <c r="M964" s="5" t="n">
        <v>3473389.912064</v>
      </c>
      <c r="N964" s="5" t="n">
        <v>-33749.999616</v>
      </c>
      <c r="O964" s="5">
        <f>IF(M964="","",M964*J964)</f>
        <v/>
      </c>
      <c r="P964" s="5">
        <f>IF(N964="","",N964*J964)</f>
        <v/>
      </c>
      <c r="Q964" s="7" t="n">
        <v>0.0106</v>
      </c>
      <c r="R964" s="8" t="n"/>
      <c r="S964" s="4" t="inlineStr">
        <is>
          <t>NIFTY50</t>
        </is>
      </c>
      <c r="T964" s="9" t="inlineStr">
        <is>
          <t>SI</t>
        </is>
      </c>
      <c r="U964" s="9" t="inlineStr"/>
      <c r="V964" s="10">
        <f>Umbrales!$B$9*(K964/1000)^Umbrales!$B$10</f>
        <v/>
      </c>
    </row>
    <row r="965">
      <c r="A965" s="4" t="inlineStr">
        <is>
          <t>JKHY</t>
        </is>
      </c>
      <c r="B965" s="4" t="inlineStr">
        <is>
          <t>Jack Henry &amp; Associates, Inc.</t>
        </is>
      </c>
      <c r="C965" s="4" t="inlineStr">
        <is>
          <t>United States</t>
        </is>
      </c>
      <c r="D965" s="4" t="inlineStr">
        <is>
          <t>US</t>
        </is>
      </c>
      <c r="E965" s="4" t="inlineStr">
        <is>
          <t>Tecnología</t>
        </is>
      </c>
      <c r="F965" s="4" t="inlineStr">
        <is>
          <t>Information Technology Services</t>
        </is>
      </c>
      <c r="G965" s="4" t="inlineStr">
        <is>
          <t>NMS</t>
        </is>
      </c>
      <c r="H965" s="4" t="inlineStr">
        <is>
          <t>USD</t>
        </is>
      </c>
      <c r="I965" s="5" t="n">
        <v>11101.954048</v>
      </c>
      <c r="J965" s="6">
        <f>INDEX(FX!$B:$B,MATCH(H965,FX!$A:$A,0))</f>
        <v/>
      </c>
      <c r="K965" s="5">
        <f>I965*J965</f>
        <v/>
      </c>
      <c r="L965" s="4">
        <f>IF(U965&lt;&gt;"",U965,IF(K965&gt;=Umbrales!$B$2,"Legendaria",IF(K965&gt;=Umbrales!$B$3,"Épica",IF(K965&gt;=Umbrales!$B$4,"Rara",IF(K965&gt;=Umbrales!$B$5,"Poco común","Común")))))</f>
        <v/>
      </c>
      <c r="M965" s="5" t="n">
        <v>2544.338944</v>
      </c>
      <c r="N965" s="5" t="n">
        <v>502.776</v>
      </c>
      <c r="O965" s="5">
        <f>IF(M965="","",M965*J965)</f>
        <v/>
      </c>
      <c r="P965" s="5">
        <f>IF(N965="","",N965*J965)</f>
        <v/>
      </c>
      <c r="Q965" s="7" t="n">
        <v>0.0159</v>
      </c>
      <c r="R965" s="8" t="n">
        <v>22.685673</v>
      </c>
      <c r="S965" s="4" t="inlineStr">
        <is>
          <t>SP500</t>
        </is>
      </c>
      <c r="T965" s="9" t="inlineStr">
        <is>
          <t>SI</t>
        </is>
      </c>
      <c r="U965" s="9" t="inlineStr"/>
      <c r="V965" s="10">
        <f>Umbrales!$B$9*(K965/1000)^Umbrales!$B$10</f>
        <v/>
      </c>
    </row>
    <row r="966">
      <c r="A966" s="4" t="inlineStr">
        <is>
          <t>UHS</t>
        </is>
      </c>
      <c r="B966" s="4" t="inlineStr">
        <is>
          <t>Universal Health Services, Inc.</t>
        </is>
      </c>
      <c r="C966" s="4" t="inlineStr">
        <is>
          <t>United States</t>
        </is>
      </c>
      <c r="D966" s="4" t="inlineStr">
        <is>
          <t>US</t>
        </is>
      </c>
      <c r="E966" s="4" t="inlineStr">
        <is>
          <t>Salud</t>
        </is>
      </c>
      <c r="F966" s="4" t="inlineStr">
        <is>
          <t>Medical Care Facilities</t>
        </is>
      </c>
      <c r="G966" s="4" t="inlineStr">
        <is>
          <t>NYQ</t>
        </is>
      </c>
      <c r="H966" s="4" t="inlineStr">
        <is>
          <t>USD</t>
        </is>
      </c>
      <c r="I966" s="5" t="n">
        <v>11091.5584</v>
      </c>
      <c r="J966" s="6">
        <f>INDEX(FX!$B:$B,MATCH(H966,FX!$A:$A,0))</f>
        <v/>
      </c>
      <c r="K966" s="5">
        <f>I966*J966</f>
        <v/>
      </c>
      <c r="L966" s="4">
        <f>IF(U966&lt;&gt;"",U966,IF(K966&gt;=Umbrales!$B$2,"Legendaria",IF(K966&gt;=Umbrales!$B$3,"Épica",IF(K966&gt;=Umbrales!$B$4,"Rara",IF(K966&gt;=Umbrales!$B$5,"Poco común","Común")))))</f>
        <v/>
      </c>
      <c r="M966" s="5" t="n">
        <v>18114.486272</v>
      </c>
      <c r="N966" s="5" t="n">
        <v>1526.027008</v>
      </c>
      <c r="O966" s="5">
        <f>IF(M966="","",M966*J966)</f>
        <v/>
      </c>
      <c r="P966" s="5">
        <f>IF(N966="","",N966*J966)</f>
        <v/>
      </c>
      <c r="Q966" s="7" t="n">
        <v>0.004500000000000001</v>
      </c>
      <c r="R966" s="8" t="n">
        <v>7.6751633</v>
      </c>
      <c r="S966" s="4" t="inlineStr">
        <is>
          <t>SP500</t>
        </is>
      </c>
      <c r="T966" s="9" t="inlineStr">
        <is>
          <t>SI</t>
        </is>
      </c>
      <c r="U966" s="9" t="inlineStr"/>
      <c r="V966" s="10">
        <f>Umbrales!$B$9*(K966/1000)^Umbrales!$B$10</f>
        <v/>
      </c>
    </row>
    <row r="967">
      <c r="A967" s="4" t="inlineStr">
        <is>
          <t>SAP.TO</t>
        </is>
      </c>
      <c r="B967" s="4" t="inlineStr">
        <is>
          <t>Saputo Inc.</t>
        </is>
      </c>
      <c r="C967" s="4" t="inlineStr">
        <is>
          <t>Canada</t>
        </is>
      </c>
      <c r="D967" s="4" t="inlineStr">
        <is>
          <t>CA</t>
        </is>
      </c>
      <c r="E967" s="4" t="inlineStr">
        <is>
          <t>Consumo básico</t>
        </is>
      </c>
      <c r="F967" s="4" t="inlineStr">
        <is>
          <t>Packaged Foods</t>
        </is>
      </c>
      <c r="G967" s="4" t="inlineStr">
        <is>
          <t>TOR</t>
        </is>
      </c>
      <c r="H967" s="4" t="inlineStr">
        <is>
          <t>CAD</t>
        </is>
      </c>
      <c r="I967" s="5" t="n">
        <v>15714.915328</v>
      </c>
      <c r="J967" s="6">
        <f>INDEX(FX!$B:$B,MATCH(H967,FX!$A:$A,0))</f>
        <v/>
      </c>
      <c r="K967" s="5">
        <f>I967*J967</f>
        <v/>
      </c>
      <c r="L967" s="4">
        <f>IF(U967&lt;&gt;"",U967,IF(K967&gt;=Umbrales!$B$2,"Legendaria",IF(K967&gt;=Umbrales!$B$3,"Épica",IF(K967&gt;=Umbrales!$B$4,"Rara",IF(K967&gt;=Umbrales!$B$5,"Poco común","Común")))))</f>
        <v/>
      </c>
      <c r="M967" s="5" t="n">
        <v>17615.998976</v>
      </c>
      <c r="N967" s="5" t="n">
        <v>716</v>
      </c>
      <c r="O967" s="5">
        <f>IF(M967="","",M967*J967)</f>
        <v/>
      </c>
      <c r="P967" s="5">
        <f>IF(N967="","",N967*J967)</f>
        <v/>
      </c>
      <c r="Q967" s="7" t="n">
        <v>0.0209</v>
      </c>
      <c r="R967" s="8" t="n">
        <v>22.494318</v>
      </c>
      <c r="S967" s="4" t="inlineStr">
        <is>
          <t>TSX60</t>
        </is>
      </c>
      <c r="T967" s="9" t="inlineStr">
        <is>
          <t>SI</t>
        </is>
      </c>
      <c r="U967" s="9" t="inlineStr"/>
      <c r="V967" s="10">
        <f>Umbrales!$B$9*(K967/1000)^Umbrales!$B$10</f>
        <v/>
      </c>
    </row>
    <row r="968">
      <c r="A968" s="4" t="inlineStr">
        <is>
          <t>2015.HK</t>
        </is>
      </c>
      <c r="B968" s="4" t="inlineStr">
        <is>
          <t>Li Auto Inc.</t>
        </is>
      </c>
      <c r="C968" s="4" t="inlineStr">
        <is>
          <t>China</t>
        </is>
      </c>
      <c r="D968" s="4" t="inlineStr">
        <is>
          <t>CN</t>
        </is>
      </c>
      <c r="E968" s="4" t="inlineStr">
        <is>
          <t>Consumo cíclico</t>
        </is>
      </c>
      <c r="F968" s="4" t="inlineStr">
        <is>
          <t>Auto Manufacturers</t>
        </is>
      </c>
      <c r="G968" s="4" t="inlineStr">
        <is>
          <t>HKG</t>
        </is>
      </c>
      <c r="H968" s="4" t="inlineStr">
        <is>
          <t>HKD</t>
        </is>
      </c>
      <c r="I968" s="5" t="n">
        <v>86860.15283200001</v>
      </c>
      <c r="J968" s="6">
        <f>INDEX(FX!$B:$B,MATCH(H968,FX!$A:$A,0))</f>
        <v/>
      </c>
      <c r="K968" s="5">
        <f>I968*J968</f>
        <v/>
      </c>
      <c r="L968" s="4">
        <f>IF(U968&lt;&gt;"",U968,IF(K968&gt;=Umbrales!$B$2,"Legendaria",IF(K968&gt;=Umbrales!$B$3,"Épica",IF(K968&gt;=Umbrales!$B$4,"Rara",IF(K968&gt;=Umbrales!$B$5,"Poco común","Común")))))</f>
        <v/>
      </c>
      <c r="M968" s="5" t="n">
        <v>104789.884928</v>
      </c>
      <c r="N968" s="5" t="n">
        <v>-4612.169216</v>
      </c>
      <c r="O968" s="5">
        <f>IF(M968="","",M968*J968)</f>
        <v/>
      </c>
      <c r="P968" s="5">
        <f>IF(N968="","",N968*J968)</f>
        <v/>
      </c>
      <c r="Q968" s="7" t="n">
        <v>0</v>
      </c>
      <c r="R968" s="8" t="n"/>
      <c r="S968" s="4" t="inlineStr">
        <is>
          <t>HANGSENG</t>
        </is>
      </c>
      <c r="T968" s="9" t="inlineStr">
        <is>
          <t>SI</t>
        </is>
      </c>
      <c r="U968" s="9" t="inlineStr"/>
      <c r="V968" s="10">
        <f>Umbrales!$B$9*(K968/1000)^Umbrales!$B$10</f>
        <v/>
      </c>
    </row>
    <row r="969">
      <c r="A969" s="4" t="inlineStr">
        <is>
          <t>SKA-B.ST</t>
        </is>
      </c>
      <c r="B969" s="4" t="inlineStr">
        <is>
          <t>Skanska AB (publ)</t>
        </is>
      </c>
      <c r="C969" s="4" t="inlineStr">
        <is>
          <t>Sweden</t>
        </is>
      </c>
      <c r="D969" s="4" t="inlineStr">
        <is>
          <t>SE</t>
        </is>
      </c>
      <c r="E969" s="4" t="inlineStr">
        <is>
          <t>Industria</t>
        </is>
      </c>
      <c r="F969" s="4" t="inlineStr">
        <is>
          <t>Engineering &amp; Construction</t>
        </is>
      </c>
      <c r="G969" s="4" t="inlineStr">
        <is>
          <t>STO</t>
        </is>
      </c>
      <c r="H969" s="4" t="inlineStr">
        <is>
          <t>SEK</t>
        </is>
      </c>
      <c r="I969" s="5" t="n">
        <v>109648.4864</v>
      </c>
      <c r="J969" s="6">
        <f>INDEX(FX!$B:$B,MATCH(H969,FX!$A:$A,0))</f>
        <v/>
      </c>
      <c r="K969" s="5">
        <f>I969*J969</f>
        <v/>
      </c>
      <c r="L969" s="4">
        <f>IF(U969&lt;&gt;"",U969,IF(K969&gt;=Umbrales!$B$2,"Legendaria",IF(K969&gt;=Umbrales!$B$3,"Épica",IF(K969&gt;=Umbrales!$B$4,"Rara",IF(K969&gt;=Umbrales!$B$5,"Poco común","Común")))))</f>
        <v/>
      </c>
      <c r="M969" s="5" t="n">
        <v>174138.998784</v>
      </c>
      <c r="N969" s="5" t="n">
        <v>6629.000192</v>
      </c>
      <c r="O969" s="5">
        <f>IF(M969="","",M969*J969)</f>
        <v/>
      </c>
      <c r="P969" s="5">
        <f>IF(N969="","",N969*J969)</f>
        <v/>
      </c>
      <c r="Q969" s="7" t="n">
        <v>0.0318</v>
      </c>
      <c r="R969" s="8" t="n">
        <v>16.591478</v>
      </c>
      <c r="S969" s="4" t="inlineStr">
        <is>
          <t>OMXS30</t>
        </is>
      </c>
      <c r="T969" s="9" t="inlineStr">
        <is>
          <t>SI</t>
        </is>
      </c>
      <c r="U969" s="9" t="inlineStr"/>
      <c r="V969" s="10">
        <f>Umbrales!$B$9*(K969/1000)^Umbrales!$B$10</f>
        <v/>
      </c>
    </row>
    <row r="970">
      <c r="A970" s="4" t="inlineStr">
        <is>
          <t>FGR.PA</t>
        </is>
      </c>
      <c r="B970" s="4" t="inlineStr">
        <is>
          <t>Eiffage SA</t>
        </is>
      </c>
      <c r="C970" s="4" t="inlineStr">
        <is>
          <t>France</t>
        </is>
      </c>
      <c r="D970" s="4" t="inlineStr">
        <is>
          <t>FR</t>
        </is>
      </c>
      <c r="E970" s="4" t="inlineStr">
        <is>
          <t>Industria</t>
        </is>
      </c>
      <c r="F970" s="4" t="inlineStr">
        <is>
          <t>Engineering &amp; Construction</t>
        </is>
      </c>
      <c r="G970" s="4" t="inlineStr">
        <is>
          <t>PAR</t>
        </is>
      </c>
      <c r="H970" s="4" t="inlineStr">
        <is>
          <t>EUR</t>
        </is>
      </c>
      <c r="I970" s="5" t="n">
        <v>9799.999487999999</v>
      </c>
      <c r="J970" s="6">
        <f>INDEX(FX!$B:$B,MATCH(H970,FX!$A:$A,0))</f>
        <v/>
      </c>
      <c r="K970" s="5">
        <f>I970*J970</f>
        <v/>
      </c>
      <c r="L970" s="4">
        <f>IF(U970&lt;&gt;"",U970,IF(K970&gt;=Umbrales!$B$2,"Legendaria",IF(K970&gt;=Umbrales!$B$3,"Épica",IF(K970&gt;=Umbrales!$B$4,"Rara",IF(K970&gt;=Umbrales!$B$5,"Poco común","Común")))))</f>
        <v/>
      </c>
      <c r="M970" s="5" t="n">
        <v>26260.000768</v>
      </c>
      <c r="N970" s="5" t="n">
        <v>1059</v>
      </c>
      <c r="O970" s="5">
        <f>IF(M970="","",M970*J970)</f>
        <v/>
      </c>
      <c r="P970" s="5">
        <f>IF(N970="","",N970*J970)</f>
        <v/>
      </c>
      <c r="Q970" s="7" t="n">
        <v>0.0481</v>
      </c>
      <c r="R970" s="8" t="n">
        <v>9.140768</v>
      </c>
      <c r="S970" s="4" t="inlineStr">
        <is>
          <t>CAC40</t>
        </is>
      </c>
      <c r="T970" s="9" t="inlineStr">
        <is>
          <t>SI</t>
        </is>
      </c>
      <c r="U970" s="9" t="inlineStr"/>
      <c r="V970" s="10">
        <f>Umbrales!$B$9*(K970/1000)^Umbrales!$B$10</f>
        <v/>
      </c>
    </row>
    <row r="971">
      <c r="A971" s="4" t="inlineStr">
        <is>
          <t>TEL2-B.ST</t>
        </is>
      </c>
      <c r="B971" s="4" t="inlineStr">
        <is>
          <t>Tele2 AB (publ)</t>
        </is>
      </c>
      <c r="C971" s="4" t="inlineStr">
        <is>
          <t>Sweden</t>
        </is>
      </c>
      <c r="D971" s="4" t="inlineStr">
        <is>
          <t>SE</t>
        </is>
      </c>
      <c r="E971" s="4" t="inlineStr">
        <is>
          <t>Comunicación</t>
        </is>
      </c>
      <c r="F971" s="4" t="inlineStr">
        <is>
          <t>Telecom Services</t>
        </is>
      </c>
      <c r="G971" s="4" t="inlineStr">
        <is>
          <t>STO</t>
        </is>
      </c>
      <c r="H971" s="4" t="inlineStr">
        <is>
          <t>SEK</t>
        </is>
      </c>
      <c r="I971" s="5" t="n">
        <v>109269.778432</v>
      </c>
      <c r="J971" s="6">
        <f>INDEX(FX!$B:$B,MATCH(H971,FX!$A:$A,0))</f>
        <v/>
      </c>
      <c r="K971" s="5">
        <f>I971*J971</f>
        <v/>
      </c>
      <c r="L971" s="4">
        <f>IF(U971&lt;&gt;"",U971,IF(K971&gt;=Umbrales!$B$2,"Legendaria",IF(K971&gt;=Umbrales!$B$3,"Épica",IF(K971&gt;=Umbrales!$B$4,"Rara",IF(K971&gt;=Umbrales!$B$5,"Poco común","Común")))))</f>
        <v/>
      </c>
      <c r="M971" s="5" t="n">
        <v>30119.000064</v>
      </c>
      <c r="N971" s="5" t="n">
        <v>10106.999808</v>
      </c>
      <c r="O971" s="5">
        <f>IF(M971="","",M971*J971)</f>
        <v/>
      </c>
      <c r="P971" s="5">
        <f>IF(N971="","",N971*J971)</f>
        <v/>
      </c>
      <c r="Q971" s="7" t="n">
        <v>0.0688</v>
      </c>
      <c r="R971" s="8" t="n">
        <v>10.828178</v>
      </c>
      <c r="S971" s="4" t="inlineStr">
        <is>
          <t>OMXS30</t>
        </is>
      </c>
      <c r="T971" s="9" t="inlineStr">
        <is>
          <t>SI</t>
        </is>
      </c>
      <c r="U971" s="9" t="inlineStr"/>
      <c r="V971" s="10">
        <f>Umbrales!$B$9*(K971/1000)^Umbrales!$B$10</f>
        <v/>
      </c>
    </row>
    <row r="972">
      <c r="A972" s="4" t="inlineStr">
        <is>
          <t>LULU</t>
        </is>
      </c>
      <c r="B972" s="4" t="inlineStr">
        <is>
          <t>lululemon athletica inc.</t>
        </is>
      </c>
      <c r="C972" s="4" t="inlineStr">
        <is>
          <t>Canada</t>
        </is>
      </c>
      <c r="D972" s="4" t="inlineStr">
        <is>
          <t>CA</t>
        </is>
      </c>
      <c r="E972" s="4" t="inlineStr">
        <is>
          <t>Consumo cíclico</t>
        </is>
      </c>
      <c r="F972" s="4" t="inlineStr">
        <is>
          <t>Apparel Retail</t>
        </is>
      </c>
      <c r="G972" s="4" t="inlineStr">
        <is>
          <t>NMS</t>
        </is>
      </c>
      <c r="H972" s="4" t="inlineStr">
        <is>
          <t>USD</t>
        </is>
      </c>
      <c r="I972" s="5" t="n">
        <v>10898.066432</v>
      </c>
      <c r="J972" s="6">
        <f>INDEX(FX!$B:$B,MATCH(H972,FX!$A:$A,0))</f>
        <v/>
      </c>
      <c r="K972" s="5">
        <f>I972*J972</f>
        <v/>
      </c>
      <c r="L972" s="4">
        <f>IF(U972&lt;&gt;"",U972,IF(K972&gt;=Umbrales!$B$2,"Legendaria",IF(K972&gt;=Umbrales!$B$3,"Épica",IF(K972&gt;=Umbrales!$B$4,"Rara",IF(K972&gt;=Umbrales!$B$5,"Poco común","Común")))))</f>
        <v/>
      </c>
      <c r="M972" s="5" t="n">
        <v>11093.95456</v>
      </c>
      <c r="N972" s="5" t="n">
        <v>1417.97696</v>
      </c>
      <c r="O972" s="5">
        <f>IF(M972="","",M972*J972)</f>
        <v/>
      </c>
      <c r="P972" s="5">
        <f>IF(N972="","",N972*J972)</f>
        <v/>
      </c>
      <c r="Q972" s="7" t="n">
        <v>0</v>
      </c>
      <c r="R972" s="8" t="n">
        <v>7.763201</v>
      </c>
      <c r="S972" s="4" t="inlineStr">
        <is>
          <t>NASDAQ100, SP500</t>
        </is>
      </c>
      <c r="T972" s="9" t="inlineStr">
        <is>
          <t>SI</t>
        </is>
      </c>
      <c r="U972" s="9" t="inlineStr"/>
      <c r="V972" s="10">
        <f>Umbrales!$B$9*(K972/1000)^Umbrales!$B$10</f>
        <v/>
      </c>
    </row>
    <row r="973">
      <c r="A973" s="4" t="inlineStr">
        <is>
          <t>0288.HK</t>
        </is>
      </c>
      <c r="B973" s="4" t="inlineStr">
        <is>
          <t>WH Group Limited</t>
        </is>
      </c>
      <c r="C973" s="4" t="inlineStr">
        <is>
          <t>Hong Kong</t>
        </is>
      </c>
      <c r="D973" s="4" t="inlineStr">
        <is>
          <t>HK</t>
        </is>
      </c>
      <c r="E973" s="4" t="inlineStr">
        <is>
          <t>Consumo básico</t>
        </is>
      </c>
      <c r="F973" s="4" t="inlineStr">
        <is>
          <t>Packaged Foods</t>
        </is>
      </c>
      <c r="G973" s="4" t="inlineStr">
        <is>
          <t>HKG</t>
        </is>
      </c>
      <c r="H973" s="4" t="inlineStr">
        <is>
          <t>HKD</t>
        </is>
      </c>
      <c r="I973" s="5" t="n">
        <v>85000.200192</v>
      </c>
      <c r="J973" s="6">
        <f>INDEX(FX!$B:$B,MATCH(H973,FX!$A:$A,0))</f>
        <v/>
      </c>
      <c r="K973" s="5">
        <f>I973*J973</f>
        <v/>
      </c>
      <c r="L973" s="4">
        <f>IF(U973&lt;&gt;"",U973,IF(K973&gt;=Umbrales!$B$2,"Legendaria",IF(K973&gt;=Umbrales!$B$3,"Épica",IF(K973&gt;=Umbrales!$B$4,"Rara",IF(K973&gt;=Umbrales!$B$5,"Poco común","Común")))))</f>
        <v/>
      </c>
      <c r="M973" s="5" t="n">
        <v>28465.999872</v>
      </c>
      <c r="N973" s="5" t="n">
        <v>1548.999936</v>
      </c>
      <c r="O973" s="5">
        <f>IF(M973="","",M973*J973)</f>
        <v/>
      </c>
      <c r="P973" s="5">
        <f>IF(N973="","",N973*J973)</f>
        <v/>
      </c>
      <c r="Q973" s="7" t="n">
        <v>0.09119999999999999</v>
      </c>
      <c r="R973" s="8" t="n">
        <v>7.0478725</v>
      </c>
      <c r="S973" s="4" t="inlineStr">
        <is>
          <t>HANGSENG</t>
        </is>
      </c>
      <c r="T973" s="9" t="inlineStr">
        <is>
          <t>SI</t>
        </is>
      </c>
      <c r="U973" s="9" t="inlineStr"/>
      <c r="V973" s="10">
        <f>Umbrales!$B$9*(K973/1000)^Umbrales!$B$10</f>
        <v/>
      </c>
    </row>
    <row r="974">
      <c r="A974" s="4" t="inlineStr">
        <is>
          <t>COO</t>
        </is>
      </c>
      <c r="B974" s="4" t="inlineStr">
        <is>
          <t>The Cooper Companies, Inc.</t>
        </is>
      </c>
      <c r="C974" s="4" t="inlineStr">
        <is>
          <t>United States</t>
        </is>
      </c>
      <c r="D974" s="4" t="inlineStr">
        <is>
          <t>US</t>
        </is>
      </c>
      <c r="E974" s="4" t="inlineStr">
        <is>
          <t>Salud</t>
        </is>
      </c>
      <c r="F974" s="4" t="inlineStr">
        <is>
          <t>Medical Instruments &amp; Supplies</t>
        </is>
      </c>
      <c r="G974" s="4" t="inlineStr">
        <is>
          <t>NMS</t>
        </is>
      </c>
      <c r="H974" s="4" t="inlineStr">
        <is>
          <t>USD</t>
        </is>
      </c>
      <c r="I974" s="5" t="n">
        <v>10806.525952</v>
      </c>
      <c r="J974" s="6">
        <f>INDEX(FX!$B:$B,MATCH(H974,FX!$A:$A,0))</f>
        <v/>
      </c>
      <c r="K974" s="5">
        <f>I974*J974</f>
        <v/>
      </c>
      <c r="L974" s="4">
        <f>IF(U974&lt;&gt;"",U974,IF(K974&gt;=Umbrales!$B$2,"Legendaria",IF(K974&gt;=Umbrales!$B$3,"Épica",IF(K974&gt;=Umbrales!$B$4,"Rara",IF(K974&gt;=Umbrales!$B$5,"Poco común","Común")))))</f>
        <v/>
      </c>
      <c r="M974" s="5" t="n">
        <v>4236.900096</v>
      </c>
      <c r="N974" s="5" t="n">
        <v>570.300032</v>
      </c>
      <c r="O974" s="5">
        <f>IF(M974="","",M974*J974)</f>
        <v/>
      </c>
      <c r="P974" s="5">
        <f>IF(N974="","",N974*J974)</f>
        <v/>
      </c>
      <c r="Q974" s="7" t="n">
        <v>0</v>
      </c>
      <c r="R974" s="8" t="n">
        <v>19.395905</v>
      </c>
      <c r="S974" s="4" t="inlineStr">
        <is>
          <t>SP500</t>
        </is>
      </c>
      <c r="T974" s="9" t="inlineStr">
        <is>
          <t>SI</t>
        </is>
      </c>
      <c r="U974" s="9" t="inlineStr"/>
      <c r="V974" s="10">
        <f>Umbrales!$B$9*(K974/1000)^Umbrales!$B$10</f>
        <v/>
      </c>
    </row>
    <row r="975">
      <c r="A975" s="4" t="inlineStr">
        <is>
          <t>PSON.L</t>
        </is>
      </c>
      <c r="B975" s="4" t="inlineStr">
        <is>
          <t>Pearson plc</t>
        </is>
      </c>
      <c r="C975" s="4" t="inlineStr">
        <is>
          <t>United Kingdom</t>
        </is>
      </c>
      <c r="D975" s="4" t="inlineStr">
        <is>
          <t>GB</t>
        </is>
      </c>
      <c r="E975" s="4" t="inlineStr">
        <is>
          <t>Comunicación</t>
        </is>
      </c>
      <c r="F975" s="4" t="inlineStr">
        <is>
          <t>Publishing</t>
        </is>
      </c>
      <c r="G975" s="4" t="inlineStr">
        <is>
          <t>LSE</t>
        </is>
      </c>
      <c r="H975" s="4" t="inlineStr">
        <is>
          <t>GBP</t>
        </is>
      </c>
      <c r="I975" s="5" t="n">
        <v>8132.46464</v>
      </c>
      <c r="J975" s="6">
        <f>INDEX(FX!$B:$B,MATCH(H975,FX!$A:$A,0))</f>
        <v/>
      </c>
      <c r="K975" s="5">
        <f>I975*J975</f>
        <v/>
      </c>
      <c r="L975" s="4">
        <f>IF(U975&lt;&gt;"",U975,IF(K975&gt;=Umbrales!$B$2,"Legendaria",IF(K975&gt;=Umbrales!$B$3,"Épica",IF(K975&gt;=Umbrales!$B$4,"Rara",IF(K975&gt;=Umbrales!$B$5,"Poco común","Común")))))</f>
        <v/>
      </c>
      <c r="M975" s="5" t="n">
        <v>3633.999872</v>
      </c>
      <c r="N975" s="5" t="n">
        <v>319</v>
      </c>
      <c r="O975" s="5">
        <f>IF(M975="","",M975*J975)</f>
        <v/>
      </c>
      <c r="P975" s="5">
        <f>IF(N975="","",N975*J975)</f>
        <v/>
      </c>
      <c r="Q975" s="7" t="n">
        <v>0.0194</v>
      </c>
      <c r="R975" s="8" t="n">
        <v>27.06</v>
      </c>
      <c r="S975" s="4" t="inlineStr">
        <is>
          <t>FTSE100</t>
        </is>
      </c>
      <c r="T975" s="9" t="inlineStr">
        <is>
          <t>SI</t>
        </is>
      </c>
      <c r="U975" s="9" t="inlineStr"/>
      <c r="V975" s="10">
        <f>Umbrales!$B$9*(K975/1000)^Umbrales!$B$10</f>
        <v/>
      </c>
    </row>
    <row r="976">
      <c r="A976" s="4" t="inlineStr">
        <is>
          <t>DRREDDY.NS</t>
        </is>
      </c>
      <c r="B976" s="4" t="inlineStr">
        <is>
          <t>Dr. Reddy's Laboratories Limited</t>
        </is>
      </c>
      <c r="C976" s="4" t="inlineStr">
        <is>
          <t>India</t>
        </is>
      </c>
      <c r="D976" s="4" t="inlineStr">
        <is>
          <t>IN</t>
        </is>
      </c>
      <c r="E976" s="4" t="inlineStr">
        <is>
          <t>Salud</t>
        </is>
      </c>
      <c r="F976" s="4" t="inlineStr">
        <is>
          <t>Drug Manufacturers - Specialty &amp; Generic</t>
        </is>
      </c>
      <c r="G976" s="4" t="inlineStr">
        <is>
          <t>NSI</t>
        </is>
      </c>
      <c r="H976" s="4" t="inlineStr">
        <is>
          <t>INR</t>
        </is>
      </c>
      <c r="I976" s="5" t="n">
        <v>1015246.553088</v>
      </c>
      <c r="J976" s="6">
        <f>INDEX(FX!$B:$B,MATCH(H976,FX!$A:$A,0))</f>
        <v/>
      </c>
      <c r="K976" s="5">
        <f>I976*J976</f>
        <v/>
      </c>
      <c r="L976" s="4">
        <f>IF(U976&lt;&gt;"",U976,IF(K976&gt;=Umbrales!$B$2,"Legendaria",IF(K976&gt;=Umbrales!$B$3,"Épica",IF(K976&gt;=Umbrales!$B$4,"Rara",IF(K976&gt;=Umbrales!$B$5,"Poco común","Común")))))</f>
        <v/>
      </c>
      <c r="M976" s="5" t="n">
        <v>331186.01216</v>
      </c>
      <c r="N976" s="5" t="n">
        <v>33106.999296</v>
      </c>
      <c r="O976" s="5">
        <f>IF(M976="","",M976*J976)</f>
        <v/>
      </c>
      <c r="P976" s="5">
        <f>IF(N976="","",N976*J976)</f>
        <v/>
      </c>
      <c r="Q976" s="7" t="n">
        <v>0.0066</v>
      </c>
      <c r="R976" s="8" t="n">
        <v>30.669352</v>
      </c>
      <c r="S976" s="4" t="inlineStr">
        <is>
          <t>NIFTY50</t>
        </is>
      </c>
      <c r="T976" s="9" t="inlineStr">
        <is>
          <t>SI</t>
        </is>
      </c>
      <c r="U976" s="9" t="inlineStr"/>
      <c r="V976" s="10">
        <f>Umbrales!$B$9*(K976/1000)^Umbrales!$B$10</f>
        <v/>
      </c>
    </row>
    <row r="977">
      <c r="A977" s="4" t="inlineStr">
        <is>
          <t>FDS</t>
        </is>
      </c>
      <c r="B977" s="4" t="inlineStr">
        <is>
          <t>FactSet Research Systems Inc.</t>
        </is>
      </c>
      <c r="C977" s="4" t="inlineStr">
        <is>
          <t>United States</t>
        </is>
      </c>
      <c r="D977" s="4" t="inlineStr">
        <is>
          <t>US</t>
        </is>
      </c>
      <c r="E977" s="4" t="inlineStr">
        <is>
          <t>Finanzas</t>
        </is>
      </c>
      <c r="F977" s="4" t="inlineStr">
        <is>
          <t>Financial Data &amp; Stock Exchanges</t>
        </is>
      </c>
      <c r="G977" s="4" t="inlineStr">
        <is>
          <t>NYQ</t>
        </is>
      </c>
      <c r="H977" s="4" t="inlineStr">
        <is>
          <t>USD</t>
        </is>
      </c>
      <c r="I977" s="5" t="n">
        <v>10671.440896</v>
      </c>
      <c r="J977" s="6">
        <f>INDEX(FX!$B:$B,MATCH(H977,FX!$A:$A,0))</f>
        <v/>
      </c>
      <c r="K977" s="5">
        <f>I977*J977</f>
        <v/>
      </c>
      <c r="L977" s="4">
        <f>IF(U977&lt;&gt;"",U977,IF(K977&gt;=Umbrales!$B$2,"Legendaria",IF(K977&gt;=Umbrales!$B$3,"Épica",IF(K977&gt;=Umbrales!$B$4,"Rara",IF(K977&gt;=Umbrales!$B$5,"Poco común","Común")))))</f>
        <v/>
      </c>
      <c r="M977" s="5" t="n">
        <v>2476.256</v>
      </c>
      <c r="N977" s="5" t="n">
        <v>533.480992</v>
      </c>
      <c r="O977" s="5">
        <f>IF(M977="","",M977*J977)</f>
        <v/>
      </c>
      <c r="P977" s="5">
        <f>IF(N977="","",N977*J977)</f>
        <v/>
      </c>
      <c r="Q977" s="7" t="n">
        <v>0.016</v>
      </c>
      <c r="R977" s="8" t="n">
        <v>20.664598</v>
      </c>
      <c r="S977" s="4" t="inlineStr">
        <is>
          <t>SP500</t>
        </is>
      </c>
      <c r="T977" s="9" t="inlineStr">
        <is>
          <t>SI</t>
        </is>
      </c>
      <c r="U977" s="9" t="inlineStr"/>
      <c r="V977" s="10">
        <f>Umbrales!$B$9*(K977/1000)^Umbrales!$B$10</f>
        <v/>
      </c>
    </row>
    <row r="978">
      <c r="A978" s="4" t="inlineStr">
        <is>
          <t>AES</t>
        </is>
      </c>
      <c r="B978" s="4" t="inlineStr">
        <is>
          <t>The AES Corporation</t>
        </is>
      </c>
      <c r="C978" s="4" t="inlineStr">
        <is>
          <t>United States</t>
        </is>
      </c>
      <c r="D978" s="4" t="inlineStr">
        <is>
          <t>US</t>
        </is>
      </c>
      <c r="E978" s="4" t="inlineStr">
        <is>
          <t>Servicios públicos</t>
        </is>
      </c>
      <c r="F978" s="4" t="inlineStr">
        <is>
          <t>Utilities - Diversified</t>
        </is>
      </c>
      <c r="G978" s="4" t="inlineStr">
        <is>
          <t>NYQ</t>
        </is>
      </c>
      <c r="H978" s="4" t="inlineStr">
        <is>
          <t>USD</t>
        </is>
      </c>
      <c r="I978" s="5" t="n">
        <v>10668.910592</v>
      </c>
      <c r="J978" s="6">
        <f>INDEX(FX!$B:$B,MATCH(H978,FX!$A:$A,0))</f>
        <v/>
      </c>
      <c r="K978" s="5">
        <f>I978*J978</f>
        <v/>
      </c>
      <c r="L978" s="4">
        <f>IF(U978&lt;&gt;"",U978,IF(K978&gt;=Umbrales!$B$2,"Legendaria",IF(K978&gt;=Umbrales!$B$3,"Épica",IF(K978&gt;=Umbrales!$B$4,"Rara",IF(K978&gt;=Umbrales!$B$5,"Poco común","Común")))))</f>
        <v/>
      </c>
      <c r="M978" s="5" t="n">
        <v>13054.000128</v>
      </c>
      <c r="N978" s="5" t="n">
        <v>1911.000064</v>
      </c>
      <c r="O978" s="5">
        <f>IF(M978="","",M978*J978)</f>
        <v/>
      </c>
      <c r="P978" s="5">
        <f>IF(N978="","",N978*J978)</f>
        <v/>
      </c>
      <c r="Q978" s="7" t="n">
        <v>0.047</v>
      </c>
      <c r="R978" s="8" t="n">
        <v>5.624098</v>
      </c>
      <c r="S978" s="4" t="inlineStr">
        <is>
          <t>SP500</t>
        </is>
      </c>
      <c r="T978" s="9" t="inlineStr">
        <is>
          <t>SI</t>
        </is>
      </c>
      <c r="U978" s="9" t="inlineStr"/>
      <c r="V978" s="10">
        <f>Umbrales!$B$9*(K978/1000)^Umbrales!$B$10</f>
        <v/>
      </c>
    </row>
    <row r="979">
      <c r="A979" s="4" t="inlineStr">
        <is>
          <t>BXP</t>
        </is>
      </c>
      <c r="B979" s="4" t="inlineStr">
        <is>
          <t>BXP, Inc.</t>
        </is>
      </c>
      <c r="C979" s="4" t="inlineStr">
        <is>
          <t>United States</t>
        </is>
      </c>
      <c r="D979" s="4" t="inlineStr">
        <is>
          <t>US</t>
        </is>
      </c>
      <c r="E979" s="4" t="inlineStr">
        <is>
          <t>Inmobiliario</t>
        </is>
      </c>
      <c r="F979" s="4" t="inlineStr">
        <is>
          <t>REIT - Office</t>
        </is>
      </c>
      <c r="G979" s="4" t="inlineStr">
        <is>
          <t>NYQ</t>
        </is>
      </c>
      <c r="H979" s="4" t="inlineStr">
        <is>
          <t>USD</t>
        </is>
      </c>
      <c r="I979" s="5" t="n">
        <v>10611.1744</v>
      </c>
      <c r="J979" s="6">
        <f>INDEX(FX!$B:$B,MATCH(H979,FX!$A:$A,0))</f>
        <v/>
      </c>
      <c r="K979" s="5">
        <f>I979*J979</f>
        <v/>
      </c>
      <c r="L979" s="4">
        <f>IF(U979&lt;&gt;"",U979,IF(K979&gt;=Umbrales!$B$2,"Legendaria",IF(K979&gt;=Umbrales!$B$3,"Épica",IF(K979&gt;=Umbrales!$B$4,"Rara",IF(K979&gt;=Umbrales!$B$5,"Poco común","Común")))))</f>
        <v/>
      </c>
      <c r="M979" s="5" t="n">
        <v>3190.220032</v>
      </c>
      <c r="N979" s="5" t="n">
        <v>296.824992</v>
      </c>
      <c r="O979" s="5">
        <f>IF(M979="","",M979*J979)</f>
        <v/>
      </c>
      <c r="P979" s="5">
        <f>IF(N979="","",N979*J979)</f>
        <v/>
      </c>
      <c r="Q979" s="7" t="n">
        <v>0.0467</v>
      </c>
      <c r="R979" s="8" t="n">
        <v>32.773743</v>
      </c>
      <c r="S979" s="4" t="inlineStr">
        <is>
          <t>SP500</t>
        </is>
      </c>
      <c r="T979" s="9" t="inlineStr">
        <is>
          <t>SI</t>
        </is>
      </c>
      <c r="U979" s="9" t="inlineStr"/>
      <c r="V979" s="10">
        <f>Umbrales!$B$9*(K979/1000)^Umbrales!$B$10</f>
        <v/>
      </c>
    </row>
    <row r="980">
      <c r="A980" s="4" t="inlineStr">
        <is>
          <t>CLX</t>
        </is>
      </c>
      <c r="B980" s="4" t="inlineStr">
        <is>
          <t>The Clorox Company</t>
        </is>
      </c>
      <c r="C980" s="4" t="inlineStr">
        <is>
          <t>United States</t>
        </is>
      </c>
      <c r="D980" s="4" t="inlineStr">
        <is>
          <t>US</t>
        </is>
      </c>
      <c r="E980" s="4" t="inlineStr">
        <is>
          <t>Consumo básico</t>
        </is>
      </c>
      <c r="F980" s="4" t="inlineStr">
        <is>
          <t>Household &amp; Personal Products</t>
        </is>
      </c>
      <c r="G980" s="4" t="inlineStr">
        <is>
          <t>NYQ</t>
        </is>
      </c>
      <c r="H980" s="4" t="inlineStr">
        <is>
          <t>USD</t>
        </is>
      </c>
      <c r="I980" s="5" t="n">
        <v>10495.015936</v>
      </c>
      <c r="J980" s="6">
        <f>INDEX(FX!$B:$B,MATCH(H980,FX!$A:$A,0))</f>
        <v/>
      </c>
      <c r="K980" s="5">
        <f>I980*J980</f>
        <v/>
      </c>
      <c r="L980" s="4">
        <f>IF(U980&lt;&gt;"",U980,IF(K980&gt;=Umbrales!$B$2,"Legendaria",IF(K980&gt;=Umbrales!$B$3,"Épica",IF(K980&gt;=Umbrales!$B$4,"Rara",IF(K980&gt;=Umbrales!$B$5,"Poco común","Común")))))</f>
        <v/>
      </c>
      <c r="M980" s="5" t="n">
        <v>6720</v>
      </c>
      <c r="N980" s="5" t="n">
        <v>587</v>
      </c>
      <c r="O980" s="5">
        <f>IF(M980="","",M980*J980)</f>
        <v/>
      </c>
      <c r="P980" s="5">
        <f>IF(N980="","",N980*J980)</f>
        <v/>
      </c>
      <c r="Q980" s="7" t="n">
        <v>0.0592</v>
      </c>
      <c r="R980" s="8" t="n">
        <v>18.04158</v>
      </c>
      <c r="S980" s="4" t="inlineStr">
        <is>
          <t>SP500</t>
        </is>
      </c>
      <c r="T980" s="9" t="inlineStr">
        <is>
          <t>SI</t>
        </is>
      </c>
      <c r="U980" s="9" t="inlineStr"/>
      <c r="V980" s="10">
        <f>Umbrales!$B$9*(K980/1000)^Umbrales!$B$10</f>
        <v/>
      </c>
    </row>
    <row r="981">
      <c r="A981" s="4" t="inlineStr">
        <is>
          <t>HII</t>
        </is>
      </c>
      <c r="B981" s="4" t="inlineStr">
        <is>
          <t>Huntington Ingalls Industries, Inc.</t>
        </is>
      </c>
      <c r="C981" s="4" t="inlineStr">
        <is>
          <t>United States</t>
        </is>
      </c>
      <c r="D981" s="4" t="inlineStr">
        <is>
          <t>US</t>
        </is>
      </c>
      <c r="E981" s="4" t="inlineStr">
        <is>
          <t>Industria</t>
        </is>
      </c>
      <c r="F981" s="4" t="inlineStr">
        <is>
          <t>Aerospace &amp; Defense</t>
        </is>
      </c>
      <c r="G981" s="4" t="inlineStr">
        <is>
          <t>NYQ</t>
        </is>
      </c>
      <c r="H981" s="4" t="inlineStr">
        <is>
          <t>USD</t>
        </is>
      </c>
      <c r="I981" s="5" t="n">
        <v>10492.2624</v>
      </c>
      <c r="J981" s="6">
        <f>INDEX(FX!$B:$B,MATCH(H981,FX!$A:$A,0))</f>
        <v/>
      </c>
      <c r="K981" s="5">
        <f>I981*J981</f>
        <v/>
      </c>
      <c r="L981" s="4">
        <f>IF(U981&lt;&gt;"",U981,IF(K981&gt;=Umbrales!$B$2,"Legendaria",IF(K981&gt;=Umbrales!$B$3,"Épica",IF(K981&gt;=Umbrales!$B$4,"Rara",IF(K981&gt;=Umbrales!$B$5,"Poco común","Común")))))</f>
        <v/>
      </c>
      <c r="M981" s="5" t="n">
        <v>13185.000448</v>
      </c>
      <c r="N981" s="5" t="n">
        <v>661</v>
      </c>
      <c r="O981" s="5">
        <f>IF(M981="","",M981*J981)</f>
        <v/>
      </c>
      <c r="P981" s="5">
        <f>IF(N981="","",N981*J981)</f>
        <v/>
      </c>
      <c r="Q981" s="7" t="n">
        <v>0.0214</v>
      </c>
      <c r="R981" s="8" t="n">
        <v>15.462834</v>
      </c>
      <c r="S981" s="4" t="inlineStr">
        <is>
          <t>SP500</t>
        </is>
      </c>
      <c r="T981" s="9" t="inlineStr">
        <is>
          <t>SI</t>
        </is>
      </c>
      <c r="U981" s="9" t="inlineStr"/>
      <c r="V981" s="10">
        <f>Umbrales!$B$9*(K981/1000)^Umbrales!$B$10</f>
        <v/>
      </c>
    </row>
    <row r="982">
      <c r="A982" s="4" t="inlineStr">
        <is>
          <t>ALGN</t>
        </is>
      </c>
      <c r="B982" s="4" t="inlineStr">
        <is>
          <t>Align Technology, Inc.</t>
        </is>
      </c>
      <c r="C982" s="4" t="inlineStr">
        <is>
          <t>United States</t>
        </is>
      </c>
      <c r="D982" s="4" t="inlineStr">
        <is>
          <t>US</t>
        </is>
      </c>
      <c r="E982" s="4" t="inlineStr">
        <is>
          <t>Salud</t>
        </is>
      </c>
      <c r="F982" s="4" t="inlineStr">
        <is>
          <t>Medical Instruments &amp; Supplies</t>
        </is>
      </c>
      <c r="G982" s="4" t="inlineStr">
        <is>
          <t>NMS</t>
        </is>
      </c>
      <c r="H982" s="4" t="inlineStr">
        <is>
          <t>USD</t>
        </is>
      </c>
      <c r="I982" s="5" t="n">
        <v>10442.148864</v>
      </c>
      <c r="J982" s="6">
        <f>INDEX(FX!$B:$B,MATCH(H982,FX!$A:$A,0))</f>
        <v/>
      </c>
      <c r="K982" s="5">
        <f>I982*J982</f>
        <v/>
      </c>
      <c r="L982" s="4">
        <f>IF(U982&lt;&gt;"",U982,IF(K982&gt;=Umbrales!$B$2,"Legendaria",IF(K982&gt;=Umbrales!$B$3,"Épica",IF(K982&gt;=Umbrales!$B$4,"Rara",IF(K982&gt;=Umbrales!$B$5,"Poco común","Común")))))</f>
        <v/>
      </c>
      <c r="M982" s="5" t="n">
        <v>4139.532032</v>
      </c>
      <c r="N982" s="5" t="n">
        <v>413.577984</v>
      </c>
      <c r="O982" s="5">
        <f>IF(M982="","",M982*J982)</f>
        <v/>
      </c>
      <c r="P982" s="5">
        <f>IF(N982="","",N982*J982)</f>
        <v/>
      </c>
      <c r="Q982" s="7" t="n">
        <v>0</v>
      </c>
      <c r="R982" s="8" t="n">
        <v>25.386875</v>
      </c>
      <c r="S982" s="4" t="inlineStr">
        <is>
          <t>SP500</t>
        </is>
      </c>
      <c r="T982" s="9" t="inlineStr">
        <is>
          <t>SI</t>
        </is>
      </c>
      <c r="U982" s="9" t="inlineStr"/>
      <c r="V982" s="10">
        <f>Umbrales!$B$9*(K982/1000)^Umbrales!$B$10</f>
        <v/>
      </c>
    </row>
    <row r="983">
      <c r="A983" s="4" t="inlineStr">
        <is>
          <t>RTO.L</t>
        </is>
      </c>
      <c r="B983" s="4" t="inlineStr">
        <is>
          <t>Rentokil Initial plc</t>
        </is>
      </c>
      <c r="C983" s="4" t="inlineStr">
        <is>
          <t>United Kingdom</t>
        </is>
      </c>
      <c r="D983" s="4" t="inlineStr">
        <is>
          <t>GB</t>
        </is>
      </c>
      <c r="E983" s="4" t="inlineStr">
        <is>
          <t>Industria</t>
        </is>
      </c>
      <c r="F983" s="4" t="inlineStr">
        <is>
          <t>Specialty Business Services</t>
        </is>
      </c>
      <c r="G983" s="4" t="inlineStr">
        <is>
          <t>LSE</t>
        </is>
      </c>
      <c r="H983" s="4" t="inlineStr">
        <is>
          <t>GBP</t>
        </is>
      </c>
      <c r="I983" s="5" t="n">
        <v>7863.24992</v>
      </c>
      <c r="J983" s="6">
        <f>INDEX(FX!$B:$B,MATCH(H983,FX!$A:$A,0))</f>
        <v/>
      </c>
      <c r="K983" s="5">
        <f>I983*J983</f>
        <v/>
      </c>
      <c r="L983" s="4">
        <f>IF(U983&lt;&gt;"",U983,IF(K983&gt;=Umbrales!$B$2,"Legendaria",IF(K983&gt;=Umbrales!$B$3,"Épica",IF(K983&gt;=Umbrales!$B$4,"Rara",IF(K983&gt;=Umbrales!$B$5,"Poco común","Común")))))</f>
        <v/>
      </c>
      <c r="M983" s="5" t="n">
        <v>7133.000192</v>
      </c>
      <c r="N983" s="5" t="n">
        <v>322</v>
      </c>
      <c r="O983" s="5">
        <f>IF(M983="","",M983*J983)</f>
        <v/>
      </c>
      <c r="P983" s="5">
        <f>IF(N983="","",N983*J983)</f>
        <v/>
      </c>
      <c r="Q983" s="7" t="n">
        <v>0.0307</v>
      </c>
      <c r="R983" s="8" t="n">
        <v>34.72222</v>
      </c>
      <c r="S983" s="4" t="inlineStr">
        <is>
          <t>FTSE100</t>
        </is>
      </c>
      <c r="T983" s="9" t="inlineStr">
        <is>
          <t>SI</t>
        </is>
      </c>
      <c r="U983" s="9" t="inlineStr"/>
      <c r="V983" s="10">
        <f>Umbrales!$B$9*(K983/1000)^Umbrales!$B$10</f>
        <v/>
      </c>
    </row>
    <row r="984">
      <c r="A984" s="4" t="inlineStr">
        <is>
          <t>BNR.DE</t>
        </is>
      </c>
      <c r="B984" s="4" t="inlineStr">
        <is>
          <t>Brenntag SE</t>
        </is>
      </c>
      <c r="C984" s="4" t="inlineStr">
        <is>
          <t>Germany</t>
        </is>
      </c>
      <c r="D984" s="4" t="inlineStr">
        <is>
          <t>DE</t>
        </is>
      </c>
      <c r="E984" s="4" t="inlineStr">
        <is>
          <t>Materiales</t>
        </is>
      </c>
      <c r="F984" s="4" t="inlineStr">
        <is>
          <t>Specialty Chemicals</t>
        </is>
      </c>
      <c r="G984" s="4" t="inlineStr">
        <is>
          <t>GER</t>
        </is>
      </c>
      <c r="H984" s="4" t="inlineStr">
        <is>
          <t>EUR</t>
        </is>
      </c>
      <c r="I984" s="5" t="n">
        <v>9214.674944</v>
      </c>
      <c r="J984" s="6">
        <f>INDEX(FX!$B:$B,MATCH(H984,FX!$A:$A,0))</f>
        <v/>
      </c>
      <c r="K984" s="5">
        <f>I984*J984</f>
        <v/>
      </c>
      <c r="L984" s="4">
        <f>IF(U984&lt;&gt;"",U984,IF(K984&gt;=Umbrales!$B$2,"Legendaria",IF(K984&gt;=Umbrales!$B$3,"Épica",IF(K984&gt;=Umbrales!$B$4,"Rara",IF(K984&gt;=Umbrales!$B$5,"Poco común","Común")))))</f>
        <v/>
      </c>
      <c r="M984" s="5" t="n">
        <v>15155.500032</v>
      </c>
      <c r="N984" s="5" t="n">
        <v>364.6</v>
      </c>
      <c r="O984" s="5">
        <f>IF(M984="","",M984*J984)</f>
        <v/>
      </c>
      <c r="P984" s="5">
        <f>IF(N984="","",N984*J984)</f>
        <v/>
      </c>
      <c r="Q984" s="7" t="n">
        <v>0.0309</v>
      </c>
      <c r="R984" s="8" t="n">
        <v>24.546154</v>
      </c>
      <c r="S984" s="4" t="inlineStr">
        <is>
          <t>DAX40</t>
        </is>
      </c>
      <c r="T984" s="9" t="inlineStr">
        <is>
          <t>SI</t>
        </is>
      </c>
      <c r="U984" s="9" t="inlineStr"/>
      <c r="V984" s="10">
        <f>Umbrales!$B$9*(K984/1000)^Umbrales!$B$10</f>
        <v/>
      </c>
    </row>
    <row r="985">
      <c r="A985" s="4" t="inlineStr">
        <is>
          <t>TATACONSUM.NS</t>
        </is>
      </c>
      <c r="B985" s="4" t="inlineStr">
        <is>
          <t>Tata Consumer Products Limited</t>
        </is>
      </c>
      <c r="C985" s="4" t="inlineStr">
        <is>
          <t>India</t>
        </is>
      </c>
      <c r="D985" s="4" t="inlineStr">
        <is>
          <t>IN</t>
        </is>
      </c>
      <c r="E985" s="4" t="inlineStr">
        <is>
          <t>Consumo básico</t>
        </is>
      </c>
      <c r="F985" s="4" t="inlineStr">
        <is>
          <t>Packaged Foods</t>
        </is>
      </c>
      <c r="G985" s="4" t="inlineStr">
        <is>
          <t>NSI</t>
        </is>
      </c>
      <c r="H985" s="4" t="inlineStr">
        <is>
          <t>INR</t>
        </is>
      </c>
      <c r="I985" s="5" t="n">
        <v>981236.1216</v>
      </c>
      <c r="J985" s="6">
        <f>INDEX(FX!$B:$B,MATCH(H985,FX!$A:$A,0))</f>
        <v/>
      </c>
      <c r="K985" s="5">
        <f>I985*J985</f>
        <v/>
      </c>
      <c r="L985" s="4">
        <f>IF(U985&lt;&gt;"",U985,IF(K985&gt;=Umbrales!$B$2,"Legendaria",IF(K985&gt;=Umbrales!$B$3,"Épica",IF(K985&gt;=Umbrales!$B$4,"Rara",IF(K985&gt;=Umbrales!$B$5,"Poco común","Común")))))</f>
        <v/>
      </c>
      <c r="M985" s="5" t="n">
        <v>208604.004352</v>
      </c>
      <c r="N985" s="5" t="n">
        <v>16351.299584</v>
      </c>
      <c r="O985" s="5">
        <f>IF(M985="","",M985*J985)</f>
        <v/>
      </c>
      <c r="P985" s="5">
        <f>IF(N985="","",N985*J985)</f>
        <v/>
      </c>
      <c r="Q985" s="7" t="n">
        <v>0.0101</v>
      </c>
      <c r="R985" s="8" t="n">
        <v>60.015133</v>
      </c>
      <c r="S985" s="4" t="inlineStr">
        <is>
          <t>NIFTY50</t>
        </is>
      </c>
      <c r="T985" s="9" t="inlineStr">
        <is>
          <t>SI</t>
        </is>
      </c>
      <c r="U985" s="9" t="inlineStr"/>
      <c r="V985" s="10">
        <f>Umbrales!$B$9*(K985/1000)^Umbrales!$B$10</f>
        <v/>
      </c>
    </row>
    <row r="986">
      <c r="A986" s="4" t="inlineStr">
        <is>
          <t>SBRY.L</t>
        </is>
      </c>
      <c r="B986" s="4" t="inlineStr">
        <is>
          <t>J Sainsbury plc</t>
        </is>
      </c>
      <c r="C986" s="4" t="inlineStr">
        <is>
          <t>United Kingdom</t>
        </is>
      </c>
      <c r="D986" s="4" t="inlineStr">
        <is>
          <t>GB</t>
        </is>
      </c>
      <c r="E986" s="4" t="inlineStr">
        <is>
          <t>Consumo básico</t>
        </is>
      </c>
      <c r="F986" s="4" t="inlineStr">
        <is>
          <t>Grocery Stores</t>
        </is>
      </c>
      <c r="G986" s="4" t="inlineStr">
        <is>
          <t>LSE</t>
        </is>
      </c>
      <c r="H986" s="4" t="inlineStr">
        <is>
          <t>GBP</t>
        </is>
      </c>
      <c r="I986" s="5" t="n">
        <v>7670.111744</v>
      </c>
      <c r="J986" s="6">
        <f>INDEX(FX!$B:$B,MATCH(H986,FX!$A:$A,0))</f>
        <v/>
      </c>
      <c r="K986" s="5">
        <f>I986*J986</f>
        <v/>
      </c>
      <c r="L986" s="4">
        <f>IF(U986&lt;&gt;"",U986,IF(K986&gt;=Umbrales!$B$2,"Legendaria",IF(K986&gt;=Umbrales!$B$3,"Épica",IF(K986&gt;=Umbrales!$B$4,"Rara",IF(K986&gt;=Umbrales!$B$5,"Poco común","Común")))))</f>
        <v/>
      </c>
      <c r="M986" s="5" t="n">
        <v>33646.999552</v>
      </c>
      <c r="N986" s="5" t="n">
        <v>414</v>
      </c>
      <c r="O986" s="5">
        <f>IF(M986="","",M986*J986)</f>
        <v/>
      </c>
      <c r="P986" s="5">
        <f>IF(N986="","",N986*J986)</f>
        <v/>
      </c>
      <c r="Q986" s="7" t="n">
        <v>0.0403</v>
      </c>
      <c r="R986" s="8" t="n">
        <v>19.555555</v>
      </c>
      <c r="S986" s="4" t="inlineStr">
        <is>
          <t>FTSE100</t>
        </is>
      </c>
      <c r="T986" s="9" t="inlineStr">
        <is>
          <t>SI</t>
        </is>
      </c>
      <c r="U986" s="9" t="inlineStr"/>
      <c r="V986" s="10">
        <f>Umbrales!$B$9*(K986/1000)^Umbrales!$B$10</f>
        <v/>
      </c>
    </row>
    <row r="987">
      <c r="A987" s="4" t="inlineStr">
        <is>
          <t>1876.HK</t>
        </is>
      </c>
      <c r="B987" s="4" t="inlineStr">
        <is>
          <t>Budweiser Brewing Company APAC Limited</t>
        </is>
      </c>
      <c r="C987" s="4" t="inlineStr">
        <is>
          <t>Hong Kong</t>
        </is>
      </c>
      <c r="D987" s="4" t="inlineStr">
        <is>
          <t>HK</t>
        </is>
      </c>
      <c r="E987" s="4" t="inlineStr">
        <is>
          <t>Consumo básico</t>
        </is>
      </c>
      <c r="F987" s="4" t="inlineStr">
        <is>
          <t>Beverages - Brewers</t>
        </is>
      </c>
      <c r="G987" s="4" t="inlineStr">
        <is>
          <t>HKG</t>
        </is>
      </c>
      <c r="H987" s="4" t="inlineStr">
        <is>
          <t>HKD</t>
        </is>
      </c>
      <c r="I987" s="5" t="n">
        <v>79444.762624</v>
      </c>
      <c r="J987" s="6">
        <f>INDEX(FX!$B:$B,MATCH(H987,FX!$A:$A,0))</f>
        <v/>
      </c>
      <c r="K987" s="5">
        <f>I987*J987</f>
        <v/>
      </c>
      <c r="L987" s="4">
        <f>IF(U987&lt;&gt;"",U987,IF(K987&gt;=Umbrales!$B$2,"Legendaria",IF(K987&gt;=Umbrales!$B$3,"Épica",IF(K987&gt;=Umbrales!$B$4,"Rara",IF(K987&gt;=Umbrales!$B$5,"Poco común","Común")))))</f>
        <v/>
      </c>
      <c r="M987" s="5" t="n">
        <v>5799.000064</v>
      </c>
      <c r="N987" s="5" t="n">
        <v>553</v>
      </c>
      <c r="O987" s="5">
        <f>IF(M987="","",M987*J987)</f>
        <v/>
      </c>
      <c r="P987" s="5">
        <f>IF(N987="","",N987*J987)</f>
        <v/>
      </c>
      <c r="Q987" s="7" t="n">
        <v>0.0747</v>
      </c>
      <c r="R987" s="8" t="n">
        <v>18.765625</v>
      </c>
      <c r="S987" s="4" t="inlineStr">
        <is>
          <t>HANGSENG</t>
        </is>
      </c>
      <c r="T987" s="9" t="inlineStr">
        <is>
          <t>SI</t>
        </is>
      </c>
      <c r="U987" s="9" t="inlineStr"/>
      <c r="V987" s="10">
        <f>Umbrales!$B$9*(K987/1000)^Umbrales!$B$10</f>
        <v/>
      </c>
    </row>
    <row r="988">
      <c r="A988" s="4" t="inlineStr">
        <is>
          <t>DPZ</t>
        </is>
      </c>
      <c r="B988" s="4" t="inlineStr">
        <is>
          <t>Domino's Pizza, Inc.</t>
        </is>
      </c>
      <c r="C988" s="4" t="inlineStr">
        <is>
          <t>United States</t>
        </is>
      </c>
      <c r="D988" s="4" t="inlineStr">
        <is>
          <t>US</t>
        </is>
      </c>
      <c r="E988" s="4" t="inlineStr">
        <is>
          <t>Consumo cíclico</t>
        </is>
      </c>
      <c r="F988" s="4" t="inlineStr">
        <is>
          <t>Restaurants</t>
        </is>
      </c>
      <c r="G988" s="4" t="inlineStr">
        <is>
          <t>NMS</t>
        </is>
      </c>
      <c r="H988" s="4" t="inlineStr">
        <is>
          <t>USD</t>
        </is>
      </c>
      <c r="I988" s="5" t="n">
        <v>9953.688576</v>
      </c>
      <c r="J988" s="6">
        <f>INDEX(FX!$B:$B,MATCH(H988,FX!$A:$A,0))</f>
        <v/>
      </c>
      <c r="K988" s="5">
        <f>I988*J988</f>
        <v/>
      </c>
      <c r="L988" s="4">
        <f>IF(U988&lt;&gt;"",U988,IF(K988&gt;=Umbrales!$B$2,"Legendaria",IF(K988&gt;=Umbrales!$B$3,"Épica",IF(K988&gt;=Umbrales!$B$4,"Rara",IF(K988&gt;=Umbrales!$B$5,"Poco común","Común")))))</f>
        <v/>
      </c>
      <c r="M988" s="5" t="n">
        <v>5066.358784</v>
      </c>
      <c r="N988" s="5" t="n">
        <v>609.382976</v>
      </c>
      <c r="O988" s="5">
        <f>IF(M988="","",M988*J988)</f>
        <v/>
      </c>
      <c r="P988" s="5">
        <f>IF(N988="","",N988*J988)</f>
        <v/>
      </c>
      <c r="Q988" s="7" t="n">
        <v>0.0269</v>
      </c>
      <c r="R988" s="8" t="n">
        <v>16.680264</v>
      </c>
      <c r="S988" s="4" t="inlineStr">
        <is>
          <t>SP500</t>
        </is>
      </c>
      <c r="T988" s="9" t="inlineStr">
        <is>
          <t>SI</t>
        </is>
      </c>
      <c r="U988" s="9" t="inlineStr"/>
      <c r="V988" s="10">
        <f>Umbrales!$B$9*(K988/1000)^Umbrales!$B$10</f>
        <v/>
      </c>
    </row>
    <row r="989">
      <c r="A989" s="4" t="inlineStr">
        <is>
          <t>HSIC</t>
        </is>
      </c>
      <c r="B989" s="4" t="inlineStr">
        <is>
          <t>Henry Schein, Inc.</t>
        </is>
      </c>
      <c r="C989" s="4" t="inlineStr">
        <is>
          <t>United States</t>
        </is>
      </c>
      <c r="D989" s="4" t="inlineStr">
        <is>
          <t>US</t>
        </is>
      </c>
      <c r="E989" s="4" t="inlineStr">
        <is>
          <t>Salud</t>
        </is>
      </c>
      <c r="F989" s="4" t="inlineStr">
        <is>
          <t>Medical Distribution</t>
        </is>
      </c>
      <c r="G989" s="4" t="inlineStr">
        <is>
          <t>NMS</t>
        </is>
      </c>
      <c r="H989" s="4" t="inlineStr">
        <is>
          <t>USD</t>
        </is>
      </c>
      <c r="I989" s="5" t="n">
        <v>9919.871999999999</v>
      </c>
      <c r="J989" s="6">
        <f>INDEX(FX!$B:$B,MATCH(H989,FX!$A:$A,0))</f>
        <v/>
      </c>
      <c r="K989" s="5">
        <f>I989*J989</f>
        <v/>
      </c>
      <c r="L989" s="4">
        <f>IF(U989&lt;&gt;"",U989,IF(K989&gt;=Umbrales!$B$2,"Legendaria",IF(K989&gt;=Umbrales!$B$3,"Épica",IF(K989&gt;=Umbrales!$B$4,"Rara",IF(K989&gt;=Umbrales!$B$5,"Poco común","Común")))))</f>
        <v/>
      </c>
      <c r="M989" s="5" t="n">
        <v>13601.999872</v>
      </c>
      <c r="N989" s="5" t="n">
        <v>403</v>
      </c>
      <c r="O989" s="5">
        <f>IF(M989="","",M989*J989)</f>
        <v/>
      </c>
      <c r="P989" s="5">
        <f>IF(N989="","",N989*J989)</f>
        <v/>
      </c>
      <c r="Q989" s="7" t="n">
        <v>0</v>
      </c>
      <c r="R989" s="8" t="n">
        <v>25.24058</v>
      </c>
      <c r="S989" s="4" t="inlineStr">
        <is>
          <t>SP500</t>
        </is>
      </c>
      <c r="T989" s="9" t="inlineStr">
        <is>
          <t>SI</t>
        </is>
      </c>
      <c r="U989" s="9" t="inlineStr"/>
      <c r="V989" s="10">
        <f>Umbrales!$B$9*(K989/1000)^Umbrales!$B$10</f>
        <v/>
      </c>
    </row>
    <row r="990">
      <c r="A990" s="4" t="inlineStr">
        <is>
          <t>CPT</t>
        </is>
      </c>
      <c r="B990" s="4" t="inlineStr">
        <is>
          <t>Camden Property Trust</t>
        </is>
      </c>
      <c r="C990" s="4" t="inlineStr">
        <is>
          <t>United States</t>
        </is>
      </c>
      <c r="D990" s="4" t="inlineStr">
        <is>
          <t>US</t>
        </is>
      </c>
      <c r="E990" s="4" t="inlineStr">
        <is>
          <t>Inmobiliario</t>
        </is>
      </c>
      <c r="F990" s="4" t="inlineStr">
        <is>
          <t>REIT - Residential</t>
        </is>
      </c>
      <c r="G990" s="4" t="inlineStr">
        <is>
          <t>NYQ</t>
        </is>
      </c>
      <c r="H990" s="4" t="inlineStr">
        <is>
          <t>USD</t>
        </is>
      </c>
      <c r="I990" s="5" t="n">
        <v>9858.898944</v>
      </c>
      <c r="J990" s="6">
        <f>INDEX(FX!$B:$B,MATCH(H990,FX!$A:$A,0))</f>
        <v/>
      </c>
      <c r="K990" s="5">
        <f>I990*J990</f>
        <v/>
      </c>
      <c r="L990" s="4">
        <f>IF(U990&lt;&gt;"",U990,IF(K990&gt;=Umbrales!$B$2,"Legendaria",IF(K990&gt;=Umbrales!$B$3,"Épica",IF(K990&gt;=Umbrales!$B$4,"Rara",IF(K990&gt;=Umbrales!$B$5,"Poco común","Común")))))</f>
        <v/>
      </c>
      <c r="M990" s="5" t="n">
        <v>1581.868032</v>
      </c>
      <c r="N990" s="5" t="n">
        <v>325.515008</v>
      </c>
      <c r="O990" s="5">
        <f>IF(M990="","",M990*J990)</f>
        <v/>
      </c>
      <c r="P990" s="5">
        <f>IF(N990="","",N990*J990)</f>
        <v/>
      </c>
      <c r="Q990" s="7" t="n">
        <v>0.0433</v>
      </c>
      <c r="R990" s="8" t="n">
        <v>32.578106</v>
      </c>
      <c r="S990" s="4" t="inlineStr">
        <is>
          <t>SP500</t>
        </is>
      </c>
      <c r="T990" s="9" t="inlineStr">
        <is>
          <t>SI</t>
        </is>
      </c>
      <c r="U990" s="9" t="inlineStr"/>
      <c r="V990" s="10">
        <f>Umbrales!$B$9*(K990/1000)^Umbrales!$B$10</f>
        <v/>
      </c>
    </row>
    <row r="991">
      <c r="A991" s="4" t="inlineStr">
        <is>
          <t>MNG.L</t>
        </is>
      </c>
      <c r="B991" s="4" t="inlineStr">
        <is>
          <t>M&amp;G plc</t>
        </is>
      </c>
      <c r="C991" s="4" t="inlineStr">
        <is>
          <t>United Kingdom</t>
        </is>
      </c>
      <c r="D991" s="4" t="inlineStr">
        <is>
          <t>GB</t>
        </is>
      </c>
      <c r="E991" s="4" t="inlineStr">
        <is>
          <t>Finanzas</t>
        </is>
      </c>
      <c r="F991" s="4" t="inlineStr">
        <is>
          <t>Asset Management</t>
        </is>
      </c>
      <c r="G991" s="4" t="inlineStr">
        <is>
          <t>LSE</t>
        </is>
      </c>
      <c r="H991" s="4" t="inlineStr">
        <is>
          <t>GBP</t>
        </is>
      </c>
      <c r="I991" s="5" t="n">
        <v>7388.023808</v>
      </c>
      <c r="J991" s="6">
        <f>INDEX(FX!$B:$B,MATCH(H991,FX!$A:$A,0))</f>
        <v/>
      </c>
      <c r="K991" s="5">
        <f>I991*J991</f>
        <v/>
      </c>
      <c r="L991" s="4">
        <f>IF(U991&lt;&gt;"",U991,IF(K991&gt;=Umbrales!$B$2,"Legendaria",IF(K991&gt;=Umbrales!$B$3,"Épica",IF(K991&gt;=Umbrales!$B$4,"Rara",IF(K991&gt;=Umbrales!$B$5,"Poco común","Común")))))</f>
        <v/>
      </c>
      <c r="M991" s="5" t="n">
        <v>7104.999936</v>
      </c>
      <c r="N991" s="5" t="n">
        <v>-111</v>
      </c>
      <c r="O991" s="5">
        <f>IF(M991="","",M991*J991)</f>
        <v/>
      </c>
      <c r="P991" s="5">
        <f>IF(N991="","",N991*J991)</f>
        <v/>
      </c>
      <c r="Q991" s="7" t="n">
        <v>0.067</v>
      </c>
      <c r="R991" s="8" t="n"/>
      <c r="S991" s="4" t="inlineStr">
        <is>
          <t>FTSE100</t>
        </is>
      </c>
      <c r="T991" s="9" t="inlineStr">
        <is>
          <t>SI</t>
        </is>
      </c>
      <c r="U991" s="9" t="inlineStr"/>
      <c r="V991" s="10">
        <f>Umbrales!$B$9*(K991/1000)^Umbrales!$B$10</f>
        <v/>
      </c>
    </row>
    <row r="992">
      <c r="A992" s="4" t="inlineStr">
        <is>
          <t>SMIN.L</t>
        </is>
      </c>
      <c r="B992" s="4" t="inlineStr">
        <is>
          <t>Smiths Group plc</t>
        </is>
      </c>
      <c r="C992" s="4" t="inlineStr">
        <is>
          <t>United Kingdom</t>
        </is>
      </c>
      <c r="D992" s="4" t="inlineStr">
        <is>
          <t>GB</t>
        </is>
      </c>
      <c r="E992" s="4" t="inlineStr">
        <is>
          <t>Industria</t>
        </is>
      </c>
      <c r="F992" s="4" t="inlineStr">
        <is>
          <t>Specialty Industrial Machinery</t>
        </is>
      </c>
      <c r="G992" s="4" t="inlineStr">
        <is>
          <t>LSE</t>
        </is>
      </c>
      <c r="H992" s="4" t="inlineStr">
        <is>
          <t>GBP</t>
        </is>
      </c>
      <c r="I992" s="5" t="n">
        <v>7365.162496</v>
      </c>
      <c r="J992" s="6">
        <f>INDEX(FX!$B:$B,MATCH(H992,FX!$A:$A,0))</f>
        <v/>
      </c>
      <c r="K992" s="5">
        <f>I992*J992</f>
        <v/>
      </c>
      <c r="L992" s="4">
        <f>IF(U992&lt;&gt;"",U992,IF(K992&gt;=Umbrales!$B$2,"Legendaria",IF(K992&gt;=Umbrales!$B$3,"Épica",IF(K992&gt;=Umbrales!$B$4,"Rara",IF(K992&gt;=Umbrales!$B$5,"Poco común","Común")))))</f>
        <v/>
      </c>
      <c r="M992" s="5" t="n">
        <v>1936.999936</v>
      </c>
      <c r="N992" s="5" t="n">
        <v>155</v>
      </c>
      <c r="O992" s="5">
        <f>IF(M992="","",M992*J992)</f>
        <v/>
      </c>
      <c r="P992" s="5">
        <f>IF(N992="","",N992*J992)</f>
        <v/>
      </c>
      <c r="Q992" s="7" t="n">
        <v>0.0172</v>
      </c>
      <c r="R992" s="8" t="n">
        <v>54.346935</v>
      </c>
      <c r="S992" s="4" t="inlineStr">
        <is>
          <t>FTSE100</t>
        </is>
      </c>
      <c r="T992" s="9" t="inlineStr">
        <is>
          <t>SI</t>
        </is>
      </c>
      <c r="U992" s="9" t="inlineStr"/>
      <c r="V992" s="10">
        <f>Umbrales!$B$9*(K992/1000)^Umbrales!$B$10</f>
        <v/>
      </c>
    </row>
    <row r="993">
      <c r="A993" s="4" t="inlineStr">
        <is>
          <t>IG.MI</t>
        </is>
      </c>
      <c r="B993" s="4" t="inlineStr">
        <is>
          <t>Italgas S.p.A.</t>
        </is>
      </c>
      <c r="C993" s="4" t="inlineStr">
        <is>
          <t>Italy</t>
        </is>
      </c>
      <c r="D993" s="4" t="inlineStr">
        <is>
          <t>IT</t>
        </is>
      </c>
      <c r="E993" s="4" t="inlineStr">
        <is>
          <t>Servicios públicos</t>
        </is>
      </c>
      <c r="F993" s="4" t="inlineStr">
        <is>
          <t>Utilities - Regulated Gas</t>
        </is>
      </c>
      <c r="G993" s="4" t="inlineStr">
        <is>
          <t>MIL</t>
        </is>
      </c>
      <c r="H993" s="4" t="inlineStr">
        <is>
          <t>EUR</t>
        </is>
      </c>
      <c r="I993" s="5" t="n">
        <v>8689.067008</v>
      </c>
      <c r="J993" s="6">
        <f>INDEX(FX!$B:$B,MATCH(H993,FX!$A:$A,0))</f>
        <v/>
      </c>
      <c r="K993" s="5">
        <f>I993*J993</f>
        <v/>
      </c>
      <c r="L993" s="4">
        <f>IF(U993&lt;&gt;"",U993,IF(K993&gt;=Umbrales!$B$2,"Legendaria",IF(K993&gt;=Umbrales!$B$3,"Épica",IF(K993&gt;=Umbrales!$B$4,"Rara",IF(K993&gt;=Umbrales!$B$5,"Poco común","Común")))))</f>
        <v/>
      </c>
      <c r="M993" s="5" t="n">
        <v>3870.021888</v>
      </c>
      <c r="N993" s="5" t="n">
        <v>723.779008</v>
      </c>
      <c r="O993" s="5">
        <f>IF(M993="","",M993*J993)</f>
        <v/>
      </c>
      <c r="P993" s="5">
        <f>IF(N993="","",N993*J993)</f>
        <v/>
      </c>
      <c r="Q993" s="7" t="n">
        <v>0.0521</v>
      </c>
      <c r="R993" s="8" t="n">
        <v>12.191429</v>
      </c>
      <c r="S993" s="4" t="inlineStr">
        <is>
          <t>FTSEMIB</t>
        </is>
      </c>
      <c r="T993" s="9" t="inlineStr">
        <is>
          <t>SI</t>
        </is>
      </c>
      <c r="U993" s="9" t="inlineStr"/>
      <c r="V993" s="10">
        <f>Umbrales!$B$9*(K993/1000)^Umbrales!$B$10</f>
        <v/>
      </c>
    </row>
    <row r="994">
      <c r="A994" s="4" t="inlineStr">
        <is>
          <t>SPM.MI</t>
        </is>
      </c>
      <c r="B994" s="4" t="inlineStr">
        <is>
          <t>Saipem SpA</t>
        </is>
      </c>
      <c r="C994" s="4" t="inlineStr">
        <is>
          <t>Italy</t>
        </is>
      </c>
      <c r="D994" s="4" t="inlineStr">
        <is>
          <t>IT</t>
        </is>
      </c>
      <c r="E994" s="4" t="inlineStr">
        <is>
          <t>Energía</t>
        </is>
      </c>
      <c r="F994" s="4" t="inlineStr">
        <is>
          <t>Oil &amp; Gas Equipment &amp; Services</t>
        </is>
      </c>
      <c r="G994" s="4" t="inlineStr">
        <is>
          <t>MIL</t>
        </is>
      </c>
      <c r="H994" s="4" t="inlineStr">
        <is>
          <t>EUR</t>
        </is>
      </c>
      <c r="I994" s="5" t="n">
        <v>8552.766464</v>
      </c>
      <c r="J994" s="6">
        <f>INDEX(FX!$B:$B,MATCH(H994,FX!$A:$A,0))</f>
        <v/>
      </c>
      <c r="K994" s="5">
        <f>I994*J994</f>
        <v/>
      </c>
      <c r="L994" s="4">
        <f>IF(U994&lt;&gt;"",U994,IF(K994&gt;=Umbrales!$B$2,"Legendaria",IF(K994&gt;=Umbrales!$B$3,"Épica",IF(K994&gt;=Umbrales!$B$4,"Rara",IF(K994&gt;=Umbrales!$B$5,"Poco común","Común")))))</f>
        <v/>
      </c>
      <c r="M994" s="5" t="n">
        <v>15642.000384</v>
      </c>
      <c r="N994" s="5" t="n">
        <v>267</v>
      </c>
      <c r="O994" s="5">
        <f>IF(M994="","",M994*J994)</f>
        <v/>
      </c>
      <c r="P994" s="5">
        <f>IF(N994="","",N994*J994)</f>
        <v/>
      </c>
      <c r="Q994" s="7" t="n">
        <v>0.0365</v>
      </c>
      <c r="R994" s="8" t="n">
        <v>33.907692</v>
      </c>
      <c r="S994" s="4" t="inlineStr">
        <is>
          <t>FTSEMIB</t>
        </is>
      </c>
      <c r="T994" s="9" t="inlineStr">
        <is>
          <t>SI</t>
        </is>
      </c>
      <c r="U994" s="9" t="inlineStr"/>
      <c r="V994" s="10">
        <f>Umbrales!$B$9*(K994/1000)^Umbrales!$B$10</f>
        <v/>
      </c>
    </row>
    <row r="995">
      <c r="A995" s="4" t="inlineStr">
        <is>
          <t>PODD</t>
        </is>
      </c>
      <c r="B995" s="4" t="inlineStr">
        <is>
          <t>Insulet Corporation</t>
        </is>
      </c>
      <c r="C995" s="4" t="inlineStr">
        <is>
          <t>United States</t>
        </is>
      </c>
      <c r="D995" s="4" t="inlineStr">
        <is>
          <t>US</t>
        </is>
      </c>
      <c r="E995" s="4" t="inlineStr">
        <is>
          <t>Salud</t>
        </is>
      </c>
      <c r="F995" s="4" t="inlineStr">
        <is>
          <t>Medical Devices</t>
        </is>
      </c>
      <c r="G995" s="4" t="inlineStr">
        <is>
          <t>NMS</t>
        </is>
      </c>
      <c r="H995" s="4" t="inlineStr">
        <is>
          <t>USD</t>
        </is>
      </c>
      <c r="I995" s="5" t="n">
        <v>9554.92864</v>
      </c>
      <c r="J995" s="6">
        <f>INDEX(FX!$B:$B,MATCH(H995,FX!$A:$A,0))</f>
        <v/>
      </c>
      <c r="K995" s="5">
        <f>I995*J995</f>
        <v/>
      </c>
      <c r="L995" s="4">
        <f>IF(U995&lt;&gt;"",U995,IF(K995&gt;=Umbrales!$B$2,"Legendaria",IF(K995&gt;=Umbrales!$B$3,"Épica",IF(K995&gt;=Umbrales!$B$4,"Rara",IF(K995&gt;=Umbrales!$B$5,"Poco común","Común")))))</f>
        <v/>
      </c>
      <c r="M995" s="5" t="n">
        <v>3053.400064</v>
      </c>
      <c r="N995" s="5" t="n">
        <v>375.3</v>
      </c>
      <c r="O995" s="5">
        <f>IF(M995="","",M995*J995)</f>
        <v/>
      </c>
      <c r="P995" s="5">
        <f>IF(N995="","",N995*J995)</f>
        <v/>
      </c>
      <c r="Q995" s="7" t="n">
        <v>0</v>
      </c>
      <c r="R995" s="8" t="n">
        <v>26.596527</v>
      </c>
      <c r="S995" s="4" t="inlineStr">
        <is>
          <t>SP500</t>
        </is>
      </c>
      <c r="T995" s="9" t="inlineStr">
        <is>
          <t>SI</t>
        </is>
      </c>
      <c r="U995" s="9" t="inlineStr"/>
      <c r="V995" s="10">
        <f>Umbrales!$B$9*(K995/1000)^Umbrales!$B$10</f>
        <v/>
      </c>
    </row>
    <row r="996">
      <c r="A996" s="4" t="inlineStr">
        <is>
          <t>QIA.DE</t>
        </is>
      </c>
      <c r="B996" s="4" t="inlineStr">
        <is>
          <t>Qiagen N.V.</t>
        </is>
      </c>
      <c r="C996" s="4" t="inlineStr">
        <is>
          <t>Netherlands</t>
        </is>
      </c>
      <c r="D996" s="4" t="inlineStr">
        <is>
          <t>NL</t>
        </is>
      </c>
      <c r="E996" s="4" t="inlineStr">
        <is>
          <t>Salud</t>
        </is>
      </c>
      <c r="F996" s="4" t="inlineStr">
        <is>
          <t>Diagnostics &amp; Research</t>
        </is>
      </c>
      <c r="G996" s="4" t="inlineStr">
        <is>
          <t>GER</t>
        </is>
      </c>
      <c r="H996" s="4" t="inlineStr">
        <is>
          <t>EUR</t>
        </is>
      </c>
      <c r="I996" s="5" t="n">
        <v>8482.815488</v>
      </c>
      <c r="J996" s="6">
        <f>INDEX(FX!$B:$B,MATCH(H996,FX!$A:$A,0))</f>
        <v/>
      </c>
      <c r="K996" s="5">
        <f>I996*J996</f>
        <v/>
      </c>
      <c r="L996" s="4">
        <f>IF(U996&lt;&gt;"",U996,IF(K996&gt;=Umbrales!$B$2,"Legendaria",IF(K996&gt;=Umbrales!$B$3,"Épica",IF(K996&gt;=Umbrales!$B$4,"Rara",IF(K996&gt;=Umbrales!$B$5,"Poco común","Común")))))</f>
        <v/>
      </c>
      <c r="M996" s="5" t="n">
        <v>2100.363008</v>
      </c>
      <c r="N996" s="5" t="n">
        <v>409.316</v>
      </c>
      <c r="O996" s="5">
        <f>IF(M996="","",M996*J996)</f>
        <v/>
      </c>
      <c r="P996" s="5">
        <f>IF(N996="","",N996*J996)</f>
        <v/>
      </c>
      <c r="Q996" s="7" t="n">
        <v>0.0075</v>
      </c>
      <c r="R996" s="8" t="n">
        <v>24.598804</v>
      </c>
      <c r="S996" s="4" t="inlineStr">
        <is>
          <t>DAX40</t>
        </is>
      </c>
      <c r="T996" s="9" t="inlineStr">
        <is>
          <t>SI</t>
        </is>
      </c>
      <c r="U996" s="9" t="inlineStr"/>
      <c r="V996" s="10">
        <f>Umbrales!$B$9*(K996/1000)^Umbrales!$B$10</f>
        <v/>
      </c>
    </row>
    <row r="997">
      <c r="A997" s="4" t="inlineStr">
        <is>
          <t>APTV</t>
        </is>
      </c>
      <c r="B997" s="4" t="inlineStr">
        <is>
          <t>Aptiv PLC</t>
        </is>
      </c>
      <c r="C997" s="4" t="inlineStr">
        <is>
          <t>Switzerland</t>
        </is>
      </c>
      <c r="D997" s="4" t="inlineStr">
        <is>
          <t>CH</t>
        </is>
      </c>
      <c r="E997" s="4" t="inlineStr">
        <is>
          <t>Consumo cíclico</t>
        </is>
      </c>
      <c r="F997" s="4" t="inlineStr">
        <is>
          <t>Auto Parts</t>
        </is>
      </c>
      <c r="G997" s="4" t="inlineStr">
        <is>
          <t>NYQ</t>
        </is>
      </c>
      <c r="H997" s="4" t="inlineStr">
        <is>
          <t>USD</t>
        </is>
      </c>
      <c r="I997" s="5" t="n">
        <v>9478.483968</v>
      </c>
      <c r="J997" s="6">
        <f>INDEX(FX!$B:$B,MATCH(H997,FX!$A:$A,0))</f>
        <v/>
      </c>
      <c r="K997" s="5">
        <f>I997*J997</f>
        <v/>
      </c>
      <c r="L997" s="4">
        <f>IF(U997&lt;&gt;"",U997,IF(K997&gt;=Umbrales!$B$2,"Legendaria",IF(K997&gt;=Umbrales!$B$3,"Épica",IF(K997&gt;=Umbrales!$B$4,"Rara",IF(K997&gt;=Umbrales!$B$5,"Poco común","Común")))))</f>
        <v/>
      </c>
      <c r="M997" s="5" t="n">
        <v>20518.00064</v>
      </c>
      <c r="N997" s="5" t="n">
        <v>470</v>
      </c>
      <c r="O997" s="5">
        <f>IF(M997="","",M997*J997)</f>
        <v/>
      </c>
      <c r="P997" s="5">
        <f>IF(N997="","",N997*J997)</f>
        <v/>
      </c>
      <c r="Q997" s="7" t="n">
        <v>0</v>
      </c>
      <c r="R997" s="8" t="n">
        <v>44.79</v>
      </c>
      <c r="S997" s="4" t="inlineStr">
        <is>
          <t>SP500</t>
        </is>
      </c>
      <c r="T997" s="9" t="inlineStr">
        <is>
          <t>SI</t>
        </is>
      </c>
      <c r="U997" s="9" t="inlineStr"/>
      <c r="V997" s="10">
        <f>Umbrales!$B$9*(K997/1000)^Umbrales!$B$10</f>
        <v/>
      </c>
    </row>
    <row r="998">
      <c r="A998" s="4" t="inlineStr">
        <is>
          <t>PCT.L</t>
        </is>
      </c>
      <c r="B998" s="4" t="inlineStr">
        <is>
          <t>Polar Capital Technology Ord</t>
        </is>
      </c>
      <c r="C998" s="4" t="inlineStr"/>
      <c r="D998" s="4" t="inlineStr">
        <is>
          <t>UN</t>
        </is>
      </c>
      <c r="E998" s="4" t="inlineStr">
        <is>
          <t>Otros</t>
        </is>
      </c>
      <c r="F998" s="4" t="inlineStr"/>
      <c r="G998" s="4" t="inlineStr">
        <is>
          <t>LSE</t>
        </is>
      </c>
      <c r="H998" s="4" t="inlineStr">
        <is>
          <t>GBP</t>
        </is>
      </c>
      <c r="I998" s="5" t="n">
        <v>7075.061248</v>
      </c>
      <c r="J998" s="6">
        <f>INDEX(FX!$B:$B,MATCH(H998,FX!$A:$A,0))</f>
        <v/>
      </c>
      <c r="K998" s="5">
        <f>I998*J998</f>
        <v/>
      </c>
      <c r="L998" s="4">
        <f>IF(U998&lt;&gt;"",U998,IF(K998&gt;=Umbrales!$B$2,"Legendaria",IF(K998&gt;=Umbrales!$B$3,"Épica",IF(K998&gt;=Umbrales!$B$4,"Rara",IF(K998&gt;=Umbrales!$B$5,"Poco común","Común")))))</f>
        <v/>
      </c>
      <c r="M998" s="5" t="n"/>
      <c r="N998" s="5" t="n"/>
      <c r="O998" s="5">
        <f>IF(M998="","",M998*J998)</f>
        <v/>
      </c>
      <c r="P998" s="5">
        <f>IF(N998="","",N998*J998)</f>
        <v/>
      </c>
      <c r="Q998" s="7" t="n"/>
      <c r="R998" s="8" t="n">
        <v>1.9469697</v>
      </c>
      <c r="S998" s="4" t="inlineStr">
        <is>
          <t>FTSE100</t>
        </is>
      </c>
      <c r="T998" s="9" t="inlineStr">
        <is>
          <t>SI</t>
        </is>
      </c>
      <c r="U998" s="9" t="inlineStr"/>
      <c r="V998" s="10">
        <f>Umbrales!$B$9*(K998/1000)^Umbrales!$B$10</f>
        <v/>
      </c>
    </row>
    <row r="999">
      <c r="A999" s="4" t="inlineStr">
        <is>
          <t>UNI.MC</t>
        </is>
      </c>
      <c r="B999" s="4" t="inlineStr">
        <is>
          <t>Unicaja Banco, S.A.</t>
        </is>
      </c>
      <c r="C999" s="4" t="inlineStr">
        <is>
          <t>Spain</t>
        </is>
      </c>
      <c r="D999" s="4" t="inlineStr">
        <is>
          <t>ES</t>
        </is>
      </c>
      <c r="E999" s="4" t="inlineStr">
        <is>
          <t>Finanzas</t>
        </is>
      </c>
      <c r="F999" s="4" t="inlineStr">
        <is>
          <t>Banks - Regional</t>
        </is>
      </c>
      <c r="G999" s="4" t="inlineStr">
        <is>
          <t>MCE</t>
        </is>
      </c>
      <c r="H999" s="4" t="inlineStr">
        <is>
          <t>EUR</t>
        </is>
      </c>
      <c r="I999" s="5" t="n">
        <v>8356.248576</v>
      </c>
      <c r="J999" s="6">
        <f>INDEX(FX!$B:$B,MATCH(H999,FX!$A:$A,0))</f>
        <v/>
      </c>
      <c r="K999" s="5">
        <f>I999*J999</f>
        <v/>
      </c>
      <c r="L999" s="4">
        <f>IF(U999&lt;&gt;"",U999,IF(K999&gt;=Umbrales!$B$2,"Legendaria",IF(K999&gt;=Umbrales!$B$3,"Épica",IF(K999&gt;=Umbrales!$B$4,"Rara",IF(K999&gt;=Umbrales!$B$5,"Poco común","Común")))))</f>
        <v/>
      </c>
      <c r="M999" s="5" t="n">
        <v>2025.156992</v>
      </c>
      <c r="N999" s="5" t="n">
        <v>649.4860159999999</v>
      </c>
      <c r="O999" s="5">
        <f>IF(M999="","",M999*J999)</f>
        <v/>
      </c>
      <c r="P999" s="5">
        <f>IF(N999="","",N999*J999)</f>
        <v/>
      </c>
      <c r="Q999" s="7" t="n">
        <v>0.0587</v>
      </c>
      <c r="R999" s="8" t="n">
        <v>12.507693</v>
      </c>
      <c r="S999" s="4" t="inlineStr">
        <is>
          <t>IBEX35</t>
        </is>
      </c>
      <c r="T999" s="9" t="inlineStr">
        <is>
          <t>SI</t>
        </is>
      </c>
      <c r="U999" s="9" t="inlineStr"/>
      <c r="V999" s="10">
        <f>Umbrales!$B$9*(K999/1000)^Umbrales!$B$10</f>
        <v/>
      </c>
    </row>
    <row r="1000">
      <c r="A1000" s="4" t="inlineStr">
        <is>
          <t>2319.HK</t>
        </is>
      </c>
      <c r="B1000" s="4" t="inlineStr">
        <is>
          <t>China Mengniu Dairy Company Limited</t>
        </is>
      </c>
      <c r="C1000" s="4" t="inlineStr">
        <is>
          <t>Hong Kong</t>
        </is>
      </c>
      <c r="D1000" s="4" t="inlineStr">
        <is>
          <t>HK</t>
        </is>
      </c>
      <c r="E1000" s="4" t="inlineStr">
        <is>
          <t>Consumo básico</t>
        </is>
      </c>
      <c r="F1000" s="4" t="inlineStr">
        <is>
          <t>Packaged Foods</t>
        </is>
      </c>
      <c r="G1000" s="4" t="inlineStr">
        <is>
          <t>HKG</t>
        </is>
      </c>
      <c r="H1000" s="4" t="inlineStr">
        <is>
          <t>HKD</t>
        </is>
      </c>
      <c r="I1000" s="5" t="n">
        <v>72974.467072</v>
      </c>
      <c r="J1000" s="6">
        <f>INDEX(FX!$B:$B,MATCH(H1000,FX!$A:$A,0))</f>
        <v/>
      </c>
      <c r="K1000" s="5">
        <f>I1000*J1000</f>
        <v/>
      </c>
      <c r="L1000" s="4">
        <f>IF(U1000&lt;&gt;"",U1000,IF(K1000&gt;=Umbrales!$B$2,"Legendaria",IF(K1000&gt;=Umbrales!$B$3,"Épica",IF(K1000&gt;=Umbrales!$B$4,"Rara",IF(K1000&gt;=Umbrales!$B$5,"Poco común","Común")))))</f>
        <v/>
      </c>
      <c r="M1000" s="5" t="n">
        <v>85472.714752</v>
      </c>
      <c r="N1000" s="5" t="n">
        <v>1871.323008</v>
      </c>
      <c r="O1000" s="5">
        <f>IF(M1000="","",M1000*J1000)</f>
        <v/>
      </c>
      <c r="P1000" s="5">
        <f>IF(N1000="","",N1000*J1000)</f>
        <v/>
      </c>
      <c r="Q1000" s="7" t="n">
        <v>0.0318</v>
      </c>
      <c r="R1000" s="8" t="n">
        <v>34.999996</v>
      </c>
      <c r="S1000" s="4" t="inlineStr">
        <is>
          <t>HANGSENG</t>
        </is>
      </c>
      <c r="T1000" s="9" t="inlineStr">
        <is>
          <t>SI</t>
        </is>
      </c>
      <c r="U1000" s="9" t="inlineStr"/>
      <c r="V1000" s="10">
        <f>Umbrales!$B$9*(K1000/1000)^Umbrales!$B$10</f>
        <v/>
      </c>
    </row>
    <row r="1001">
      <c r="A1001" s="4" t="inlineStr">
        <is>
          <t>FRT</t>
        </is>
      </c>
      <c r="B1001" s="4" t="inlineStr">
        <is>
          <t>Federal Realty Investment Trust</t>
        </is>
      </c>
      <c r="C1001" s="4" t="inlineStr">
        <is>
          <t>United States</t>
        </is>
      </c>
      <c r="D1001" s="4" t="inlineStr">
        <is>
          <t>US</t>
        </is>
      </c>
      <c r="E1001" s="4" t="inlineStr">
        <is>
          <t>Inmobiliario</t>
        </is>
      </c>
      <c r="F1001" s="4" t="inlineStr">
        <is>
          <t>REIT - Retail</t>
        </is>
      </c>
      <c r="G1001" s="4" t="inlineStr">
        <is>
          <t>NYQ</t>
        </is>
      </c>
      <c r="H1001" s="4" t="inlineStr">
        <is>
          <t>USD</t>
        </is>
      </c>
      <c r="I1001" s="5" t="n">
        <v>9176.845311999999</v>
      </c>
      <c r="J1001" s="6">
        <f>INDEX(FX!$B:$B,MATCH(H1001,FX!$A:$A,0))</f>
        <v/>
      </c>
      <c r="K1001" s="5">
        <f>I1001*J1001</f>
        <v/>
      </c>
      <c r="L1001" s="4">
        <f>IF(U1001&lt;&gt;"",U1001,IF(K1001&gt;=Umbrales!$B$2,"Legendaria",IF(K1001&gt;=Umbrales!$B$3,"Épica",IF(K1001&gt;=Umbrales!$B$4,"Rara",IF(K1001&gt;=Umbrales!$B$5,"Poco común","Común")))))</f>
        <v/>
      </c>
      <c r="M1001" s="5" t="n">
        <v>1335.422976</v>
      </c>
      <c r="N1001" s="5" t="n">
        <v>426.705984</v>
      </c>
      <c r="O1001" s="5">
        <f>IF(M1001="","",M1001*J1001)</f>
        <v/>
      </c>
      <c r="P1001" s="5">
        <f>IF(N1001="","",N1001*J1001)</f>
        <v/>
      </c>
      <c r="Q1001" s="7" t="n">
        <v>0.04389999999999999</v>
      </c>
      <c r="R1001" s="8" t="n">
        <v>21.503056</v>
      </c>
      <c r="S1001" s="4" t="inlineStr">
        <is>
          <t>SP500</t>
        </is>
      </c>
      <c r="T1001" s="9" t="inlineStr">
        <is>
          <t>SI</t>
        </is>
      </c>
      <c r="U1001" s="9" t="inlineStr"/>
      <c r="V1001" s="10">
        <f>Umbrales!$B$9*(K1001/1000)^Umbrales!$B$10</f>
        <v/>
      </c>
    </row>
    <row r="1002">
      <c r="A1002" s="4" t="inlineStr">
        <is>
          <t>MPL.AX</t>
        </is>
      </c>
      <c r="B1002" s="4" t="inlineStr">
        <is>
          <t>Medibank Private Limited</t>
        </is>
      </c>
      <c r="C1002" s="4" t="inlineStr">
        <is>
          <t>Australia</t>
        </is>
      </c>
      <c r="D1002" s="4" t="inlineStr">
        <is>
          <t>AU</t>
        </is>
      </c>
      <c r="E1002" s="4" t="inlineStr">
        <is>
          <t>Finanzas</t>
        </is>
      </c>
      <c r="F1002" s="4" t="inlineStr">
        <is>
          <t>Insurance - Specialty</t>
        </is>
      </c>
      <c r="G1002" s="4" t="inlineStr">
        <is>
          <t>ASX</t>
        </is>
      </c>
      <c r="H1002" s="4" t="inlineStr">
        <is>
          <t>AUD</t>
        </is>
      </c>
      <c r="I1002" s="5" t="n">
        <v>13164.135424</v>
      </c>
      <c r="J1002" s="6">
        <f>INDEX(FX!$B:$B,MATCH(H1002,FX!$A:$A,0))</f>
        <v/>
      </c>
      <c r="K1002" s="5">
        <f>I1002*J1002</f>
        <v/>
      </c>
      <c r="L1002" s="4">
        <f>IF(U1002&lt;&gt;"",U1002,IF(K1002&gt;=Umbrales!$B$2,"Legendaria",IF(K1002&gt;=Umbrales!$B$3,"Épica",IF(K1002&gt;=Umbrales!$B$4,"Rara",IF(K1002&gt;=Umbrales!$B$5,"Poco común","Común")))))</f>
        <v/>
      </c>
      <c r="M1002" s="5" t="n">
        <v>9297.600512000001</v>
      </c>
      <c r="N1002" s="5" t="n">
        <v>638.700032</v>
      </c>
      <c r="O1002" s="5">
        <f>IF(M1002="","",M1002*J1002)</f>
        <v/>
      </c>
      <c r="P1002" s="5">
        <f>IF(N1002="","",N1002*J1002)</f>
        <v/>
      </c>
      <c r="Q1002" s="7" t="n">
        <v>0.0412</v>
      </c>
      <c r="R1002" s="8" t="n">
        <v>19.916668</v>
      </c>
      <c r="S1002" s="4" t="inlineStr">
        <is>
          <t>ASX50</t>
        </is>
      </c>
      <c r="T1002" s="9" t="inlineStr">
        <is>
          <t>SI</t>
        </is>
      </c>
      <c r="U1002" s="9" t="inlineStr"/>
      <c r="V1002" s="10">
        <f>Umbrales!$B$9*(K1002/1000)^Umbrales!$B$10</f>
        <v/>
      </c>
    </row>
    <row r="1003">
      <c r="A1003" s="4" t="inlineStr">
        <is>
          <t>IMI.L</t>
        </is>
      </c>
      <c r="B1003" s="4" t="inlineStr">
        <is>
          <t>IMI plc</t>
        </is>
      </c>
      <c r="C1003" s="4" t="inlineStr">
        <is>
          <t>United Kingdom</t>
        </is>
      </c>
      <c r="D1003" s="4" t="inlineStr">
        <is>
          <t>GB</t>
        </is>
      </c>
      <c r="E1003" s="4" t="inlineStr">
        <is>
          <t>Industria</t>
        </is>
      </c>
      <c r="F1003" s="4" t="inlineStr">
        <is>
          <t>Specialty Industrial Machinery</t>
        </is>
      </c>
      <c r="G1003" s="4" t="inlineStr">
        <is>
          <t>LSE</t>
        </is>
      </c>
      <c r="H1003" s="4" t="inlineStr">
        <is>
          <t>GBP</t>
        </is>
      </c>
      <c r="I1003" s="5" t="n">
        <v>6866.267648</v>
      </c>
      <c r="J1003" s="6">
        <f>INDEX(FX!$B:$B,MATCH(H1003,FX!$A:$A,0))</f>
        <v/>
      </c>
      <c r="K1003" s="5">
        <f>I1003*J1003</f>
        <v/>
      </c>
      <c r="L1003" s="4">
        <f>IF(U1003&lt;&gt;"",U1003,IF(K1003&gt;=Umbrales!$B$2,"Legendaria",IF(K1003&gt;=Umbrales!$B$3,"Épica",IF(K1003&gt;=Umbrales!$B$4,"Rara",IF(K1003&gt;=Umbrales!$B$5,"Poco común","Común")))))</f>
        <v/>
      </c>
      <c r="M1003" s="5" t="n">
        <v>2372</v>
      </c>
      <c r="N1003" s="5" t="n">
        <v>334.2</v>
      </c>
      <c r="O1003" s="5">
        <f>IF(M1003="","",M1003*J1003)</f>
        <v/>
      </c>
      <c r="P1003" s="5">
        <f>IF(N1003="","",N1003*J1003)</f>
        <v/>
      </c>
      <c r="Q1003" s="7" t="n">
        <v>0.0117</v>
      </c>
      <c r="R1003" s="8" t="n">
        <v>21.659258</v>
      </c>
      <c r="S1003" s="4" t="inlineStr">
        <is>
          <t>FTSE100</t>
        </is>
      </c>
      <c r="T1003" s="9" t="inlineStr">
        <is>
          <t>SI</t>
        </is>
      </c>
      <c r="U1003" s="9" t="inlineStr"/>
      <c r="V1003" s="10">
        <f>Umbrales!$B$9*(K1003/1000)^Umbrales!$B$10</f>
        <v/>
      </c>
    </row>
    <row r="1004">
      <c r="A1004" s="4" t="inlineStr">
        <is>
          <t>RED.MC</t>
        </is>
      </c>
      <c r="B1004" s="4" t="inlineStr">
        <is>
          <t>Redeia Corporación, S.A.</t>
        </is>
      </c>
      <c r="C1004" s="4" t="inlineStr">
        <is>
          <t>Spain</t>
        </is>
      </c>
      <c r="D1004" s="4" t="inlineStr">
        <is>
          <t>ES</t>
        </is>
      </c>
      <c r="E1004" s="4" t="inlineStr">
        <is>
          <t>Servicios públicos</t>
        </is>
      </c>
      <c r="F1004" s="4" t="inlineStr">
        <is>
          <t>Utilities - Regulated Electric</t>
        </is>
      </c>
      <c r="G1004" s="4" t="inlineStr">
        <is>
          <t>MCE</t>
        </is>
      </c>
      <c r="H1004" s="4" t="inlineStr">
        <is>
          <t>EUR</t>
        </is>
      </c>
      <c r="I1004" s="5" t="n">
        <v>8099.334656</v>
      </c>
      <c r="J1004" s="6">
        <f>INDEX(FX!$B:$B,MATCH(H1004,FX!$A:$A,0))</f>
        <v/>
      </c>
      <c r="K1004" s="5">
        <f>I1004*J1004</f>
        <v/>
      </c>
      <c r="L1004" s="4">
        <f>IF(U1004&lt;&gt;"",U1004,IF(K1004&gt;=Umbrales!$B$2,"Legendaria",IF(K1004&gt;=Umbrales!$B$3,"Épica",IF(K1004&gt;=Umbrales!$B$4,"Rara",IF(K1004&gt;=Umbrales!$B$5,"Poco común","Común")))))</f>
        <v/>
      </c>
      <c r="M1004" s="5" t="n">
        <v>1791.981952</v>
      </c>
      <c r="N1004" s="5" t="n">
        <v>482.772992</v>
      </c>
      <c r="O1004" s="5">
        <f>IF(M1004="","",M1004*J1004)</f>
        <v/>
      </c>
      <c r="P1004" s="5">
        <f>IF(N1004="","",N1004*J1004)</f>
        <v/>
      </c>
      <c r="Q1004" s="7" t="n">
        <v>0.0536</v>
      </c>
      <c r="R1004" s="8" t="n">
        <v>16.86517</v>
      </c>
      <c r="S1004" s="4" t="inlineStr">
        <is>
          <t>IBEX35</t>
        </is>
      </c>
      <c r="T1004" s="9" t="inlineStr">
        <is>
          <t>SI</t>
        </is>
      </c>
      <c r="U1004" s="9" t="inlineStr"/>
      <c r="V1004" s="10">
        <f>Umbrales!$B$9*(K1004/1000)^Umbrales!$B$10</f>
        <v/>
      </c>
    </row>
    <row r="1005">
      <c r="A1005" s="4" t="inlineStr">
        <is>
          <t>NIBE-B.ST</t>
        </is>
      </c>
      <c r="B1005" s="4" t="inlineStr">
        <is>
          <t>NIBE Industrier AB (publ)</t>
        </is>
      </c>
      <c r="C1005" s="4" t="inlineStr">
        <is>
          <t>Sweden</t>
        </is>
      </c>
      <c r="D1005" s="4" t="inlineStr">
        <is>
          <t>SE</t>
        </is>
      </c>
      <c r="E1005" s="4" t="inlineStr">
        <is>
          <t>Industria</t>
        </is>
      </c>
      <c r="F1005" s="4" t="inlineStr">
        <is>
          <t>Building Products &amp; Equipment</t>
        </is>
      </c>
      <c r="G1005" s="4" t="inlineStr">
        <is>
          <t>STO</t>
        </is>
      </c>
      <c r="H1005" s="4" t="inlineStr">
        <is>
          <t>SEK</t>
        </is>
      </c>
      <c r="I1005" s="5" t="n">
        <v>89473.032192</v>
      </c>
      <c r="J1005" s="6">
        <f>INDEX(FX!$B:$B,MATCH(H1005,FX!$A:$A,0))</f>
        <v/>
      </c>
      <c r="K1005" s="5">
        <f>I1005*J1005</f>
        <v/>
      </c>
      <c r="L1005" s="4">
        <f>IF(U1005&lt;&gt;"",U1005,IF(K1005&gt;=Umbrales!$B$2,"Legendaria",IF(K1005&gt;=Umbrales!$B$3,"Épica",IF(K1005&gt;=Umbrales!$B$4,"Rara",IF(K1005&gt;=Umbrales!$B$5,"Poco común","Común")))))</f>
        <v/>
      </c>
      <c r="M1005" s="5" t="n">
        <v>41585.000448</v>
      </c>
      <c r="N1005" s="5" t="n">
        <v>2648.999936</v>
      </c>
      <c r="O1005" s="5">
        <f>IF(M1005="","",M1005*J1005)</f>
        <v/>
      </c>
      <c r="P1005" s="5">
        <f>IF(N1005="","",N1005*J1005)</f>
        <v/>
      </c>
      <c r="Q1005" s="7" t="n">
        <v>0.008</v>
      </c>
      <c r="R1005" s="8" t="n">
        <v>33.621212</v>
      </c>
      <c r="S1005" s="4" t="inlineStr">
        <is>
          <t>OMXS30</t>
        </is>
      </c>
      <c r="T1005" s="9" t="inlineStr">
        <is>
          <t>SI</t>
        </is>
      </c>
      <c r="U1005" s="9" t="inlineStr"/>
      <c r="V1005" s="10">
        <f>Umbrales!$B$9*(K1005/1000)^Umbrales!$B$10</f>
        <v/>
      </c>
    </row>
    <row r="1006">
      <c r="A1006" s="4" t="inlineStr">
        <is>
          <t>WEIR.L</t>
        </is>
      </c>
      <c r="B1006" s="4" t="inlineStr">
        <is>
          <t>Weir PLC</t>
        </is>
      </c>
      <c r="C1006" s="4" t="inlineStr">
        <is>
          <t>United Kingdom</t>
        </is>
      </c>
      <c r="D1006" s="4" t="inlineStr">
        <is>
          <t>GB</t>
        </is>
      </c>
      <c r="E1006" s="4" t="inlineStr">
        <is>
          <t>Industria</t>
        </is>
      </c>
      <c r="F1006" s="4" t="inlineStr">
        <is>
          <t>Specialty Industrial Machinery</t>
        </is>
      </c>
      <c r="G1006" s="4" t="inlineStr">
        <is>
          <t>LSE</t>
        </is>
      </c>
      <c r="H1006" s="4" t="inlineStr">
        <is>
          <t>GBP</t>
        </is>
      </c>
      <c r="I1006" s="5" t="n">
        <v>6760.297984</v>
      </c>
      <c r="J1006" s="6">
        <f>INDEX(FX!$B:$B,MATCH(H1006,FX!$A:$A,0))</f>
        <v/>
      </c>
      <c r="K1006" s="5">
        <f>I1006*J1006</f>
        <v/>
      </c>
      <c r="L1006" s="4">
        <f>IF(U1006&lt;&gt;"",U1006,IF(K1006&gt;=Umbrales!$B$2,"Legendaria",IF(K1006&gt;=Umbrales!$B$3,"Épica",IF(K1006&gt;=Umbrales!$B$4,"Rara",IF(K1006&gt;=Umbrales!$B$5,"Poco común","Común")))))</f>
        <v/>
      </c>
      <c r="M1006" s="5" t="n">
        <v>2638.799872</v>
      </c>
      <c r="N1006" s="5" t="n">
        <v>264.2</v>
      </c>
      <c r="O1006" s="5">
        <f>IF(M1006="","",M1006*J1006)</f>
        <v/>
      </c>
      <c r="P1006" s="5">
        <f>IF(N1006="","",N1006*J1006)</f>
        <v/>
      </c>
      <c r="Q1006" s="7" t="n">
        <v>0.0156</v>
      </c>
      <c r="R1006" s="8" t="n">
        <v>25.529413</v>
      </c>
      <c r="S1006" s="4" t="inlineStr">
        <is>
          <t>FTSE100</t>
        </is>
      </c>
      <c r="T1006" s="9" t="inlineStr">
        <is>
          <t>SI</t>
        </is>
      </c>
      <c r="U1006" s="9" t="inlineStr"/>
      <c r="V1006" s="10">
        <f>Umbrales!$B$9*(K1006/1000)^Umbrales!$B$10</f>
        <v/>
      </c>
    </row>
    <row r="1007">
      <c r="A1007" s="4" t="inlineStr">
        <is>
          <t>ADDT-B.ST</t>
        </is>
      </c>
      <c r="B1007" s="4" t="inlineStr">
        <is>
          <t>Addtech AB (publ.)</t>
        </is>
      </c>
      <c r="C1007" s="4" t="inlineStr">
        <is>
          <t>Sweden</t>
        </is>
      </c>
      <c r="D1007" s="4" t="inlineStr">
        <is>
          <t>SE</t>
        </is>
      </c>
      <c r="E1007" s="4" t="inlineStr">
        <is>
          <t>Industria</t>
        </is>
      </c>
      <c r="F1007" s="4" t="inlineStr">
        <is>
          <t>Industrial Distribution</t>
        </is>
      </c>
      <c r="G1007" s="4" t="inlineStr">
        <is>
          <t>STO</t>
        </is>
      </c>
      <c r="H1007" s="4" t="inlineStr">
        <is>
          <t>SEK</t>
        </is>
      </c>
      <c r="I1007" s="5" t="n">
        <v>88856.00255999999</v>
      </c>
      <c r="J1007" s="6">
        <f>INDEX(FX!$B:$B,MATCH(H1007,FX!$A:$A,0))</f>
        <v/>
      </c>
      <c r="K1007" s="5">
        <f>I1007*J1007</f>
        <v/>
      </c>
      <c r="L1007" s="4">
        <f>IF(U1007&lt;&gt;"",U1007,IF(K1007&gt;=Umbrales!$B$2,"Legendaria",IF(K1007&gt;=Umbrales!$B$3,"Épica",IF(K1007&gt;=Umbrales!$B$4,"Rara",IF(K1007&gt;=Umbrales!$B$5,"Poco común","Común")))))</f>
        <v/>
      </c>
      <c r="M1007" s="5" t="n">
        <v>23036.000256</v>
      </c>
      <c r="N1007" s="5" t="n">
        <v>2223.000064</v>
      </c>
      <c r="O1007" s="5">
        <f>IF(M1007="","",M1007*J1007)</f>
        <v/>
      </c>
      <c r="P1007" s="5">
        <f>IF(N1007="","",N1007*J1007)</f>
        <v/>
      </c>
      <c r="Q1007" s="7" t="n">
        <v>0.0112</v>
      </c>
      <c r="R1007" s="8" t="n">
        <v>39.120094</v>
      </c>
      <c r="S1007" s="4" t="inlineStr">
        <is>
          <t>OMXS30</t>
        </is>
      </c>
      <c r="T1007" s="9" t="inlineStr">
        <is>
          <t>SI</t>
        </is>
      </c>
      <c r="U1007" s="9" t="inlineStr"/>
      <c r="V1007" s="10">
        <f>Umbrales!$B$9*(K1007/1000)^Umbrales!$B$10</f>
        <v/>
      </c>
    </row>
    <row r="1008">
      <c r="A1008" s="4" t="inlineStr">
        <is>
          <t>CNA.L</t>
        </is>
      </c>
      <c r="B1008" s="4" t="inlineStr">
        <is>
          <t>Centrica plc</t>
        </is>
      </c>
      <c r="C1008" s="4" t="inlineStr">
        <is>
          <t>United Kingdom</t>
        </is>
      </c>
      <c r="D1008" s="4" t="inlineStr">
        <is>
          <t>GB</t>
        </is>
      </c>
      <c r="E1008" s="4" t="inlineStr">
        <is>
          <t>Servicios públicos</t>
        </is>
      </c>
      <c r="F1008" s="4" t="inlineStr">
        <is>
          <t>Utilities - Independent Power Producers</t>
        </is>
      </c>
      <c r="G1008" s="4" t="inlineStr">
        <is>
          <t>LSE</t>
        </is>
      </c>
      <c r="H1008" s="4" t="inlineStr">
        <is>
          <t>GBP</t>
        </is>
      </c>
      <c r="I1008" s="5" t="n">
        <v>6725.702656</v>
      </c>
      <c r="J1008" s="6">
        <f>INDEX(FX!$B:$B,MATCH(H1008,FX!$A:$A,0))</f>
        <v/>
      </c>
      <c r="K1008" s="5">
        <f>I1008*J1008</f>
        <v/>
      </c>
      <c r="L1008" s="4">
        <f>IF(U1008&lt;&gt;"",U1008,IF(K1008&gt;=Umbrales!$B$2,"Legendaria",IF(K1008&gt;=Umbrales!$B$3,"Épica",IF(K1008&gt;=Umbrales!$B$4,"Rara",IF(K1008&gt;=Umbrales!$B$5,"Poco común","Común")))))</f>
        <v/>
      </c>
      <c r="M1008" s="5" t="n">
        <v>19548.99968</v>
      </c>
      <c r="N1008" s="5" t="n">
        <v>711</v>
      </c>
      <c r="O1008" s="5">
        <f>IF(M1008="","",M1008*J1008)</f>
        <v/>
      </c>
      <c r="P1008" s="5">
        <f>IF(N1008="","",N1008*J1008)</f>
        <v/>
      </c>
      <c r="Q1008" s="7" t="n">
        <v>0.0378</v>
      </c>
      <c r="R1008" s="8" t="n">
        <v>9.9</v>
      </c>
      <c r="S1008" s="4" t="inlineStr">
        <is>
          <t>FTSE100</t>
        </is>
      </c>
      <c r="T1008" s="9" t="inlineStr">
        <is>
          <t>SI</t>
        </is>
      </c>
      <c r="U1008" s="9" t="inlineStr"/>
      <c r="V1008" s="10">
        <f>Umbrales!$B$9*(K1008/1000)^Umbrales!$B$10</f>
        <v/>
      </c>
    </row>
    <row r="1009">
      <c r="A1009" s="4" t="inlineStr">
        <is>
          <t>0322.HK</t>
        </is>
      </c>
      <c r="B1009" s="4" t="inlineStr">
        <is>
          <t>Tingyi (Cayman Islands) Holding Corp.</t>
        </is>
      </c>
      <c r="C1009" s="4" t="inlineStr">
        <is>
          <t>China</t>
        </is>
      </c>
      <c r="D1009" s="4" t="inlineStr">
        <is>
          <t>CN</t>
        </is>
      </c>
      <c r="E1009" s="4" t="inlineStr">
        <is>
          <t>Consumo básico</t>
        </is>
      </c>
      <c r="F1009" s="4" t="inlineStr">
        <is>
          <t>Packaged Foods</t>
        </is>
      </c>
      <c r="G1009" s="4" t="inlineStr">
        <is>
          <t>HKG</t>
        </is>
      </c>
      <c r="H1009" s="4" t="inlineStr">
        <is>
          <t>HKD</t>
        </is>
      </c>
      <c r="I1009" s="5" t="n">
        <v>69339.848704</v>
      </c>
      <c r="J1009" s="6">
        <f>INDEX(FX!$B:$B,MATCH(H1009,FX!$A:$A,0))</f>
        <v/>
      </c>
      <c r="K1009" s="5">
        <f>I1009*J1009</f>
        <v/>
      </c>
      <c r="L1009" s="4">
        <f>IF(U1009&lt;&gt;"",U1009,IF(K1009&gt;=Umbrales!$B$2,"Legendaria",IF(K1009&gt;=Umbrales!$B$3,"Épica",IF(K1009&gt;=Umbrales!$B$4,"Rara",IF(K1009&gt;=Umbrales!$B$5,"Poco común","Común")))))</f>
        <v/>
      </c>
      <c r="M1009" s="5" t="n">
        <v>79520.42393600001</v>
      </c>
      <c r="N1009" s="5" t="n">
        <v>4662.624256</v>
      </c>
      <c r="O1009" s="5">
        <f>IF(M1009="","",M1009*J1009)</f>
        <v/>
      </c>
      <c r="P1009" s="5">
        <f>IF(N1009="","",N1009*J1009)</f>
        <v/>
      </c>
      <c r="Q1009" s="7" t="n">
        <v>0.0375</v>
      </c>
      <c r="R1009" s="8" t="n">
        <v>13.369565</v>
      </c>
      <c r="S1009" s="4" t="inlineStr">
        <is>
          <t>HANGSENG</t>
        </is>
      </c>
      <c r="T1009" s="9" t="inlineStr">
        <is>
          <t>SI</t>
        </is>
      </c>
      <c r="U1009" s="9" t="inlineStr"/>
      <c r="V1009" s="10">
        <f>Umbrales!$B$9*(K1009/1000)^Umbrales!$B$10</f>
        <v/>
      </c>
    </row>
    <row r="1010">
      <c r="A1010" s="4" t="inlineStr">
        <is>
          <t>MAXHEALTH.NS</t>
        </is>
      </c>
      <c r="B1010" s="4" t="inlineStr">
        <is>
          <t>Max Healthcare Institute Limited</t>
        </is>
      </c>
      <c r="C1010" s="4" t="inlineStr">
        <is>
          <t>India</t>
        </is>
      </c>
      <c r="D1010" s="4" t="inlineStr">
        <is>
          <t>IN</t>
        </is>
      </c>
      <c r="E1010" s="4" t="inlineStr">
        <is>
          <t>Salud</t>
        </is>
      </c>
      <c r="F1010" s="4" t="inlineStr">
        <is>
          <t>Medical Care Facilities</t>
        </is>
      </c>
      <c r="G1010" s="4" t="inlineStr">
        <is>
          <t>NSI</t>
        </is>
      </c>
      <c r="H1010" s="4" t="inlineStr">
        <is>
          <t>INR</t>
        </is>
      </c>
      <c r="I1010" s="5" t="n">
        <v>835100.213248</v>
      </c>
      <c r="J1010" s="6">
        <f>INDEX(FX!$B:$B,MATCH(H1010,FX!$A:$A,0))</f>
        <v/>
      </c>
      <c r="K1010" s="5">
        <f>I1010*J1010</f>
        <v/>
      </c>
      <c r="L1010" s="4">
        <f>IF(U1010&lt;&gt;"",U1010,IF(K1010&gt;=Umbrales!$B$2,"Legendaria",IF(K1010&gt;=Umbrales!$B$3,"Épica",IF(K1010&gt;=Umbrales!$B$4,"Rara",IF(K1010&gt;=Umbrales!$B$5,"Poco común","Común")))))</f>
        <v/>
      </c>
      <c r="M1010" s="5" t="n">
        <v>87120.502784</v>
      </c>
      <c r="N1010" s="5" t="n">
        <v>14569.299968</v>
      </c>
      <c r="O1010" s="5">
        <f>IF(M1010="","",M1010*J1010)</f>
        <v/>
      </c>
      <c r="P1010" s="5">
        <f>IF(N1010="","",N1010*J1010)</f>
        <v/>
      </c>
      <c r="Q1010" s="7" t="n">
        <v>0.0023</v>
      </c>
      <c r="R1010" s="8" t="n">
        <v>57.545273</v>
      </c>
      <c r="S1010" s="4" t="inlineStr">
        <is>
          <t>NIFTY50</t>
        </is>
      </c>
      <c r="T1010" s="9" t="inlineStr">
        <is>
          <t>SI</t>
        </is>
      </c>
      <c r="U1010" s="9" t="inlineStr"/>
      <c r="V1010" s="10">
        <f>Umbrales!$B$9*(K1010/1000)^Umbrales!$B$10</f>
        <v/>
      </c>
    </row>
    <row r="1011">
      <c r="A1011" s="4" t="inlineStr">
        <is>
          <t>SCA-B.ST</t>
        </is>
      </c>
      <c r="B1011" s="4" t="inlineStr">
        <is>
          <t>Svenska Cellulosa Aktiebolaget SCA (publ)</t>
        </is>
      </c>
      <c r="C1011" s="4" t="inlineStr">
        <is>
          <t>Sweden</t>
        </is>
      </c>
      <c r="D1011" s="4" t="inlineStr">
        <is>
          <t>SE</t>
        </is>
      </c>
      <c r="E1011" s="4" t="inlineStr">
        <is>
          <t>Materiales</t>
        </is>
      </c>
      <c r="F1011" s="4" t="inlineStr">
        <is>
          <t>Paper &amp; Paper Products</t>
        </is>
      </c>
      <c r="G1011" s="4" t="inlineStr">
        <is>
          <t>STO</t>
        </is>
      </c>
      <c r="H1011" s="4" t="inlineStr">
        <is>
          <t>SEK</t>
        </is>
      </c>
      <c r="I1011" s="5" t="n">
        <v>87266.050048</v>
      </c>
      <c r="J1011" s="6">
        <f>INDEX(FX!$B:$B,MATCH(H1011,FX!$A:$A,0))</f>
        <v/>
      </c>
      <c r="K1011" s="5">
        <f>I1011*J1011</f>
        <v/>
      </c>
      <c r="L1011" s="4">
        <f>IF(U1011&lt;&gt;"",U1011,IF(K1011&gt;=Umbrales!$B$2,"Legendaria",IF(K1011&gt;=Umbrales!$B$3,"Épica",IF(K1011&gt;=Umbrales!$B$4,"Rara",IF(K1011&gt;=Umbrales!$B$5,"Poco común","Común")))))</f>
        <v/>
      </c>
      <c r="M1011" s="5" t="n">
        <v>22877.999104</v>
      </c>
      <c r="N1011" s="5" t="n">
        <v>2220</v>
      </c>
      <c r="O1011" s="5">
        <f>IF(M1011="","",M1011*J1011)</f>
        <v/>
      </c>
      <c r="P1011" s="5">
        <f>IF(N1011="","",N1011*J1011)</f>
        <v/>
      </c>
      <c r="Q1011" s="7" t="n">
        <v>0.0241</v>
      </c>
      <c r="R1011" s="8" t="n">
        <v>39.31962</v>
      </c>
      <c r="S1011" s="4" t="inlineStr">
        <is>
          <t>OMXS30</t>
        </is>
      </c>
      <c r="T1011" s="9" t="inlineStr">
        <is>
          <t>SI</t>
        </is>
      </c>
      <c r="U1011" s="9" t="inlineStr"/>
      <c r="V1011" s="10">
        <f>Umbrales!$B$9*(K1011/1000)^Umbrales!$B$10</f>
        <v/>
      </c>
    </row>
    <row r="1012">
      <c r="A1012" s="4" t="inlineStr">
        <is>
          <t>PSH.L</t>
        </is>
      </c>
      <c r="B1012" s="4" t="inlineStr">
        <is>
          <t>Pershing Square Holdings, Ltd.</t>
        </is>
      </c>
      <c r="C1012" s="4" t="inlineStr">
        <is>
          <t>United States</t>
        </is>
      </c>
      <c r="D1012" s="4" t="inlineStr">
        <is>
          <t>US</t>
        </is>
      </c>
      <c r="E1012" s="4" t="inlineStr">
        <is>
          <t>Finanzas</t>
        </is>
      </c>
      <c r="F1012" s="4" t="inlineStr">
        <is>
          <t>Asset Management</t>
        </is>
      </c>
      <c r="G1012" s="4" t="inlineStr">
        <is>
          <t>LSE</t>
        </is>
      </c>
      <c r="H1012" s="4" t="inlineStr">
        <is>
          <t>GBP</t>
        </is>
      </c>
      <c r="I1012" s="5" t="n">
        <v>6604.550144</v>
      </c>
      <c r="J1012" s="6">
        <f>INDEX(FX!$B:$B,MATCH(H1012,FX!$A:$A,0))</f>
        <v/>
      </c>
      <c r="K1012" s="5">
        <f>I1012*J1012</f>
        <v/>
      </c>
      <c r="L1012" s="4">
        <f>IF(U1012&lt;&gt;"",U1012,IF(K1012&gt;=Umbrales!$B$2,"Legendaria",IF(K1012&gt;=Umbrales!$B$3,"Épica",IF(K1012&gt;=Umbrales!$B$4,"Rara",IF(K1012&gt;=Umbrales!$B$5,"Poco común","Común")))))</f>
        <v/>
      </c>
      <c r="M1012" s="5" t="n">
        <v>-837.608064</v>
      </c>
      <c r="N1012" s="5" t="n">
        <v>-1320.85888</v>
      </c>
      <c r="O1012" s="5">
        <f>IF(M1012="","",M1012*J1012)</f>
        <v/>
      </c>
      <c r="P1012" s="5">
        <f>IF(N1012="","",N1012*J1012)</f>
        <v/>
      </c>
      <c r="Q1012" s="7" t="n">
        <v>0.0141</v>
      </c>
      <c r="R1012" s="8" t="n"/>
      <c r="S1012" s="4" t="inlineStr">
        <is>
          <t>FTSE100</t>
        </is>
      </c>
      <c r="T1012" s="9" t="inlineStr">
        <is>
          <t>SI</t>
        </is>
      </c>
      <c r="U1012" s="9" t="inlineStr"/>
      <c r="V1012" s="10">
        <f>Umbrales!$B$9*(K1012/1000)^Umbrales!$B$10</f>
        <v/>
      </c>
    </row>
    <row r="1013">
      <c r="A1013" s="4" t="inlineStr">
        <is>
          <t>CPR.MI</t>
        </is>
      </c>
      <c r="B1013" s="4" t="inlineStr">
        <is>
          <t>Davide Campari-Milano N.V.</t>
        </is>
      </c>
      <c r="C1013" s="4" t="inlineStr">
        <is>
          <t>Italy</t>
        </is>
      </c>
      <c r="D1013" s="4" t="inlineStr">
        <is>
          <t>IT</t>
        </is>
      </c>
      <c r="E1013" s="4" t="inlineStr">
        <is>
          <t>Consumo básico</t>
        </is>
      </c>
      <c r="F1013" s="4" t="inlineStr">
        <is>
          <t>Beverages - Wineries &amp; Distilleries</t>
        </is>
      </c>
      <c r="G1013" s="4" t="inlineStr">
        <is>
          <t>MIL</t>
        </is>
      </c>
      <c r="H1013" s="4" t="inlineStr">
        <is>
          <t>EUR</t>
        </is>
      </c>
      <c r="I1013" s="5" t="n">
        <v>7771.867648</v>
      </c>
      <c r="J1013" s="6">
        <f>INDEX(FX!$B:$B,MATCH(H1013,FX!$A:$A,0))</f>
        <v/>
      </c>
      <c r="K1013" s="5">
        <f>I1013*J1013</f>
        <v/>
      </c>
      <c r="L1013" s="4">
        <f>IF(U1013&lt;&gt;"",U1013,IF(K1013&gt;=Umbrales!$B$2,"Legendaria",IF(K1013&gt;=Umbrales!$B$3,"Épica",IF(K1013&gt;=Umbrales!$B$4,"Rara",IF(K1013&gt;=Umbrales!$B$5,"Poco común","Común")))))</f>
        <v/>
      </c>
      <c r="M1013" s="5" t="n">
        <v>3035.2</v>
      </c>
      <c r="N1013" s="5" t="n">
        <v>269.3</v>
      </c>
      <c r="O1013" s="5">
        <f>IF(M1013="","",M1013*J1013)</f>
        <v/>
      </c>
      <c r="P1013" s="5">
        <f>IF(N1013="","",N1013*J1013)</f>
        <v/>
      </c>
      <c r="Q1013" s="7" t="n">
        <v>0.016</v>
      </c>
      <c r="R1013" s="8" t="n">
        <v>43.199997</v>
      </c>
      <c r="S1013" s="4" t="inlineStr">
        <is>
          <t>FTSEMIB</t>
        </is>
      </c>
      <c r="T1013" s="9" t="inlineStr">
        <is>
          <t>SI</t>
        </is>
      </c>
      <c r="U1013" s="9" t="inlineStr"/>
      <c r="V1013" s="10">
        <f>Umbrales!$B$9*(K1013/1000)^Umbrales!$B$10</f>
        <v/>
      </c>
    </row>
    <row r="1014">
      <c r="A1014" s="4" t="inlineStr">
        <is>
          <t>QAN.AX</t>
        </is>
      </c>
      <c r="B1014" s="4" t="inlineStr">
        <is>
          <t>Qantas Airways Limited</t>
        </is>
      </c>
      <c r="C1014" s="4" t="inlineStr">
        <is>
          <t>Australia</t>
        </is>
      </c>
      <c r="D1014" s="4" t="inlineStr">
        <is>
          <t>AU</t>
        </is>
      </c>
      <c r="E1014" s="4" t="inlineStr">
        <is>
          <t>Industria</t>
        </is>
      </c>
      <c r="F1014" s="4" t="inlineStr">
        <is>
          <t>Airlines</t>
        </is>
      </c>
      <c r="G1014" s="4" t="inlineStr">
        <is>
          <t>ASX</t>
        </is>
      </c>
      <c r="H1014" s="4" t="inlineStr">
        <is>
          <t>AUD</t>
        </is>
      </c>
      <c r="I1014" s="5" t="n">
        <v>12499.02592</v>
      </c>
      <c r="J1014" s="6">
        <f>INDEX(FX!$B:$B,MATCH(H1014,FX!$A:$A,0))</f>
        <v/>
      </c>
      <c r="K1014" s="5">
        <f>I1014*J1014</f>
        <v/>
      </c>
      <c r="L1014" s="4">
        <f>IF(U1014&lt;&gt;"",U1014,IF(K1014&gt;=Umbrales!$B$2,"Legendaria",IF(K1014&gt;=Umbrales!$B$3,"Épica",IF(K1014&gt;=Umbrales!$B$4,"Rara",IF(K1014&gt;=Umbrales!$B$5,"Poco común","Común")))))</f>
        <v/>
      </c>
      <c r="M1014" s="5" t="n">
        <v>25515.999232</v>
      </c>
      <c r="N1014" s="5" t="n">
        <v>1288.999936</v>
      </c>
      <c r="O1014" s="5">
        <f>IF(M1014="","",M1014*J1014)</f>
        <v/>
      </c>
      <c r="P1014" s="5">
        <f>IF(N1014="","",N1014*J1014)</f>
        <v/>
      </c>
      <c r="Q1014" s="7" t="n">
        <v>0.04849999999999999</v>
      </c>
      <c r="R1014" s="8" t="n">
        <v>9.717646999999999</v>
      </c>
      <c r="S1014" s="4" t="inlineStr">
        <is>
          <t>ASX50</t>
        </is>
      </c>
      <c r="T1014" s="9" t="inlineStr">
        <is>
          <t>SI</t>
        </is>
      </c>
      <c r="U1014" s="9" t="inlineStr"/>
      <c r="V1014" s="10">
        <f>Umbrales!$B$9*(K1014/1000)^Umbrales!$B$10</f>
        <v/>
      </c>
    </row>
    <row r="1015">
      <c r="A1015" s="4" t="inlineStr">
        <is>
          <t>PNR</t>
        </is>
      </c>
      <c r="B1015" s="4" t="inlineStr">
        <is>
          <t>Pentair plc</t>
        </is>
      </c>
      <c r="C1015" s="4" t="inlineStr">
        <is>
          <t>United Kingdom</t>
        </is>
      </c>
      <c r="D1015" s="4" t="inlineStr">
        <is>
          <t>GB</t>
        </is>
      </c>
      <c r="E1015" s="4" t="inlineStr">
        <is>
          <t>Industria</t>
        </is>
      </c>
      <c r="F1015" s="4" t="inlineStr">
        <is>
          <t>Specialty Industrial Machinery</t>
        </is>
      </c>
      <c r="G1015" s="4" t="inlineStr">
        <is>
          <t>NYQ</t>
        </is>
      </c>
      <c r="H1015" s="4" t="inlineStr">
        <is>
          <t>USD</t>
        </is>
      </c>
      <c r="I1015" s="5" t="n">
        <v>8626.50368</v>
      </c>
      <c r="J1015" s="6">
        <f>INDEX(FX!$B:$B,MATCH(H1015,FX!$A:$A,0))</f>
        <v/>
      </c>
      <c r="K1015" s="5">
        <f>I1015*J1015</f>
        <v/>
      </c>
      <c r="L1015" s="4">
        <f>IF(U1015&lt;&gt;"",U1015,IF(K1015&gt;=Umbrales!$B$2,"Legendaria",IF(K1015&gt;=Umbrales!$B$3,"Épica",IF(K1015&gt;=Umbrales!$B$4,"Rara",IF(K1015&gt;=Umbrales!$B$5,"Poco común","Común")))))</f>
        <v/>
      </c>
      <c r="M1015" s="5" t="n">
        <v>4011.800064</v>
      </c>
      <c r="N1015" s="5" t="n">
        <v>635.500032</v>
      </c>
      <c r="O1015" s="5">
        <f>IF(M1015="","",M1015*J1015)</f>
        <v/>
      </c>
      <c r="P1015" s="5">
        <f>IF(N1015="","",N1015*J1015)</f>
        <v/>
      </c>
      <c r="Q1015" s="7" t="n">
        <v>0.0204</v>
      </c>
      <c r="R1015" s="8" t="n">
        <v>13.973823</v>
      </c>
      <c r="S1015" s="4" t="inlineStr">
        <is>
          <t>SP500</t>
        </is>
      </c>
      <c r="T1015" s="9" t="inlineStr">
        <is>
          <t>SI</t>
        </is>
      </c>
      <c r="U1015" s="9" t="inlineStr"/>
      <c r="V1015" s="10">
        <f>Umbrales!$B$9*(K1015/1000)^Umbrales!$B$10</f>
        <v/>
      </c>
    </row>
    <row r="1016">
      <c r="A1016" s="4" t="inlineStr">
        <is>
          <t>RNO.PA</t>
        </is>
      </c>
      <c r="B1016" s="4" t="inlineStr">
        <is>
          <t>Renault SA</t>
        </is>
      </c>
      <c r="C1016" s="4" t="inlineStr">
        <is>
          <t>France</t>
        </is>
      </c>
      <c r="D1016" s="4" t="inlineStr">
        <is>
          <t>FR</t>
        </is>
      </c>
      <c r="E1016" s="4" t="inlineStr">
        <is>
          <t>Consumo cíclico</t>
        </is>
      </c>
      <c r="F1016" s="4" t="inlineStr">
        <is>
          <t>Auto Manufacturers</t>
        </is>
      </c>
      <c r="G1016" s="4" t="inlineStr">
        <is>
          <t>PAR</t>
        </is>
      </c>
      <c r="H1016" s="4" t="inlineStr">
        <is>
          <t>EUR</t>
        </is>
      </c>
      <c r="I1016" s="5" t="n">
        <v>7651.033088</v>
      </c>
      <c r="J1016" s="6">
        <f>INDEX(FX!$B:$B,MATCH(H1016,FX!$A:$A,0))</f>
        <v/>
      </c>
      <c r="K1016" s="5">
        <f>I1016*J1016</f>
        <v/>
      </c>
      <c r="L1016" s="4">
        <f>IF(U1016&lt;&gt;"",U1016,IF(K1016&gt;=Umbrales!$B$2,"Legendaria",IF(K1016&gt;=Umbrales!$B$3,"Épica",IF(K1016&gt;=Umbrales!$B$4,"Rara",IF(K1016&gt;=Umbrales!$B$5,"Poco común","Común")))))</f>
        <v/>
      </c>
      <c r="M1016" s="5" t="n">
        <v>60534.001664</v>
      </c>
      <c r="N1016" s="5" t="n">
        <v>947</v>
      </c>
      <c r="O1016" s="5">
        <f>IF(M1016="","",M1016*J1016)</f>
        <v/>
      </c>
      <c r="P1016" s="5">
        <f>IF(N1016="","",N1016*J1016)</f>
        <v/>
      </c>
      <c r="Q1016" s="7" t="n">
        <v>0.08070000000000001</v>
      </c>
      <c r="R1016" s="8" t="n">
        <v>8.314465500000001</v>
      </c>
      <c r="S1016" s="4" t="inlineStr">
        <is>
          <t>CAC40</t>
        </is>
      </c>
      <c r="T1016" s="9" t="inlineStr">
        <is>
          <t>SI</t>
        </is>
      </c>
      <c r="U1016" s="9" t="inlineStr"/>
      <c r="V1016" s="10">
        <f>Umbrales!$B$9*(K1016/1000)^Umbrales!$B$10</f>
        <v/>
      </c>
    </row>
    <row r="1017">
      <c r="A1017" s="4" t="inlineStr">
        <is>
          <t>FCIT.L</t>
        </is>
      </c>
      <c r="B1017" s="4" t="inlineStr">
        <is>
          <t>F&amp;C Investment Trust Ord</t>
        </is>
      </c>
      <c r="C1017" s="4" t="inlineStr"/>
      <c r="D1017" s="4" t="inlineStr">
        <is>
          <t>UN</t>
        </is>
      </c>
      <c r="E1017" s="4" t="inlineStr">
        <is>
          <t>Otros</t>
        </is>
      </c>
      <c r="F1017" s="4" t="inlineStr"/>
      <c r="G1017" s="4" t="inlineStr">
        <is>
          <t>LSE</t>
        </is>
      </c>
      <c r="H1017" s="4" t="inlineStr">
        <is>
          <t>GBP</t>
        </is>
      </c>
      <c r="I1017" s="5" t="n">
        <v>6433.942528</v>
      </c>
      <c r="J1017" s="6">
        <f>INDEX(FX!$B:$B,MATCH(H1017,FX!$A:$A,0))</f>
        <v/>
      </c>
      <c r="K1017" s="5">
        <f>I1017*J1017</f>
        <v/>
      </c>
      <c r="L1017" s="4">
        <f>IF(U1017&lt;&gt;"",U1017,IF(K1017&gt;=Umbrales!$B$2,"Legendaria",IF(K1017&gt;=Umbrales!$B$3,"Épica",IF(K1017&gt;=Umbrales!$B$4,"Rara",IF(K1017&gt;=Umbrales!$B$5,"Poco común","Común")))))</f>
        <v/>
      </c>
      <c r="M1017" s="5" t="n"/>
      <c r="N1017" s="5" t="n"/>
      <c r="O1017" s="5">
        <f>IF(M1017="","",M1017*J1017)</f>
        <v/>
      </c>
      <c r="P1017" s="5">
        <f>IF(N1017="","",N1017*J1017)</f>
        <v/>
      </c>
      <c r="Q1017" s="7" t="n"/>
      <c r="R1017" s="8" t="n">
        <v>4.558421</v>
      </c>
      <c r="S1017" s="4" t="inlineStr">
        <is>
          <t>FTSE100</t>
        </is>
      </c>
      <c r="T1017" s="9" t="inlineStr">
        <is>
          <t>SI</t>
        </is>
      </c>
      <c r="U1017" s="9" t="inlineStr"/>
      <c r="V1017" s="10">
        <f>Umbrales!$B$9*(K1017/1000)^Umbrales!$B$10</f>
        <v/>
      </c>
    </row>
    <row r="1018">
      <c r="A1018" s="4" t="inlineStr">
        <is>
          <t>PAH3.DE</t>
        </is>
      </c>
      <c r="B1018" s="4" t="inlineStr">
        <is>
          <t>Porsche Automobil Holding SE</t>
        </is>
      </c>
      <c r="C1018" s="4" t="inlineStr">
        <is>
          <t>Germany</t>
        </is>
      </c>
      <c r="D1018" s="4" t="inlineStr">
        <is>
          <t>DE</t>
        </is>
      </c>
      <c r="E1018" s="4" t="inlineStr">
        <is>
          <t>Consumo cíclico</t>
        </is>
      </c>
      <c r="F1018" s="4" t="inlineStr">
        <is>
          <t>Auto Manufacturers</t>
        </is>
      </c>
      <c r="G1018" s="4" t="inlineStr">
        <is>
          <t>GER</t>
        </is>
      </c>
      <c r="H1018" s="4" t="inlineStr">
        <is>
          <t>EUR</t>
        </is>
      </c>
      <c r="I1018" s="5" t="n">
        <v>7466.374144</v>
      </c>
      <c r="J1018" s="6">
        <f>INDEX(FX!$B:$B,MATCH(H1018,FX!$A:$A,0))</f>
        <v/>
      </c>
      <c r="K1018" s="5">
        <f>I1018*J1018</f>
        <v/>
      </c>
      <c r="L1018" s="4">
        <f>IF(U1018&lt;&gt;"",U1018,IF(K1018&gt;=Umbrales!$B$2,"Legendaria",IF(K1018&gt;=Umbrales!$B$3,"Épica",IF(K1018&gt;=Umbrales!$B$4,"Rara",IF(K1018&gt;=Umbrales!$B$5,"Poco común","Común")))))</f>
        <v/>
      </c>
      <c r="M1018" s="5" t="n"/>
      <c r="N1018" s="5" t="n">
        <v>95</v>
      </c>
      <c r="O1018" s="5">
        <f>IF(M1018="","",M1018*J1018)</f>
        <v/>
      </c>
      <c r="P1018" s="5">
        <f>IF(N1018="","",N1018*J1018)</f>
        <v/>
      </c>
      <c r="Q1018" s="7" t="n">
        <v>0.0596</v>
      </c>
      <c r="R1018" s="8" t="n">
        <v>78.64516</v>
      </c>
      <c r="S1018" s="4" t="inlineStr">
        <is>
          <t>DAX40</t>
        </is>
      </c>
      <c r="T1018" s="9" t="inlineStr">
        <is>
          <t>SI</t>
        </is>
      </c>
      <c r="U1018" s="9" t="inlineStr"/>
      <c r="V1018" s="10">
        <f>Umbrales!$B$9*(K1018/1000)^Umbrales!$B$10</f>
        <v/>
      </c>
    </row>
    <row r="1019">
      <c r="A1019" s="4" t="inlineStr">
        <is>
          <t>A2A.MI</t>
        </is>
      </c>
      <c r="B1019" s="4" t="inlineStr">
        <is>
          <t>A2A S.p.A.</t>
        </is>
      </c>
      <c r="C1019" s="4" t="inlineStr">
        <is>
          <t>Italy</t>
        </is>
      </c>
      <c r="D1019" s="4" t="inlineStr">
        <is>
          <t>IT</t>
        </is>
      </c>
      <c r="E1019" s="4" t="inlineStr">
        <is>
          <t>Servicios públicos</t>
        </is>
      </c>
      <c r="F1019" s="4" t="inlineStr">
        <is>
          <t>Utilities - Diversified</t>
        </is>
      </c>
      <c r="G1019" s="4" t="inlineStr">
        <is>
          <t>MIL</t>
        </is>
      </c>
      <c r="H1019" s="4" t="inlineStr">
        <is>
          <t>EUR</t>
        </is>
      </c>
      <c r="I1019" s="5" t="n">
        <v>7395.753472</v>
      </c>
      <c r="J1019" s="6">
        <f>INDEX(FX!$B:$B,MATCH(H1019,FX!$A:$A,0))</f>
        <v/>
      </c>
      <c r="K1019" s="5">
        <f>I1019*J1019</f>
        <v/>
      </c>
      <c r="L1019" s="4">
        <f>IF(U1019&lt;&gt;"",U1019,IF(K1019&gt;=Umbrales!$B$2,"Legendaria",IF(K1019&gt;=Umbrales!$B$3,"Épica",IF(K1019&gt;=Umbrales!$B$4,"Rara",IF(K1019&gt;=Umbrales!$B$5,"Poco común","Común")))))</f>
        <v/>
      </c>
      <c r="M1019" s="5" t="n">
        <v>15534.000128</v>
      </c>
      <c r="N1019" s="5" t="n">
        <v>687</v>
      </c>
      <c r="O1019" s="5">
        <f>IF(M1019="","",M1019*J1019)</f>
        <v/>
      </c>
      <c r="P1019" s="5">
        <f>IF(N1019="","",N1019*J1019)</f>
        <v/>
      </c>
      <c r="Q1019" s="7" t="n">
        <v>0.0441</v>
      </c>
      <c r="R1019" s="8" t="n">
        <v>10.740909</v>
      </c>
      <c r="S1019" s="4" t="inlineStr">
        <is>
          <t>FTSEMIB</t>
        </is>
      </c>
      <c r="T1019" s="9" t="inlineStr">
        <is>
          <t>SI</t>
        </is>
      </c>
      <c r="U1019" s="9" t="inlineStr"/>
      <c r="V1019" s="10">
        <f>Umbrales!$B$9*(K1019/1000)^Umbrales!$B$10</f>
        <v/>
      </c>
    </row>
    <row r="1020">
      <c r="A1020" s="4" t="inlineStr">
        <is>
          <t>AOS</t>
        </is>
      </c>
      <c r="B1020" s="4" t="inlineStr">
        <is>
          <t>A. O. Smith Corporation</t>
        </is>
      </c>
      <c r="C1020" s="4" t="inlineStr">
        <is>
          <t>United States</t>
        </is>
      </c>
      <c r="D1020" s="4" t="inlineStr">
        <is>
          <t>US</t>
        </is>
      </c>
      <c r="E1020" s="4" t="inlineStr">
        <is>
          <t>Industria</t>
        </is>
      </c>
      <c r="F1020" s="4" t="inlineStr">
        <is>
          <t>Specialty Industrial Machinery</t>
        </is>
      </c>
      <c r="G1020" s="4" t="inlineStr">
        <is>
          <t>NYQ</t>
        </is>
      </c>
      <c r="H1020" s="4" t="inlineStr">
        <is>
          <t>USD</t>
        </is>
      </c>
      <c r="I1020" s="5" t="n">
        <v>8106.932736</v>
      </c>
      <c r="J1020" s="6">
        <f>INDEX(FX!$B:$B,MATCH(H1020,FX!$A:$A,0))</f>
        <v/>
      </c>
      <c r="K1020" s="5">
        <f>I1020*J1020</f>
        <v/>
      </c>
      <c r="L1020" s="4">
        <f>IF(U1020&lt;&gt;"",U1020,IF(K1020&gt;=Umbrales!$B$2,"Legendaria",IF(K1020&gt;=Umbrales!$B$3,"Épica",IF(K1020&gt;=Umbrales!$B$4,"Rara",IF(K1020&gt;=Umbrales!$B$5,"Poco común","Común")))))</f>
        <v/>
      </c>
      <c r="M1020" s="5" t="n">
        <v>3804.900096</v>
      </c>
      <c r="N1020" s="5" t="n">
        <v>500.3</v>
      </c>
      <c r="O1020" s="5">
        <f>IF(M1020="","",M1020*J1020)</f>
        <v/>
      </c>
      <c r="P1020" s="5">
        <f>IF(N1020="","",N1020*J1020)</f>
        <v/>
      </c>
      <c r="Q1020" s="7" t="n">
        <v>0.0263</v>
      </c>
      <c r="R1020" s="8" t="n">
        <v>16.661983</v>
      </c>
      <c r="S1020" s="4" t="inlineStr">
        <is>
          <t>SP500</t>
        </is>
      </c>
      <c r="T1020" s="9" t="inlineStr">
        <is>
          <t>SI</t>
        </is>
      </c>
      <c r="U1020" s="9" t="inlineStr"/>
      <c r="V1020" s="10">
        <f>Umbrales!$B$9*(K1020/1000)^Umbrales!$B$10</f>
        <v/>
      </c>
    </row>
    <row r="1021">
      <c r="A1021" s="4" t="inlineStr">
        <is>
          <t>0291.HK</t>
        </is>
      </c>
      <c r="B1021" s="4" t="inlineStr">
        <is>
          <t>China Resources Beer (Holdings) Company Limited</t>
        </is>
      </c>
      <c r="C1021" s="4" t="inlineStr">
        <is>
          <t>Hong Kong</t>
        </is>
      </c>
      <c r="D1021" s="4" t="inlineStr">
        <is>
          <t>HK</t>
        </is>
      </c>
      <c r="E1021" s="4" t="inlineStr">
        <is>
          <t>Consumo básico</t>
        </is>
      </c>
      <c r="F1021" s="4" t="inlineStr">
        <is>
          <t>Beverages - Brewers</t>
        </is>
      </c>
      <c r="G1021" s="4" t="inlineStr">
        <is>
          <t>HKG</t>
        </is>
      </c>
      <c r="H1021" s="4" t="inlineStr">
        <is>
          <t>HKD</t>
        </is>
      </c>
      <c r="I1021" s="5" t="n">
        <v>63549.960192</v>
      </c>
      <c r="J1021" s="6">
        <f>INDEX(FX!$B:$B,MATCH(H1021,FX!$A:$A,0))</f>
        <v/>
      </c>
      <c r="K1021" s="5">
        <f>I1021*J1021</f>
        <v/>
      </c>
      <c r="L1021" s="4">
        <f>IF(U1021&lt;&gt;"",U1021,IF(K1021&gt;=Umbrales!$B$2,"Legendaria",IF(K1021&gt;=Umbrales!$B$3,"Épica",IF(K1021&gt;=Umbrales!$B$4,"Rara",IF(K1021&gt;=Umbrales!$B$5,"Poco común","Común")))))</f>
        <v/>
      </c>
      <c r="M1021" s="5" t="n">
        <v>38283.001856</v>
      </c>
      <c r="N1021" s="5" t="n">
        <v>2751.000064</v>
      </c>
      <c r="O1021" s="5">
        <f>IF(M1021="","",M1021*J1021)</f>
        <v/>
      </c>
      <c r="P1021" s="5">
        <f>IF(N1021="","",N1021*J1021)</f>
        <v/>
      </c>
      <c r="Q1021" s="7" t="n">
        <v>0.0532</v>
      </c>
      <c r="R1021" s="8" t="n">
        <v>20.621054</v>
      </c>
      <c r="S1021" s="4" t="inlineStr">
        <is>
          <t>HANGSENG</t>
        </is>
      </c>
      <c r="T1021" s="9" t="inlineStr">
        <is>
          <t>SI</t>
        </is>
      </c>
      <c r="U1021" s="9" t="inlineStr"/>
      <c r="V1021" s="10">
        <f>Umbrales!$B$9*(K1021/1000)^Umbrales!$B$10</f>
        <v/>
      </c>
    </row>
    <row r="1022">
      <c r="A1022" s="4" t="inlineStr">
        <is>
          <t>MRL.MC</t>
        </is>
      </c>
      <c r="B1022" s="4" t="inlineStr">
        <is>
          <t>MERLIN Properties SOCIMI, S.A.</t>
        </is>
      </c>
      <c r="C1022" s="4" t="inlineStr">
        <is>
          <t>Spain</t>
        </is>
      </c>
      <c r="D1022" s="4" t="inlineStr">
        <is>
          <t>ES</t>
        </is>
      </c>
      <c r="E1022" s="4" t="inlineStr">
        <is>
          <t>Inmobiliario</t>
        </is>
      </c>
      <c r="F1022" s="4" t="inlineStr">
        <is>
          <t>REIT - Office</t>
        </is>
      </c>
      <c r="G1022" s="4" t="inlineStr">
        <is>
          <t>MCE</t>
        </is>
      </c>
      <c r="H1022" s="4" t="inlineStr">
        <is>
          <t>EUR</t>
        </is>
      </c>
      <c r="I1022" s="5" t="n">
        <v>7108.21888</v>
      </c>
      <c r="J1022" s="6">
        <f>INDEX(FX!$B:$B,MATCH(H1022,FX!$A:$A,0))</f>
        <v/>
      </c>
      <c r="K1022" s="5">
        <f>I1022*J1022</f>
        <v/>
      </c>
      <c r="L1022" s="4">
        <f>IF(U1022&lt;&gt;"",U1022,IF(K1022&gt;=Umbrales!$B$2,"Legendaria",IF(K1022&gt;=Umbrales!$B$3,"Épica",IF(K1022&gt;=Umbrales!$B$4,"Rara",IF(K1022&gt;=Umbrales!$B$5,"Poco común","Común")))))</f>
        <v/>
      </c>
      <c r="M1022" s="5" t="n">
        <v>601.452032</v>
      </c>
      <c r="N1022" s="5" t="n">
        <v>852.153024</v>
      </c>
      <c r="O1022" s="5">
        <f>IF(M1022="","",M1022*J1022)</f>
        <v/>
      </c>
      <c r="P1022" s="5">
        <f>IF(N1022="","",N1022*J1022)</f>
        <v/>
      </c>
      <c r="Q1022" s="7" t="n">
        <v>0.0181</v>
      </c>
      <c r="R1022" s="8" t="n">
        <v>7.7567563</v>
      </c>
      <c r="S1022" s="4" t="inlineStr">
        <is>
          <t>IBEX35</t>
        </is>
      </c>
      <c r="T1022" s="9" t="inlineStr">
        <is>
          <t>SI</t>
        </is>
      </c>
      <c r="U1022" s="9" t="inlineStr"/>
      <c r="V1022" s="10">
        <f>Umbrales!$B$9*(K1022/1000)^Umbrales!$B$10</f>
        <v/>
      </c>
    </row>
    <row r="1023">
      <c r="A1023" s="4" t="inlineStr">
        <is>
          <t>2618.HK</t>
        </is>
      </c>
      <c r="B1023" s="4" t="inlineStr">
        <is>
          <t>JD Logistics, Inc.</t>
        </is>
      </c>
      <c r="C1023" s="4" t="inlineStr">
        <is>
          <t>China</t>
        </is>
      </c>
      <c r="D1023" s="4" t="inlineStr">
        <is>
          <t>CN</t>
        </is>
      </c>
      <c r="E1023" s="4" t="inlineStr">
        <is>
          <t>Industria</t>
        </is>
      </c>
      <c r="F1023" s="4" t="inlineStr">
        <is>
          <t>Integrated Freight &amp; Logistics</t>
        </is>
      </c>
      <c r="G1023" s="4" t="inlineStr">
        <is>
          <t>HKG</t>
        </is>
      </c>
      <c r="H1023" s="4" t="inlineStr">
        <is>
          <t>HKD</t>
        </is>
      </c>
      <c r="I1023" s="5" t="n">
        <v>62152.810496</v>
      </c>
      <c r="J1023" s="6">
        <f>INDEX(FX!$B:$B,MATCH(H1023,FX!$A:$A,0))</f>
        <v/>
      </c>
      <c r="K1023" s="5">
        <f>I1023*J1023</f>
        <v/>
      </c>
      <c r="L1023" s="4">
        <f>IF(U1023&lt;&gt;"",U1023,IF(K1023&gt;=Umbrales!$B$2,"Legendaria",IF(K1023&gt;=Umbrales!$B$3,"Épica",IF(K1023&gt;=Umbrales!$B$4,"Rara",IF(K1023&gt;=Umbrales!$B$5,"Poco común","Común")))))</f>
        <v/>
      </c>
      <c r="M1023" s="5" t="n">
        <v>243298.451456</v>
      </c>
      <c r="N1023" s="5" t="n">
        <v>7359.330816</v>
      </c>
      <c r="O1023" s="5">
        <f>IF(M1023="","",M1023*J1023)</f>
        <v/>
      </c>
      <c r="P1023" s="5">
        <f>IF(N1023="","",N1023*J1023)</f>
        <v/>
      </c>
      <c r="Q1023" s="7" t="n">
        <v>0</v>
      </c>
      <c r="R1023" s="8" t="n">
        <v>7.9296875</v>
      </c>
      <c r="S1023" s="4" t="inlineStr">
        <is>
          <t>HANGSENG</t>
        </is>
      </c>
      <c r="T1023" s="9" t="inlineStr">
        <is>
          <t>SI</t>
        </is>
      </c>
      <c r="U1023" s="9" t="inlineStr"/>
      <c r="V1023" s="10">
        <f>Umbrales!$B$9*(K1023/1000)^Umbrales!$B$10</f>
        <v/>
      </c>
    </row>
    <row r="1024">
      <c r="A1024" s="4" t="inlineStr">
        <is>
          <t>ANE.MC</t>
        </is>
      </c>
      <c r="B1024" s="4" t="inlineStr">
        <is>
          <t>Corporación Acciona Energías Renovables, S.A.</t>
        </is>
      </c>
      <c r="C1024" s="4" t="inlineStr">
        <is>
          <t>Spain</t>
        </is>
      </c>
      <c r="D1024" s="4" t="inlineStr">
        <is>
          <t>ES</t>
        </is>
      </c>
      <c r="E1024" s="4" t="inlineStr">
        <is>
          <t>Servicios públicos</t>
        </is>
      </c>
      <c r="F1024" s="4" t="inlineStr">
        <is>
          <t>Utilities - Renewable</t>
        </is>
      </c>
      <c r="G1024" s="4" t="inlineStr">
        <is>
          <t>MCE</t>
        </is>
      </c>
      <c r="H1024" s="4" t="inlineStr">
        <is>
          <t>EUR</t>
        </is>
      </c>
      <c r="I1024" s="5" t="n">
        <v>7036.232192</v>
      </c>
      <c r="J1024" s="6">
        <f>INDEX(FX!$B:$B,MATCH(H1024,FX!$A:$A,0))</f>
        <v/>
      </c>
      <c r="K1024" s="5">
        <f>I1024*J1024</f>
        <v/>
      </c>
      <c r="L1024" s="4">
        <f>IF(U1024&lt;&gt;"",U1024,IF(K1024&gt;=Umbrales!$B$2,"Legendaria",IF(K1024&gt;=Umbrales!$B$3,"Épica",IF(K1024&gt;=Umbrales!$B$4,"Rara",IF(K1024&gt;=Umbrales!$B$5,"Poco común","Común")))))</f>
        <v/>
      </c>
      <c r="M1024" s="5" t="n">
        <v>3339.000064</v>
      </c>
      <c r="N1024" s="5" t="n">
        <v>182</v>
      </c>
      <c r="O1024" s="5">
        <f>IF(M1024="","",M1024*J1024)</f>
        <v/>
      </c>
      <c r="P1024" s="5">
        <f>IF(N1024="","",N1024*J1024)</f>
        <v/>
      </c>
      <c r="Q1024" s="7" t="n">
        <v>0.0014</v>
      </c>
      <c r="R1024" s="8" t="n">
        <v>37.37931</v>
      </c>
      <c r="S1024" s="4" t="inlineStr">
        <is>
          <t>IBEX35</t>
        </is>
      </c>
      <c r="T1024" s="9" t="inlineStr">
        <is>
          <t>SI</t>
        </is>
      </c>
      <c r="U1024" s="9" t="inlineStr"/>
      <c r="V1024" s="10">
        <f>Umbrales!$B$9*(K1024/1000)^Umbrales!$B$10</f>
        <v/>
      </c>
    </row>
    <row r="1025">
      <c r="A1025" s="4" t="inlineStr">
        <is>
          <t>MRO.L</t>
        </is>
      </c>
      <c r="B1025" s="4" t="inlineStr">
        <is>
          <t>Melrose Industries PLC</t>
        </is>
      </c>
      <c r="C1025" s="4" t="inlineStr">
        <is>
          <t>United Kingdom</t>
        </is>
      </c>
      <c r="D1025" s="4" t="inlineStr">
        <is>
          <t>GB</t>
        </is>
      </c>
      <c r="E1025" s="4" t="inlineStr">
        <is>
          <t>Industria</t>
        </is>
      </c>
      <c r="F1025" s="4" t="inlineStr">
        <is>
          <t>Specialty Industrial Machinery</t>
        </is>
      </c>
      <c r="G1025" s="4" t="inlineStr">
        <is>
          <t>LSE</t>
        </is>
      </c>
      <c r="H1025" s="4" t="inlineStr">
        <is>
          <t>GBP</t>
        </is>
      </c>
      <c r="I1025" s="5" t="n">
        <v>5943.885312</v>
      </c>
      <c r="J1025" s="6">
        <f>INDEX(FX!$B:$B,MATCH(H1025,FX!$A:$A,0))</f>
        <v/>
      </c>
      <c r="K1025" s="5">
        <f>I1025*J1025</f>
        <v/>
      </c>
      <c r="L1025" s="4">
        <f>IF(U1025&lt;&gt;"",U1025,IF(K1025&gt;=Umbrales!$B$2,"Legendaria",IF(K1025&gt;=Umbrales!$B$3,"Épica",IF(K1025&gt;=Umbrales!$B$4,"Rara",IF(K1025&gt;=Umbrales!$B$5,"Poco común","Común")))))</f>
        <v/>
      </c>
      <c r="M1025" s="5" t="n">
        <v>3742.000128</v>
      </c>
      <c r="N1025" s="5" t="n">
        <v>160</v>
      </c>
      <c r="O1025" s="5">
        <f>IF(M1025="","",M1025*J1025)</f>
        <v/>
      </c>
      <c r="P1025" s="5">
        <f>IF(N1025="","",N1025*J1025)</f>
        <v/>
      </c>
      <c r="Q1025" s="7" t="n">
        <v>0.0161</v>
      </c>
      <c r="R1025" s="8" t="n">
        <v>36.69231</v>
      </c>
      <c r="S1025" s="4" t="inlineStr">
        <is>
          <t>FTSE100</t>
        </is>
      </c>
      <c r="T1025" s="9" t="inlineStr">
        <is>
          <t>SI</t>
        </is>
      </c>
      <c r="U1025" s="9" t="inlineStr"/>
      <c r="V1025" s="10">
        <f>Umbrales!$B$9*(K1025/1000)^Umbrales!$B$10</f>
        <v/>
      </c>
    </row>
    <row r="1026">
      <c r="A1026" s="4" t="inlineStr">
        <is>
          <t>GIL.TO</t>
        </is>
      </c>
      <c r="B1026" s="4" t="inlineStr">
        <is>
          <t>Gildan Activewear Inc.</t>
        </is>
      </c>
      <c r="C1026" s="4" t="inlineStr">
        <is>
          <t>Canada</t>
        </is>
      </c>
      <c r="D1026" s="4" t="inlineStr">
        <is>
          <t>CA</t>
        </is>
      </c>
      <c r="E1026" s="4" t="inlineStr">
        <is>
          <t>Consumo cíclico</t>
        </is>
      </c>
      <c r="F1026" s="4" t="inlineStr">
        <is>
          <t>Apparel Manufacturing</t>
        </is>
      </c>
      <c r="G1026" s="4" t="inlineStr">
        <is>
          <t>TOR</t>
        </is>
      </c>
      <c r="H1026" s="4" t="inlineStr">
        <is>
          <t>CAD</t>
        </is>
      </c>
      <c r="I1026" s="5" t="n">
        <v>11133.732864</v>
      </c>
      <c r="J1026" s="6">
        <f>INDEX(FX!$B:$B,MATCH(H1026,FX!$A:$A,0))</f>
        <v/>
      </c>
      <c r="K1026" s="5">
        <f>I1026*J1026</f>
        <v/>
      </c>
      <c r="L1026" s="4">
        <f>IF(U1026&lt;&gt;"",U1026,IF(K1026&gt;=Umbrales!$B$2,"Legendaria",IF(K1026&gt;=Umbrales!$B$3,"Épica",IF(K1026&gt;=Umbrales!$B$4,"Rara",IF(K1026&gt;=Umbrales!$B$5,"Poco común","Común")))))</f>
        <v/>
      </c>
      <c r="M1026" s="5" t="n">
        <v>4737.478144</v>
      </c>
      <c r="N1026" s="5" t="n">
        <v>206.672992</v>
      </c>
      <c r="O1026" s="5">
        <f>IF(M1026="","",M1026*J1026)</f>
        <v/>
      </c>
      <c r="P1026" s="5">
        <f>IF(N1026="","",N1026*J1026)</f>
        <v/>
      </c>
      <c r="Q1026" s="7" t="n">
        <v>0.0232</v>
      </c>
      <c r="R1026" s="8" t="n">
        <v>33.77528</v>
      </c>
      <c r="S1026" s="4" t="inlineStr">
        <is>
          <t>TSX60</t>
        </is>
      </c>
      <c r="T1026" s="9" t="inlineStr">
        <is>
          <t>SI</t>
        </is>
      </c>
      <c r="U1026" s="9" t="inlineStr"/>
      <c r="V1026" s="10">
        <f>Umbrales!$B$9*(K1026/1000)^Umbrales!$B$10</f>
        <v/>
      </c>
    </row>
    <row r="1027">
      <c r="A1027" s="4" t="inlineStr">
        <is>
          <t>2382.HK</t>
        </is>
      </c>
      <c r="B1027" s="4" t="inlineStr">
        <is>
          <t>Sunny Optical Technology (Group) Company Limited</t>
        </is>
      </c>
      <c r="C1027" s="4" t="inlineStr">
        <is>
          <t>China</t>
        </is>
      </c>
      <c r="D1027" s="4" t="inlineStr">
        <is>
          <t>CN</t>
        </is>
      </c>
      <c r="E1027" s="4" t="inlineStr">
        <is>
          <t>Tecnología</t>
        </is>
      </c>
      <c r="F1027" s="4" t="inlineStr">
        <is>
          <t>Electronic Components</t>
        </is>
      </c>
      <c r="G1027" s="4" t="inlineStr">
        <is>
          <t>HKG</t>
        </is>
      </c>
      <c r="H1027" s="4" t="inlineStr">
        <is>
          <t>HKD</t>
        </is>
      </c>
      <c r="I1027" s="5" t="n">
        <v>61389.094912</v>
      </c>
      <c r="J1027" s="6">
        <f>INDEX(FX!$B:$B,MATCH(H1027,FX!$A:$A,0))</f>
        <v/>
      </c>
      <c r="K1027" s="5">
        <f>I1027*J1027</f>
        <v/>
      </c>
      <c r="L1027" s="4">
        <f>IF(U1027&lt;&gt;"",U1027,IF(K1027&gt;=Umbrales!$B$2,"Legendaria",IF(K1027&gt;=Umbrales!$B$3,"Épica",IF(K1027&gt;=Umbrales!$B$4,"Rara",IF(K1027&gt;=Umbrales!$B$5,"Poco común","Común")))))</f>
        <v/>
      </c>
      <c r="M1027" s="5" t="n">
        <v>45482.909696</v>
      </c>
      <c r="N1027" s="5" t="n">
        <v>4801.337856</v>
      </c>
      <c r="O1027" s="5">
        <f>IF(M1027="","",M1027*J1027)</f>
        <v/>
      </c>
      <c r="P1027" s="5">
        <f>IF(N1027="","",N1027*J1027)</f>
        <v/>
      </c>
      <c r="Q1027" s="7" t="n">
        <v>0.0205</v>
      </c>
      <c r="R1027" s="8" t="n">
        <v>11.592293</v>
      </c>
      <c r="S1027" s="4" t="inlineStr">
        <is>
          <t>HANGSENG</t>
        </is>
      </c>
      <c r="T1027" s="9" t="inlineStr">
        <is>
          <t>SI</t>
        </is>
      </c>
      <c r="U1027" s="9" t="inlineStr"/>
      <c r="V1027" s="10">
        <f>Umbrales!$B$9*(K1027/1000)^Umbrales!$B$10</f>
        <v/>
      </c>
    </row>
    <row r="1028">
      <c r="A1028" s="4" t="inlineStr">
        <is>
          <t>WYNN</t>
        </is>
      </c>
      <c r="B1028" s="4" t="inlineStr">
        <is>
          <t>Wynn Resorts, Limited</t>
        </is>
      </c>
      <c r="C1028" s="4" t="inlineStr">
        <is>
          <t>United States</t>
        </is>
      </c>
      <c r="D1028" s="4" t="inlineStr">
        <is>
          <t>US</t>
        </is>
      </c>
      <c r="E1028" s="4" t="inlineStr">
        <is>
          <t>Consumo cíclico</t>
        </is>
      </c>
      <c r="F1028" s="4" t="inlineStr">
        <is>
          <t>Resorts &amp; Casinos</t>
        </is>
      </c>
      <c r="G1028" s="4" t="inlineStr">
        <is>
          <t>NMS</t>
        </is>
      </c>
      <c r="H1028" s="4" t="inlineStr">
        <is>
          <t>USD</t>
        </is>
      </c>
      <c r="I1028" s="5" t="n">
        <v>7812.628992</v>
      </c>
      <c r="J1028" s="6">
        <f>INDEX(FX!$B:$B,MATCH(H1028,FX!$A:$A,0))</f>
        <v/>
      </c>
      <c r="K1028" s="5">
        <f>I1028*J1028</f>
        <v/>
      </c>
      <c r="L1028" s="4">
        <f>IF(U1028&lt;&gt;"",U1028,IF(K1028&gt;=Umbrales!$B$2,"Legendaria",IF(K1028&gt;=Umbrales!$B$3,"Épica",IF(K1028&gt;=Umbrales!$B$4,"Rara",IF(K1028&gt;=Umbrales!$B$5,"Poco común","Común")))))</f>
        <v/>
      </c>
      <c r="M1028" s="5" t="n">
        <v>7413.425152</v>
      </c>
      <c r="N1028" s="5" t="n">
        <v>448.884992</v>
      </c>
      <c r="O1028" s="5">
        <f>IF(M1028="","",M1028*J1028)</f>
        <v/>
      </c>
      <c r="P1028" s="5">
        <f>IF(N1028="","",N1028*J1028)</f>
        <v/>
      </c>
      <c r="Q1028" s="7" t="n">
        <v>0.0132</v>
      </c>
      <c r="R1028" s="8" t="n">
        <v>18.687193</v>
      </c>
      <c r="S1028" s="4" t="inlineStr">
        <is>
          <t>SP500</t>
        </is>
      </c>
      <c r="T1028" s="9" t="inlineStr">
        <is>
          <t>SI</t>
        </is>
      </c>
      <c r="U1028" s="9" t="inlineStr"/>
      <c r="V1028" s="10">
        <f>Umbrales!$B$9*(K1028/1000)^Umbrales!$B$10</f>
        <v/>
      </c>
    </row>
    <row r="1029">
      <c r="A1029" s="4" t="inlineStr">
        <is>
          <t>HSX.L</t>
        </is>
      </c>
      <c r="B1029" s="4" t="inlineStr">
        <is>
          <t>Hiscox Ltd</t>
        </is>
      </c>
      <c r="C1029" s="4" t="inlineStr">
        <is>
          <t>Bermuda</t>
        </is>
      </c>
      <c r="D1029" s="4" t="inlineStr">
        <is>
          <t>BM</t>
        </is>
      </c>
      <c r="E1029" s="4" t="inlineStr">
        <is>
          <t>Finanzas</t>
        </is>
      </c>
      <c r="F1029" s="4" t="inlineStr">
        <is>
          <t>Insurance - Property &amp; Casualty</t>
        </is>
      </c>
      <c r="G1029" s="4" t="inlineStr">
        <is>
          <t>LSE</t>
        </is>
      </c>
      <c r="H1029" s="4" t="inlineStr">
        <is>
          <t>GBP</t>
        </is>
      </c>
      <c r="I1029" s="5" t="n">
        <v>5892.791296</v>
      </c>
      <c r="J1029" s="6">
        <f>INDEX(FX!$B:$B,MATCH(H1029,FX!$A:$A,0))</f>
        <v/>
      </c>
      <c r="K1029" s="5">
        <f>I1029*J1029</f>
        <v/>
      </c>
      <c r="L1029" s="4">
        <f>IF(U1029&lt;&gt;"",U1029,IF(K1029&gt;=Umbrales!$B$2,"Legendaria",IF(K1029&gt;=Umbrales!$B$3,"Épica",IF(K1029&gt;=Umbrales!$B$4,"Rara",IF(K1029&gt;=Umbrales!$B$5,"Poco común","Común")))))</f>
        <v/>
      </c>
      <c r="M1029" s="5" t="n">
        <v>4115.800064</v>
      </c>
      <c r="N1029" s="5" t="n">
        <v>640.8999679999999</v>
      </c>
      <c r="O1029" s="5">
        <f>IF(M1029="","",M1029*J1029)</f>
        <v/>
      </c>
      <c r="P1029" s="5">
        <f>IF(N1029="","",N1029*J1029)</f>
        <v/>
      </c>
      <c r="Q1029" s="7" t="n">
        <v>0.0209</v>
      </c>
      <c r="R1029" s="8" t="n">
        <v>13.321428</v>
      </c>
      <c r="S1029" s="4" t="inlineStr">
        <is>
          <t>FTSE100</t>
        </is>
      </c>
      <c r="T1029" s="9" t="inlineStr">
        <is>
          <t>SI</t>
        </is>
      </c>
      <c r="U1029" s="9" t="inlineStr"/>
      <c r="V1029" s="10">
        <f>Umbrales!$B$9*(K1029/1000)^Umbrales!$B$10</f>
        <v/>
      </c>
    </row>
    <row r="1030">
      <c r="A1030" s="4" t="inlineStr">
        <is>
          <t>MTLN.L</t>
        </is>
      </c>
      <c r="B1030" s="4" t="inlineStr">
        <is>
          <t>Metlen Energy &amp; Metals PLC</t>
        </is>
      </c>
      <c r="C1030" s="4" t="inlineStr">
        <is>
          <t>Greece</t>
        </is>
      </c>
      <c r="D1030" s="4" t="inlineStr">
        <is>
          <t>GR</t>
        </is>
      </c>
      <c r="E1030" s="4" t="inlineStr">
        <is>
          <t>Servicios públicos</t>
        </is>
      </c>
      <c r="F1030" s="4" t="inlineStr">
        <is>
          <t>Utilities - Diversified</t>
        </is>
      </c>
      <c r="G1030" s="4" t="inlineStr">
        <is>
          <t>LSE</t>
        </is>
      </c>
      <c r="H1030" s="4" t="inlineStr">
        <is>
          <t>EUR</t>
        </is>
      </c>
      <c r="I1030" s="5" t="n">
        <v>6865.69472</v>
      </c>
      <c r="J1030" s="6">
        <f>INDEX(FX!$B:$B,MATCH(H1030,FX!$A:$A,0))</f>
        <v/>
      </c>
      <c r="K1030" s="5">
        <f>I1030*J1030</f>
        <v/>
      </c>
      <c r="L1030" s="4">
        <f>IF(U1030&lt;&gt;"",U1030,IF(K1030&gt;=Umbrales!$B$2,"Legendaria",IF(K1030&gt;=Umbrales!$B$3,"Épica",IF(K1030&gt;=Umbrales!$B$4,"Rara",IF(K1030&gt;=Umbrales!$B$5,"Poco común","Común")))))</f>
        <v/>
      </c>
      <c r="M1030" s="5" t="n">
        <v>7486.3232</v>
      </c>
      <c r="N1030" s="5" t="n">
        <v>373.512</v>
      </c>
      <c r="O1030" s="5">
        <f>IF(M1030="","",M1030*J1030)</f>
        <v/>
      </c>
      <c r="P1030" s="5">
        <f>IF(N1030="","",N1030*J1030)</f>
        <v/>
      </c>
      <c r="Q1030" s="7" t="n">
        <v>0.0207</v>
      </c>
      <c r="R1030" s="8" t="n">
        <v>18.713179</v>
      </c>
      <c r="S1030" s="4" t="inlineStr">
        <is>
          <t>FTSE100</t>
        </is>
      </c>
      <c r="T1030" s="9" t="inlineStr">
        <is>
          <t>SI</t>
        </is>
      </c>
      <c r="U1030" s="9" t="inlineStr"/>
      <c r="V1030" s="10">
        <f>Umbrales!$B$9*(K1030/1000)^Umbrales!$B$10</f>
        <v/>
      </c>
    </row>
    <row r="1031">
      <c r="A1031" s="4" t="inlineStr">
        <is>
          <t>GRF.MC</t>
        </is>
      </c>
      <c r="B1031" s="4" t="inlineStr">
        <is>
          <t>Grifols, S.A.</t>
        </is>
      </c>
      <c r="C1031" s="4" t="inlineStr">
        <is>
          <t>Spain</t>
        </is>
      </c>
      <c r="D1031" s="4" t="inlineStr">
        <is>
          <t>ES</t>
        </is>
      </c>
      <c r="E1031" s="4" t="inlineStr">
        <is>
          <t>Salud</t>
        </is>
      </c>
      <c r="F1031" s="4" t="inlineStr">
        <is>
          <t>Drug Manufacturers - General</t>
        </is>
      </c>
      <c r="G1031" s="4" t="inlineStr">
        <is>
          <t>MCE</t>
        </is>
      </c>
      <c r="H1031" s="4" t="inlineStr">
        <is>
          <t>EUR</t>
        </is>
      </c>
      <c r="I1031" s="5" t="n">
        <v>6853.434368</v>
      </c>
      <c r="J1031" s="6">
        <f>INDEX(FX!$B:$B,MATCH(H1031,FX!$A:$A,0))</f>
        <v/>
      </c>
      <c r="K1031" s="5">
        <f>I1031*J1031</f>
        <v/>
      </c>
      <c r="L1031" s="4">
        <f>IF(U1031&lt;&gt;"",U1031,IF(K1031&gt;=Umbrales!$B$2,"Legendaria",IF(K1031&gt;=Umbrales!$B$3,"Épica",IF(K1031&gt;=Umbrales!$B$4,"Rara",IF(K1031&gt;=Umbrales!$B$5,"Poco común","Común")))))</f>
        <v/>
      </c>
      <c r="M1031" s="5" t="n">
        <v>7421.000192</v>
      </c>
      <c r="N1031" s="5" t="n">
        <v>452</v>
      </c>
      <c r="O1031" s="5">
        <f>IF(M1031="","",M1031*J1031)</f>
        <v/>
      </c>
      <c r="P1031" s="5">
        <f>IF(N1031="","",N1031*J1031)</f>
        <v/>
      </c>
      <c r="Q1031" s="7" t="n">
        <v>0.008399999999999999</v>
      </c>
      <c r="R1031" s="8" t="n">
        <v>15.492308</v>
      </c>
      <c r="S1031" s="4" t="inlineStr">
        <is>
          <t>IBEX35</t>
        </is>
      </c>
      <c r="T1031" s="9" t="inlineStr">
        <is>
          <t>SI</t>
        </is>
      </c>
      <c r="U1031" s="9" t="inlineStr"/>
      <c r="V1031" s="10">
        <f>Umbrales!$B$9*(K1031/1000)^Umbrales!$B$10</f>
        <v/>
      </c>
    </row>
    <row r="1032">
      <c r="A1032" s="4" t="inlineStr">
        <is>
          <t>CAE.TO</t>
        </is>
      </c>
      <c r="B1032" s="4" t="inlineStr">
        <is>
          <t>CAE Inc.</t>
        </is>
      </c>
      <c r="C1032" s="4" t="inlineStr">
        <is>
          <t>Canada</t>
        </is>
      </c>
      <c r="D1032" s="4" t="inlineStr">
        <is>
          <t>CA</t>
        </is>
      </c>
      <c r="E1032" s="4" t="inlineStr">
        <is>
          <t>Industria</t>
        </is>
      </c>
      <c r="F1032" s="4" t="inlineStr">
        <is>
          <t>Aerospace &amp; Defense</t>
        </is>
      </c>
      <c r="G1032" s="4" t="inlineStr">
        <is>
          <t>TOR</t>
        </is>
      </c>
      <c r="H1032" s="4" t="inlineStr">
        <is>
          <t>CAD</t>
        </is>
      </c>
      <c r="I1032" s="5" t="n">
        <v>10785.16224</v>
      </c>
      <c r="J1032" s="6">
        <f>INDEX(FX!$B:$B,MATCH(H1032,FX!$A:$A,0))</f>
        <v/>
      </c>
      <c r="K1032" s="5">
        <f>I1032*J1032</f>
        <v/>
      </c>
      <c r="L1032" s="4">
        <f>IF(U1032&lt;&gt;"",U1032,IF(K1032&gt;=Umbrales!$B$2,"Legendaria",IF(K1032&gt;=Umbrales!$B$3,"Épica",IF(K1032&gt;=Umbrales!$B$4,"Rara",IF(K1032&gt;=Umbrales!$B$5,"Poco común","Común")))))</f>
        <v/>
      </c>
      <c r="M1032" s="5" t="n">
        <v>4988.8</v>
      </c>
      <c r="N1032" s="5" t="n">
        <v>286.9</v>
      </c>
      <c r="O1032" s="5">
        <f>IF(M1032="","",M1032*J1032)</f>
        <v/>
      </c>
      <c r="P1032" s="5">
        <f>IF(N1032="","",N1032*J1032)</f>
        <v/>
      </c>
      <c r="Q1032" s="7" t="n">
        <v>0</v>
      </c>
      <c r="R1032" s="8" t="n">
        <v>38.079544</v>
      </c>
      <c r="S1032" s="4" t="inlineStr">
        <is>
          <t>TSX60</t>
        </is>
      </c>
      <c r="T1032" s="9" t="inlineStr">
        <is>
          <t>SI</t>
        </is>
      </c>
      <c r="U1032" s="9" t="inlineStr"/>
      <c r="V1032" s="10">
        <f>Umbrales!$B$9*(K1032/1000)^Umbrales!$B$10</f>
        <v/>
      </c>
    </row>
    <row r="1033">
      <c r="A1033" s="4" t="inlineStr">
        <is>
          <t>LYC.AX</t>
        </is>
      </c>
      <c r="B1033" s="4" t="inlineStr">
        <is>
          <t>Lynas Rare Earths Limited</t>
        </is>
      </c>
      <c r="C1033" s="4" t="inlineStr">
        <is>
          <t>Australia</t>
        </is>
      </c>
      <c r="D1033" s="4" t="inlineStr">
        <is>
          <t>AU</t>
        </is>
      </c>
      <c r="E1033" s="4" t="inlineStr">
        <is>
          <t>Materiales</t>
        </is>
      </c>
      <c r="F1033" s="4" t="inlineStr">
        <is>
          <t>Other Industrial Metals &amp; Mining</t>
        </is>
      </c>
      <c r="G1033" s="4" t="inlineStr">
        <is>
          <t>ASX</t>
        </is>
      </c>
      <c r="H1033" s="4" t="inlineStr">
        <is>
          <t>AUD</t>
        </is>
      </c>
      <c r="I1033" s="5" t="n">
        <v>10880.293888</v>
      </c>
      <c r="J1033" s="6">
        <f>INDEX(FX!$B:$B,MATCH(H1033,FX!$A:$A,0))</f>
        <v/>
      </c>
      <c r="K1033" s="5">
        <f>I1033*J1033</f>
        <v/>
      </c>
      <c r="L1033" s="4">
        <f>IF(U1033&lt;&gt;"",U1033,IF(K1033&gt;=Umbrales!$B$2,"Legendaria",IF(K1033&gt;=Umbrales!$B$3,"Épica",IF(K1033&gt;=Umbrales!$B$4,"Rara",IF(K1033&gt;=Umbrales!$B$5,"Poco común","Común")))))</f>
        <v/>
      </c>
      <c r="M1033" s="5" t="n">
        <v>977.945024</v>
      </c>
      <c r="N1033" s="5" t="n">
        <v>222.352</v>
      </c>
      <c r="O1033" s="5">
        <f>IF(M1033="","",M1033*J1033)</f>
        <v/>
      </c>
      <c r="P1033" s="5">
        <f>IF(N1033="","",N1033*J1033)</f>
        <v/>
      </c>
      <c r="Q1033" s="7" t="n">
        <v>0</v>
      </c>
      <c r="R1033" s="8" t="n">
        <v>51.476192</v>
      </c>
      <c r="S1033" s="4" t="inlineStr">
        <is>
          <t>ASX50</t>
        </is>
      </c>
      <c r="T1033" s="9" t="inlineStr">
        <is>
          <t>SI</t>
        </is>
      </c>
      <c r="U1033" s="9" t="inlineStr"/>
      <c r="V1033" s="10">
        <f>Umbrales!$B$9*(K1033/1000)^Umbrales!$B$10</f>
        <v/>
      </c>
    </row>
    <row r="1034">
      <c r="A1034" s="4" t="inlineStr">
        <is>
          <t>GAW.L</t>
        </is>
      </c>
      <c r="B1034" s="4" t="inlineStr">
        <is>
          <t>Games Workshop Group PLC</t>
        </is>
      </c>
      <c r="C1034" s="4" t="inlineStr">
        <is>
          <t>United Kingdom</t>
        </is>
      </c>
      <c r="D1034" s="4" t="inlineStr">
        <is>
          <t>GB</t>
        </is>
      </c>
      <c r="E1034" s="4" t="inlineStr">
        <is>
          <t>Consumo cíclico</t>
        </is>
      </c>
      <c r="F1034" s="4" t="inlineStr">
        <is>
          <t>Leisure</t>
        </is>
      </c>
      <c r="G1034" s="4" t="inlineStr">
        <is>
          <t>LSE</t>
        </is>
      </c>
      <c r="H1034" s="4" t="inlineStr">
        <is>
          <t>GBP</t>
        </is>
      </c>
      <c r="I1034" s="5" t="n">
        <v>5650.758144</v>
      </c>
      <c r="J1034" s="6">
        <f>INDEX(FX!$B:$B,MATCH(H1034,FX!$A:$A,0))</f>
        <v/>
      </c>
      <c r="K1034" s="5">
        <f>I1034*J1034</f>
        <v/>
      </c>
      <c r="L1034" s="4">
        <f>IF(U1034&lt;&gt;"",U1034,IF(K1034&gt;=Umbrales!$B$2,"Legendaria",IF(K1034&gt;=Umbrales!$B$3,"Épica",IF(K1034&gt;=Umbrales!$B$4,"Rara",IF(K1034&gt;=Umbrales!$B$5,"Poco común","Común")))))</f>
        <v/>
      </c>
      <c r="M1034" s="5" t="n">
        <v>659.699968</v>
      </c>
      <c r="N1034" s="5" t="n">
        <v>206</v>
      </c>
      <c r="O1034" s="5">
        <f>IF(M1034="","",M1034*J1034)</f>
        <v/>
      </c>
      <c r="P1034" s="5">
        <f>IF(N1034="","",N1034*J1034)</f>
        <v/>
      </c>
      <c r="Q1034" s="7" t="n">
        <v>0.0236</v>
      </c>
      <c r="R1034" s="8" t="n">
        <v>27.099842</v>
      </c>
      <c r="S1034" s="4" t="inlineStr">
        <is>
          <t>FTSE100</t>
        </is>
      </c>
      <c r="T1034" s="9" t="inlineStr">
        <is>
          <t>SI</t>
        </is>
      </c>
      <c r="U1034" s="9" t="inlineStr"/>
      <c r="V1034" s="10">
        <f>Umbrales!$B$9*(K1034/1000)^Umbrales!$B$10</f>
        <v/>
      </c>
    </row>
    <row r="1035">
      <c r="A1035" s="4" t="inlineStr">
        <is>
          <t>MGM</t>
        </is>
      </c>
      <c r="B1035" s="4" t="inlineStr">
        <is>
          <t>MGM Resorts International</t>
        </is>
      </c>
      <c r="C1035" s="4" t="inlineStr">
        <is>
          <t>United States</t>
        </is>
      </c>
      <c r="D1035" s="4" t="inlineStr">
        <is>
          <t>US</t>
        </is>
      </c>
      <c r="E1035" s="4" t="inlineStr">
        <is>
          <t>Consumo cíclico</t>
        </is>
      </c>
      <c r="F1035" s="4" t="inlineStr">
        <is>
          <t>Resorts &amp; Casinos</t>
        </is>
      </c>
      <c r="G1035" s="4" t="inlineStr">
        <is>
          <t>NYQ</t>
        </is>
      </c>
      <c r="H1035" s="4" t="inlineStr">
        <is>
          <t>USD</t>
        </is>
      </c>
      <c r="I1035" s="5" t="n">
        <v>7434.565632</v>
      </c>
      <c r="J1035" s="6">
        <f>INDEX(FX!$B:$B,MATCH(H1035,FX!$A:$A,0))</f>
        <v/>
      </c>
      <c r="K1035" s="5">
        <f>I1035*J1035</f>
        <v/>
      </c>
      <c r="L1035" s="4">
        <f>IF(U1035&lt;&gt;"",U1035,IF(K1035&gt;=Umbrales!$B$2,"Legendaria",IF(K1035&gt;=Umbrales!$B$3,"Épica",IF(K1035&gt;=Umbrales!$B$4,"Rara",IF(K1035&gt;=Umbrales!$B$5,"Poco común","Común")))))</f>
        <v/>
      </c>
      <c r="M1035" s="5" t="n">
        <v>17761.441792</v>
      </c>
      <c r="N1035" s="5" t="n">
        <v>423.588</v>
      </c>
      <c r="O1035" s="5">
        <f>IF(M1035="","",M1035*J1035)</f>
        <v/>
      </c>
      <c r="P1035" s="5">
        <f>IF(N1035="","",N1035*J1035)</f>
        <v/>
      </c>
      <c r="Q1035" s="7" t="n">
        <v>0</v>
      </c>
      <c r="R1035" s="8" t="n">
        <v>18.46875</v>
      </c>
      <c r="S1035" s="4" t="inlineStr">
        <is>
          <t>SP500</t>
        </is>
      </c>
      <c r="T1035" s="9" t="inlineStr">
        <is>
          <t>SI</t>
        </is>
      </c>
      <c r="U1035" s="9" t="inlineStr"/>
      <c r="V1035" s="10">
        <f>Umbrales!$B$9*(K1035/1000)^Umbrales!$B$10</f>
        <v/>
      </c>
    </row>
    <row r="1036">
      <c r="A1036" s="4" t="inlineStr">
        <is>
          <t>CTC-A.TO</t>
        </is>
      </c>
      <c r="B1036" s="4" t="inlineStr">
        <is>
          <t>Canadian Tire Corporation, Limited</t>
        </is>
      </c>
      <c r="C1036" s="4" t="inlineStr">
        <is>
          <t>Canada</t>
        </is>
      </c>
      <c r="D1036" s="4" t="inlineStr">
        <is>
          <t>CA</t>
        </is>
      </c>
      <c r="E1036" s="4" t="inlineStr">
        <is>
          <t>Consumo cíclico</t>
        </is>
      </c>
      <c r="F1036" s="4" t="inlineStr">
        <is>
          <t>Specialty Retail</t>
        </is>
      </c>
      <c r="G1036" s="4" t="inlineStr">
        <is>
          <t>TOR</t>
        </is>
      </c>
      <c r="H1036" s="4" t="inlineStr">
        <is>
          <t>CAD</t>
        </is>
      </c>
      <c r="I1036" s="5" t="n">
        <v>10482.210816</v>
      </c>
      <c r="J1036" s="6">
        <f>INDEX(FX!$B:$B,MATCH(H1036,FX!$A:$A,0))</f>
        <v/>
      </c>
      <c r="K1036" s="5">
        <f>I1036*J1036</f>
        <v/>
      </c>
      <c r="L1036" s="4">
        <f>IF(U1036&lt;&gt;"",U1036,IF(K1036&gt;=Umbrales!$B$2,"Legendaria",IF(K1036&gt;=Umbrales!$B$3,"Épica",IF(K1036&gt;=Umbrales!$B$4,"Rara",IF(K1036&gt;=Umbrales!$B$5,"Poco común","Común")))))</f>
        <v/>
      </c>
      <c r="M1036" s="5" t="n">
        <v>16530.700288</v>
      </c>
      <c r="N1036" s="5" t="n">
        <v>679.2</v>
      </c>
      <c r="O1036" s="5">
        <f>IF(M1036="","",M1036*J1036)</f>
        <v/>
      </c>
      <c r="P1036" s="5">
        <f>IF(N1036="","",N1036*J1036)</f>
        <v/>
      </c>
      <c r="Q1036" s="7" t="n">
        <v>0.0374</v>
      </c>
      <c r="R1036" s="8" t="n">
        <v>15.580621</v>
      </c>
      <c r="S1036" s="4" t="inlineStr">
        <is>
          <t>TSX60</t>
        </is>
      </c>
      <c r="T1036" s="9" t="inlineStr">
        <is>
          <t>SI</t>
        </is>
      </c>
      <c r="U1036" s="9" t="inlineStr"/>
      <c r="V1036" s="10">
        <f>Umbrales!$B$9*(K1036/1000)^Umbrales!$B$10</f>
        <v/>
      </c>
    </row>
    <row r="1037">
      <c r="A1037" s="4" t="inlineStr">
        <is>
          <t>KGF.L</t>
        </is>
      </c>
      <c r="B1037" s="4" t="inlineStr">
        <is>
          <t>Kingfisher plc</t>
        </is>
      </c>
      <c r="C1037" s="4" t="inlineStr">
        <is>
          <t>United Kingdom</t>
        </is>
      </c>
      <c r="D1037" s="4" t="inlineStr">
        <is>
          <t>GB</t>
        </is>
      </c>
      <c r="E1037" s="4" t="inlineStr">
        <is>
          <t>Consumo cíclico</t>
        </is>
      </c>
      <c r="F1037" s="4" t="inlineStr">
        <is>
          <t>Home Improvement Retail</t>
        </is>
      </c>
      <c r="G1037" s="4" t="inlineStr">
        <is>
          <t>LSE</t>
        </is>
      </c>
      <c r="H1037" s="4" t="inlineStr">
        <is>
          <t>GBP</t>
        </is>
      </c>
      <c r="I1037" s="5" t="n">
        <v>5556.226048</v>
      </c>
      <c r="J1037" s="6">
        <f>INDEX(FX!$B:$B,MATCH(H1037,FX!$A:$A,0))</f>
        <v/>
      </c>
      <c r="K1037" s="5">
        <f>I1037*J1037</f>
        <v/>
      </c>
      <c r="L1037" s="4">
        <f>IF(U1037&lt;&gt;"",U1037,IF(K1037&gt;=Umbrales!$B$2,"Legendaria",IF(K1037&gt;=Umbrales!$B$3,"Épica",IF(K1037&gt;=Umbrales!$B$4,"Rara",IF(K1037&gt;=Umbrales!$B$5,"Poco común","Común")))))</f>
        <v/>
      </c>
      <c r="M1037" s="5" t="n">
        <v>12997.999616</v>
      </c>
      <c r="N1037" s="5" t="n">
        <v>298</v>
      </c>
      <c r="O1037" s="5">
        <f>IF(M1037="","",M1037*J1037)</f>
        <v/>
      </c>
      <c r="P1037" s="5">
        <f>IF(N1037="","",N1037*J1037)</f>
        <v/>
      </c>
      <c r="Q1037" s="7" t="n">
        <v>0.038</v>
      </c>
      <c r="R1037" s="8" t="n">
        <v>18.96111</v>
      </c>
      <c r="S1037" s="4" t="inlineStr">
        <is>
          <t>FTSE100</t>
        </is>
      </c>
      <c r="T1037" s="9" t="inlineStr">
        <is>
          <t>SI</t>
        </is>
      </c>
      <c r="U1037" s="9" t="inlineStr"/>
      <c r="V1037" s="10">
        <f>Umbrales!$B$9*(K1037/1000)^Umbrales!$B$10</f>
        <v/>
      </c>
    </row>
    <row r="1038">
      <c r="A1038" s="4" t="inlineStr">
        <is>
          <t>ARE</t>
        </is>
      </c>
      <c r="B1038" s="4" t="inlineStr">
        <is>
          <t>Alexandria Real Estate Equities, Inc.</t>
        </is>
      </c>
      <c r="C1038" s="4" t="inlineStr">
        <is>
          <t>United States</t>
        </is>
      </c>
      <c r="D1038" s="4" t="inlineStr">
        <is>
          <t>US</t>
        </is>
      </c>
      <c r="E1038" s="4" t="inlineStr">
        <is>
          <t>Inmobiliario</t>
        </is>
      </c>
      <c r="F1038" s="4" t="inlineStr">
        <is>
          <t>REIT - Office</t>
        </is>
      </c>
      <c r="G1038" s="4" t="inlineStr">
        <is>
          <t>NYQ</t>
        </is>
      </c>
      <c r="H1038" s="4" t="inlineStr">
        <is>
          <t>USD</t>
        </is>
      </c>
      <c r="I1038" s="5" t="n">
        <v>7339.864064</v>
      </c>
      <c r="J1038" s="6">
        <f>INDEX(FX!$B:$B,MATCH(H1038,FX!$A:$A,0))</f>
        <v/>
      </c>
      <c r="K1038" s="5">
        <f>I1038*J1038</f>
        <v/>
      </c>
      <c r="L1038" s="4">
        <f>IF(U1038&lt;&gt;"",U1038,IF(K1038&gt;=Umbrales!$B$2,"Legendaria",IF(K1038&gt;=Umbrales!$B$3,"Épica",IF(K1038&gt;=Umbrales!$B$4,"Rara",IF(K1038&gt;=Umbrales!$B$5,"Poco común","Común")))))</f>
        <v/>
      </c>
      <c r="M1038" s="5" t="n">
        <v>2840.326912</v>
      </c>
      <c r="N1038" s="5" t="n">
        <v>-1030.056</v>
      </c>
      <c r="O1038" s="5">
        <f>IF(M1038="","",M1038*J1038)</f>
        <v/>
      </c>
      <c r="P1038" s="5">
        <f>IF(N1038="","",N1038*J1038)</f>
        <v/>
      </c>
      <c r="Q1038" s="7" t="n">
        <v>0.06570000000000001</v>
      </c>
      <c r="R1038" s="8" t="n"/>
      <c r="S1038" s="4" t="inlineStr">
        <is>
          <t>SP500</t>
        </is>
      </c>
      <c r="T1038" s="9" t="inlineStr">
        <is>
          <t>SI</t>
        </is>
      </c>
      <c r="U1038" s="9" t="inlineStr"/>
      <c r="V1038" s="10">
        <f>Umbrales!$B$9*(K1038/1000)^Umbrales!$B$10</f>
        <v/>
      </c>
    </row>
    <row r="1039">
      <c r="A1039" s="4" t="inlineStr">
        <is>
          <t>DCC.L</t>
        </is>
      </c>
      <c r="B1039" s="4" t="inlineStr">
        <is>
          <t>DCC Energy plc</t>
        </is>
      </c>
      <c r="C1039" s="4" t="inlineStr">
        <is>
          <t>Ireland</t>
        </is>
      </c>
      <c r="D1039" s="4" t="inlineStr">
        <is>
          <t>IE</t>
        </is>
      </c>
      <c r="E1039" s="4" t="inlineStr">
        <is>
          <t>Energía</t>
        </is>
      </c>
      <c r="F1039" s="4" t="inlineStr">
        <is>
          <t>Oil &amp; Gas Refining &amp; Marketing</t>
        </is>
      </c>
      <c r="G1039" s="4" t="inlineStr">
        <is>
          <t>LSE</t>
        </is>
      </c>
      <c r="H1039" s="4" t="inlineStr">
        <is>
          <t>GBP</t>
        </is>
      </c>
      <c r="I1039" s="5" t="n">
        <v>5498.642944</v>
      </c>
      <c r="J1039" s="6">
        <f>INDEX(FX!$B:$B,MATCH(H1039,FX!$A:$A,0))</f>
        <v/>
      </c>
      <c r="K1039" s="5">
        <f>I1039*J1039</f>
        <v/>
      </c>
      <c r="L1039" s="4">
        <f>IF(U1039&lt;&gt;"",U1039,IF(K1039&gt;=Umbrales!$B$2,"Legendaria",IF(K1039&gt;=Umbrales!$B$3,"Épica",IF(K1039&gt;=Umbrales!$B$4,"Rara",IF(K1039&gt;=Umbrales!$B$5,"Poco común","Común")))))</f>
        <v/>
      </c>
      <c r="M1039" s="5" t="n">
        <v>15441.861632</v>
      </c>
      <c r="N1039" s="5" t="n">
        <v>272.073984</v>
      </c>
      <c r="O1039" s="5">
        <f>IF(M1039="","",M1039*J1039)</f>
        <v/>
      </c>
      <c r="P1039" s="5">
        <f>IF(N1039="","",N1039*J1039)</f>
        <v/>
      </c>
      <c r="Q1039" s="7" t="n">
        <v>0.0337</v>
      </c>
      <c r="R1039" s="8" t="n">
        <v>22.343748</v>
      </c>
      <c r="S1039" s="4" t="inlineStr">
        <is>
          <t>FTSE100</t>
        </is>
      </c>
      <c r="T1039" s="9" t="inlineStr">
        <is>
          <t>SI</t>
        </is>
      </c>
      <c r="U1039" s="9" t="inlineStr"/>
      <c r="V1039" s="10">
        <f>Umbrales!$B$9*(K1039/1000)^Umbrales!$B$10</f>
        <v/>
      </c>
    </row>
    <row r="1040">
      <c r="A1040" s="4" t="inlineStr">
        <is>
          <t>BZU.MI</t>
        </is>
      </c>
      <c r="B1040" s="4" t="inlineStr">
        <is>
          <t>Buzzi S.p.A.</t>
        </is>
      </c>
      <c r="C1040" s="4" t="inlineStr">
        <is>
          <t>Italy</t>
        </is>
      </c>
      <c r="D1040" s="4" t="inlineStr">
        <is>
          <t>IT</t>
        </is>
      </c>
      <c r="E1040" s="4" t="inlineStr">
        <is>
          <t>Materiales</t>
        </is>
      </c>
      <c r="F1040" s="4" t="inlineStr">
        <is>
          <t>Building Materials</t>
        </is>
      </c>
      <c r="G1040" s="4" t="inlineStr">
        <is>
          <t>MIL</t>
        </is>
      </c>
      <c r="H1040" s="4" t="inlineStr">
        <is>
          <t>EUR</t>
        </is>
      </c>
      <c r="I1040" s="5" t="n">
        <v>6459.01056</v>
      </c>
      <c r="J1040" s="6">
        <f>INDEX(FX!$B:$B,MATCH(H1040,FX!$A:$A,0))</f>
        <v/>
      </c>
      <c r="K1040" s="5">
        <f>I1040*J1040</f>
        <v/>
      </c>
      <c r="L1040" s="4">
        <f>IF(U1040&lt;&gt;"",U1040,IF(K1040&gt;=Umbrales!$B$2,"Legendaria",IF(K1040&gt;=Umbrales!$B$3,"Épica",IF(K1040&gt;=Umbrales!$B$4,"Rara",IF(K1040&gt;=Umbrales!$B$5,"Poco común","Común")))))</f>
        <v/>
      </c>
      <c r="M1040" s="5" t="n">
        <v>4529.731072</v>
      </c>
      <c r="N1040" s="5" t="n">
        <v>859.0110079999999</v>
      </c>
      <c r="O1040" s="5">
        <f>IF(M1040="","",M1040*J1040)</f>
        <v/>
      </c>
      <c r="P1040" s="5">
        <f>IF(N1040="","",N1040*J1040)</f>
        <v/>
      </c>
      <c r="Q1040" s="7" t="n">
        <v>0.0191</v>
      </c>
      <c r="R1040" s="8" t="n">
        <v>7.705882</v>
      </c>
      <c r="S1040" s="4" t="inlineStr">
        <is>
          <t>FTSEMIB</t>
        </is>
      </c>
      <c r="T1040" s="9" t="inlineStr">
        <is>
          <t>SI</t>
        </is>
      </c>
      <c r="U1040" s="9" t="inlineStr"/>
      <c r="V1040" s="10">
        <f>Umbrales!$B$9*(K1040/1000)^Umbrales!$B$10</f>
        <v/>
      </c>
    </row>
    <row r="1041">
      <c r="A1041" s="4" t="inlineStr">
        <is>
          <t>INW.MI</t>
        </is>
      </c>
      <c r="B1041" s="4" t="inlineStr">
        <is>
          <t>Infrastrutture Wireless Italiane S.p.A.</t>
        </is>
      </c>
      <c r="C1041" s="4" t="inlineStr">
        <is>
          <t>Italy</t>
        </is>
      </c>
      <c r="D1041" s="4" t="inlineStr">
        <is>
          <t>IT</t>
        </is>
      </c>
      <c r="E1041" s="4" t="inlineStr">
        <is>
          <t>Inmobiliario</t>
        </is>
      </c>
      <c r="F1041" s="4" t="inlineStr">
        <is>
          <t>Real Estate Services</t>
        </is>
      </c>
      <c r="G1041" s="4" t="inlineStr">
        <is>
          <t>MIL</t>
        </is>
      </c>
      <c r="H1041" s="4" t="inlineStr">
        <is>
          <t>EUR</t>
        </is>
      </c>
      <c r="I1041" s="5" t="n">
        <v>6439.271936</v>
      </c>
      <c r="J1041" s="6">
        <f>INDEX(FX!$B:$B,MATCH(H1041,FX!$A:$A,0))</f>
        <v/>
      </c>
      <c r="K1041" s="5">
        <f>I1041*J1041</f>
        <v/>
      </c>
      <c r="L1041" s="4">
        <f>IF(U1041&lt;&gt;"",U1041,IF(K1041&gt;=Umbrales!$B$2,"Legendaria",IF(K1041&gt;=Umbrales!$B$3,"Épica",IF(K1041&gt;=Umbrales!$B$4,"Rara",IF(K1041&gt;=Umbrales!$B$5,"Poco común","Común")))))</f>
        <v/>
      </c>
      <c r="M1041" s="5" t="n">
        <v>1072.992</v>
      </c>
      <c r="N1041" s="5" t="n">
        <v>337.512992</v>
      </c>
      <c r="O1041" s="5">
        <f>IF(M1041="","",M1041*J1041)</f>
        <v/>
      </c>
      <c r="P1041" s="5">
        <f>IF(N1041="","",N1041*J1041)</f>
        <v/>
      </c>
      <c r="Q1041" s="7" t="n">
        <v>0.0781</v>
      </c>
      <c r="R1041" s="8" t="n">
        <v>18.776316</v>
      </c>
      <c r="S1041" s="4" t="inlineStr">
        <is>
          <t>FTSEMIB</t>
        </is>
      </c>
      <c r="T1041" s="9" t="inlineStr">
        <is>
          <t>SI</t>
        </is>
      </c>
      <c r="U1041" s="9" t="inlineStr"/>
      <c r="V1041" s="10">
        <f>Umbrales!$B$9*(K1041/1000)^Umbrales!$B$10</f>
        <v/>
      </c>
    </row>
    <row r="1042">
      <c r="A1042" s="4" t="inlineStr">
        <is>
          <t>BGEO.L</t>
        </is>
      </c>
      <c r="B1042" s="4" t="inlineStr">
        <is>
          <t>Lion Finance Group PLC</t>
        </is>
      </c>
      <c r="C1042" s="4" t="inlineStr">
        <is>
          <t>United Kingdom</t>
        </is>
      </c>
      <c r="D1042" s="4" t="inlineStr">
        <is>
          <t>GB</t>
        </is>
      </c>
      <c r="E1042" s="4" t="inlineStr">
        <is>
          <t>Finanzas</t>
        </is>
      </c>
      <c r="F1042" s="4" t="inlineStr">
        <is>
          <t>Banks - Regional</t>
        </is>
      </c>
      <c r="G1042" s="4" t="inlineStr">
        <is>
          <t>LSE</t>
        </is>
      </c>
      <c r="H1042" s="4" t="inlineStr">
        <is>
          <t>GBP</t>
        </is>
      </c>
      <c r="I1042" s="5" t="n">
        <v>5414.51776</v>
      </c>
      <c r="J1042" s="6">
        <f>INDEX(FX!$B:$B,MATCH(H1042,FX!$A:$A,0))</f>
        <v/>
      </c>
      <c r="K1042" s="5">
        <f>I1042*J1042</f>
        <v/>
      </c>
      <c r="L1042" s="4">
        <f>IF(U1042&lt;&gt;"",U1042,IF(K1042&gt;=Umbrales!$B$2,"Legendaria",IF(K1042&gt;=Umbrales!$B$3,"Épica",IF(K1042&gt;=Umbrales!$B$4,"Rara",IF(K1042&gt;=Umbrales!$B$5,"Poco común","Común")))))</f>
        <v/>
      </c>
      <c r="M1042" s="5" t="n"/>
      <c r="N1042" s="5" t="n"/>
      <c r="O1042" s="5">
        <f>IF(M1042="","",M1042*J1042)</f>
        <v/>
      </c>
      <c r="P1042" s="5">
        <f>IF(N1042="","",N1042*J1042)</f>
        <v/>
      </c>
      <c r="Q1042" s="7" t="n">
        <v>0.0273</v>
      </c>
      <c r="R1042" s="8" t="n">
        <v>8.623286999999999</v>
      </c>
      <c r="S1042" s="4" t="inlineStr">
        <is>
          <t>FTSE100</t>
        </is>
      </c>
      <c r="T1042" s="9" t="inlineStr">
        <is>
          <t>SI</t>
        </is>
      </c>
      <c r="U1042" s="9" t="inlineStr"/>
      <c r="V1042" s="10">
        <f>Umbrales!$B$9*(K1042/1000)^Umbrales!$B$10</f>
        <v/>
      </c>
    </row>
    <row r="1043">
      <c r="A1043" s="4" t="inlineStr">
        <is>
          <t>2313.HK</t>
        </is>
      </c>
      <c r="B1043" s="4" t="inlineStr">
        <is>
          <t>Shenzhou International Group Holdings Limited</t>
        </is>
      </c>
      <c r="C1043" s="4" t="inlineStr">
        <is>
          <t>Hong Kong</t>
        </is>
      </c>
      <c r="D1043" s="4" t="inlineStr">
        <is>
          <t>HK</t>
        </is>
      </c>
      <c r="E1043" s="4" t="inlineStr">
        <is>
          <t>Consumo cíclico</t>
        </is>
      </c>
      <c r="F1043" s="4" t="inlineStr">
        <is>
          <t>Textile Manufacturing</t>
        </is>
      </c>
      <c r="G1043" s="4" t="inlineStr">
        <is>
          <t>HKG</t>
        </is>
      </c>
      <c r="H1043" s="4" t="inlineStr">
        <is>
          <t>HKD</t>
        </is>
      </c>
      <c r="I1043" s="5" t="n">
        <v>56236.118016</v>
      </c>
      <c r="J1043" s="6">
        <f>INDEX(FX!$B:$B,MATCH(H1043,FX!$A:$A,0))</f>
        <v/>
      </c>
      <c r="K1043" s="5">
        <f>I1043*J1043</f>
        <v/>
      </c>
      <c r="L1043" s="4">
        <f>IF(U1043&lt;&gt;"",U1043,IF(K1043&gt;=Umbrales!$B$2,"Legendaria",IF(K1043&gt;=Umbrales!$B$3,"Épica",IF(K1043&gt;=Umbrales!$B$4,"Rara",IF(K1043&gt;=Umbrales!$B$5,"Poco común","Común")))))</f>
        <v/>
      </c>
      <c r="M1043" s="5" t="n">
        <v>30206.52544</v>
      </c>
      <c r="N1043" s="5" t="n">
        <v>4552.989184</v>
      </c>
      <c r="O1043" s="5">
        <f>IF(M1043="","",M1043*J1043)</f>
        <v/>
      </c>
      <c r="P1043" s="5">
        <f>IF(N1043="","",N1043*J1043)</f>
        <v/>
      </c>
      <c r="Q1043" s="7" t="n">
        <v>0.0484</v>
      </c>
      <c r="R1043" s="8" t="n">
        <v>11.038347</v>
      </c>
      <c r="S1043" s="4" t="inlineStr">
        <is>
          <t>HANGSENG</t>
        </is>
      </c>
      <c r="T1043" s="9" t="inlineStr">
        <is>
          <t>SI</t>
        </is>
      </c>
      <c r="U1043" s="9" t="inlineStr"/>
      <c r="V1043" s="10">
        <f>Umbrales!$B$9*(K1043/1000)^Umbrales!$B$10</f>
        <v/>
      </c>
    </row>
    <row r="1044">
      <c r="A1044" s="4" t="inlineStr">
        <is>
          <t>SGP.AX</t>
        </is>
      </c>
      <c r="B1044" s="4" t="inlineStr">
        <is>
          <t>Stockland</t>
        </is>
      </c>
      <c r="C1044" s="4" t="inlineStr">
        <is>
          <t>Australia</t>
        </is>
      </c>
      <c r="D1044" s="4" t="inlineStr">
        <is>
          <t>AU</t>
        </is>
      </c>
      <c r="E1044" s="4" t="inlineStr">
        <is>
          <t>Inmobiliario</t>
        </is>
      </c>
      <c r="F1044" s="4" t="inlineStr">
        <is>
          <t>REIT - Diversified</t>
        </is>
      </c>
      <c r="G1044" s="4" t="inlineStr">
        <is>
          <t>ASX</t>
        </is>
      </c>
      <c r="H1044" s="4" t="inlineStr">
        <is>
          <t>AUD</t>
        </is>
      </c>
      <c r="I1044" s="5" t="n">
        <v>10310.170624</v>
      </c>
      <c r="J1044" s="6">
        <f>INDEX(FX!$B:$B,MATCH(H1044,FX!$A:$A,0))</f>
        <v/>
      </c>
      <c r="K1044" s="5">
        <f>I1044*J1044</f>
        <v/>
      </c>
      <c r="L1044" s="4">
        <f>IF(U1044&lt;&gt;"",U1044,IF(K1044&gt;=Umbrales!$B$2,"Legendaria",IF(K1044&gt;=Umbrales!$B$3,"Épica",IF(K1044&gt;=Umbrales!$B$4,"Rara",IF(K1044&gt;=Umbrales!$B$5,"Poco común","Común")))))</f>
        <v/>
      </c>
      <c r="M1044" s="5" t="n">
        <v>3824.999936</v>
      </c>
      <c r="N1044" s="5" t="n">
        <v>994</v>
      </c>
      <c r="O1044" s="5">
        <f>IF(M1044="","",M1044*J1044)</f>
        <v/>
      </c>
      <c r="P1044" s="5">
        <f>IF(N1044="","",N1044*J1044)</f>
        <v/>
      </c>
      <c r="Q1044" s="7" t="n">
        <v>0.06059999999999999</v>
      </c>
      <c r="R1044" s="8" t="n">
        <v>10.095238</v>
      </c>
      <c r="S1044" s="4" t="inlineStr">
        <is>
          <t>ASX50</t>
        </is>
      </c>
      <c r="T1044" s="9" t="inlineStr">
        <is>
          <t>SI</t>
        </is>
      </c>
      <c r="U1044" s="9" t="inlineStr"/>
      <c r="V1044" s="10">
        <f>Umbrales!$B$9*(K1044/1000)^Umbrales!$B$10</f>
        <v/>
      </c>
    </row>
    <row r="1045">
      <c r="A1045" s="4" t="inlineStr">
        <is>
          <t>LAND.L</t>
        </is>
      </c>
      <c r="B1045" s="4" t="inlineStr">
        <is>
          <t>Land Securities Group Plc</t>
        </is>
      </c>
      <c r="C1045" s="4" t="inlineStr">
        <is>
          <t>United Kingdom</t>
        </is>
      </c>
      <c r="D1045" s="4" t="inlineStr">
        <is>
          <t>GB</t>
        </is>
      </c>
      <c r="E1045" s="4" t="inlineStr">
        <is>
          <t>Inmobiliario</t>
        </is>
      </c>
      <c r="F1045" s="4" t="inlineStr">
        <is>
          <t>REIT - Diversified</t>
        </is>
      </c>
      <c r="G1045" s="4" t="inlineStr">
        <is>
          <t>LSE</t>
        </is>
      </c>
      <c r="H1045" s="4" t="inlineStr">
        <is>
          <t>GBP</t>
        </is>
      </c>
      <c r="I1045" s="5" t="n">
        <v>5381.112832</v>
      </c>
      <c r="J1045" s="6">
        <f>INDEX(FX!$B:$B,MATCH(H1045,FX!$A:$A,0))</f>
        <v/>
      </c>
      <c r="K1045" s="5">
        <f>I1045*J1045</f>
        <v/>
      </c>
      <c r="L1045" s="4">
        <f>IF(U1045&lt;&gt;"",U1045,IF(K1045&gt;=Umbrales!$B$2,"Legendaria",IF(K1045&gt;=Umbrales!$B$3,"Épica",IF(K1045&gt;=Umbrales!$B$4,"Rara",IF(K1045&gt;=Umbrales!$B$5,"Poco común","Común")))))</f>
        <v/>
      </c>
      <c r="M1045" s="5" t="n">
        <v>892</v>
      </c>
      <c r="N1045" s="5" t="n">
        <v>343</v>
      </c>
      <c r="O1045" s="5">
        <f>IF(M1045="","",M1045*J1045)</f>
        <v/>
      </c>
      <c r="P1045" s="5">
        <f>IF(N1045="","",N1045*J1045)</f>
        <v/>
      </c>
      <c r="Q1045" s="7" t="n">
        <v>0.1435</v>
      </c>
      <c r="R1045" s="8" t="n">
        <v>13.819149</v>
      </c>
      <c r="S1045" s="4" t="inlineStr">
        <is>
          <t>FTSE100</t>
        </is>
      </c>
      <c r="T1045" s="9" t="inlineStr">
        <is>
          <t>SI</t>
        </is>
      </c>
      <c r="U1045" s="9" t="inlineStr"/>
      <c r="V1045" s="10">
        <f>Umbrales!$B$9*(K1045/1000)^Umbrales!$B$10</f>
        <v/>
      </c>
    </row>
    <row r="1046">
      <c r="A1046" s="4" t="inlineStr">
        <is>
          <t>SPX.L</t>
        </is>
      </c>
      <c r="B1046" s="4" t="inlineStr">
        <is>
          <t>Spirax Group plc</t>
        </is>
      </c>
      <c r="C1046" s="4" t="inlineStr">
        <is>
          <t>United Kingdom</t>
        </is>
      </c>
      <c r="D1046" s="4" t="inlineStr">
        <is>
          <t>GB</t>
        </is>
      </c>
      <c r="E1046" s="4" t="inlineStr">
        <is>
          <t>Industria</t>
        </is>
      </c>
      <c r="F1046" s="4" t="inlineStr">
        <is>
          <t>Specialty Industrial Machinery</t>
        </is>
      </c>
      <c r="G1046" s="4" t="inlineStr">
        <is>
          <t>LSE</t>
        </is>
      </c>
      <c r="H1046" s="4" t="inlineStr">
        <is>
          <t>GBP</t>
        </is>
      </c>
      <c r="I1046" s="5" t="n">
        <v>5353.891328</v>
      </c>
      <c r="J1046" s="6">
        <f>INDEX(FX!$B:$B,MATCH(H1046,FX!$A:$A,0))</f>
        <v/>
      </c>
      <c r="K1046" s="5">
        <f>I1046*J1046</f>
        <v/>
      </c>
      <c r="L1046" s="4">
        <f>IF(U1046&lt;&gt;"",U1046,IF(K1046&gt;=Umbrales!$B$2,"Legendaria",IF(K1046&gt;=Umbrales!$B$3,"Épica",IF(K1046&gt;=Umbrales!$B$4,"Rara",IF(K1046&gt;=Umbrales!$B$5,"Poco común","Común")))))</f>
        <v/>
      </c>
      <c r="M1046" s="5" t="n">
        <v>1744.499968</v>
      </c>
      <c r="N1046" s="5" t="n">
        <v>198.2</v>
      </c>
      <c r="O1046" s="5">
        <f>IF(M1046="","",M1046*J1046)</f>
        <v/>
      </c>
      <c r="P1046" s="5">
        <f>IF(N1046="","",N1046*J1046)</f>
        <v/>
      </c>
      <c r="Q1046" s="7" t="n">
        <v>0.0233</v>
      </c>
      <c r="R1046" s="8" t="n">
        <v>26.87037</v>
      </c>
      <c r="S1046" s="4" t="inlineStr">
        <is>
          <t>FTSE100</t>
        </is>
      </c>
      <c r="T1046" s="9" t="inlineStr">
        <is>
          <t>SI</t>
        </is>
      </c>
      <c r="U1046" s="9" t="inlineStr"/>
      <c r="V1046" s="10">
        <f>Umbrales!$B$9*(K1046/1000)^Umbrales!$B$10</f>
        <v/>
      </c>
    </row>
    <row r="1047">
      <c r="A1047" s="4" t="inlineStr">
        <is>
          <t>CCC.L</t>
        </is>
      </c>
      <c r="B1047" s="4" t="inlineStr">
        <is>
          <t>Computacenter plc</t>
        </is>
      </c>
      <c r="C1047" s="4" t="inlineStr">
        <is>
          <t>United Kingdom</t>
        </is>
      </c>
      <c r="D1047" s="4" t="inlineStr">
        <is>
          <t>GB</t>
        </is>
      </c>
      <c r="E1047" s="4" t="inlineStr">
        <is>
          <t>Tecnología</t>
        </is>
      </c>
      <c r="F1047" s="4" t="inlineStr">
        <is>
          <t>Information Technology Services</t>
        </is>
      </c>
      <c r="G1047" s="4" t="inlineStr">
        <is>
          <t>LSE</t>
        </is>
      </c>
      <c r="H1047" s="4" t="inlineStr">
        <is>
          <t>GBP</t>
        </is>
      </c>
      <c r="I1047" s="5" t="n">
        <v>5328.032768</v>
      </c>
      <c r="J1047" s="6">
        <f>INDEX(FX!$B:$B,MATCH(H1047,FX!$A:$A,0))</f>
        <v/>
      </c>
      <c r="K1047" s="5">
        <f>I1047*J1047</f>
        <v/>
      </c>
      <c r="L1047" s="4">
        <f>IF(U1047&lt;&gt;"",U1047,IF(K1047&gt;=Umbrales!$B$2,"Legendaria",IF(K1047&gt;=Umbrales!$B$3,"Épica",IF(K1047&gt;=Umbrales!$B$4,"Rara",IF(K1047&gt;=Umbrales!$B$5,"Poco común","Común")))))</f>
        <v/>
      </c>
      <c r="M1047" s="5" t="n">
        <v>12050.299904</v>
      </c>
      <c r="N1047" s="5" t="n">
        <v>204.3</v>
      </c>
      <c r="O1047" s="5">
        <f>IF(M1047="","",M1047*J1047)</f>
        <v/>
      </c>
      <c r="P1047" s="5">
        <f>IF(N1047="","",N1047*J1047)</f>
        <v/>
      </c>
      <c r="Q1047" s="7" t="n">
        <v>0.0137</v>
      </c>
      <c r="R1047" s="8" t="n">
        <v>26.169077</v>
      </c>
      <c r="S1047" s="4" t="inlineStr">
        <is>
          <t>FTSE100</t>
        </is>
      </c>
      <c r="T1047" s="9" t="inlineStr">
        <is>
          <t>SI</t>
        </is>
      </c>
      <c r="U1047" s="9" t="inlineStr"/>
      <c r="V1047" s="10">
        <f>Umbrales!$B$9*(K1047/1000)^Umbrales!$B$10</f>
        <v/>
      </c>
    </row>
    <row r="1048">
      <c r="A1048" s="4" t="inlineStr">
        <is>
          <t>XRO.AX</t>
        </is>
      </c>
      <c r="B1048" s="4" t="inlineStr">
        <is>
          <t>Xero Limited</t>
        </is>
      </c>
      <c r="C1048" s="4" t="inlineStr">
        <is>
          <t>New Zealand</t>
        </is>
      </c>
      <c r="D1048" s="4" t="inlineStr">
        <is>
          <t>NZ</t>
        </is>
      </c>
      <c r="E1048" s="4" t="inlineStr">
        <is>
          <t>Tecnología</t>
        </is>
      </c>
      <c r="F1048" s="4" t="inlineStr">
        <is>
          <t>Software - Application</t>
        </is>
      </c>
      <c r="G1048" s="4" t="inlineStr">
        <is>
          <t>ASX</t>
        </is>
      </c>
      <c r="H1048" s="4" t="inlineStr">
        <is>
          <t>AUD</t>
        </is>
      </c>
      <c r="I1048" s="5" t="n">
        <v>10165.474304</v>
      </c>
      <c r="J1048" s="6">
        <f>INDEX(FX!$B:$B,MATCH(H1048,FX!$A:$A,0))</f>
        <v/>
      </c>
      <c r="K1048" s="5">
        <f>I1048*J1048</f>
        <v/>
      </c>
      <c r="L1048" s="4">
        <f>IF(U1048&lt;&gt;"",U1048,IF(K1048&gt;=Umbrales!$B$2,"Legendaria",IF(K1048&gt;=Umbrales!$B$3,"Épica",IF(K1048&gt;=Umbrales!$B$4,"Rara",IF(K1048&gt;=Umbrales!$B$5,"Poco común","Común")))))</f>
        <v/>
      </c>
      <c r="M1048" s="5" t="n">
        <v>2753.081088</v>
      </c>
      <c r="N1048" s="5" t="n">
        <v>167.42</v>
      </c>
      <c r="O1048" s="5">
        <f>IF(M1048="","",M1048*J1048)</f>
        <v/>
      </c>
      <c r="P1048" s="5">
        <f>IF(N1048="","",N1048*J1048)</f>
        <v/>
      </c>
      <c r="Q1048" s="7" t="n">
        <v>0</v>
      </c>
      <c r="R1048" s="8" t="n"/>
      <c r="S1048" s="4" t="inlineStr">
        <is>
          <t>ASX50</t>
        </is>
      </c>
      <c r="T1048" s="9" t="inlineStr">
        <is>
          <t>SI</t>
        </is>
      </c>
      <c r="U1048" s="9" t="inlineStr"/>
      <c r="V1048" s="10">
        <f>Umbrales!$B$9*(K1048/1000)^Umbrales!$B$10</f>
        <v/>
      </c>
    </row>
    <row r="1049">
      <c r="A1049" s="4" t="inlineStr">
        <is>
          <t>2688.HK</t>
        </is>
      </c>
      <c r="B1049" s="4" t="inlineStr">
        <is>
          <t>ENN Energy Holdings Limited</t>
        </is>
      </c>
      <c r="C1049" s="4" t="inlineStr">
        <is>
          <t>China</t>
        </is>
      </c>
      <c r="D1049" s="4" t="inlineStr">
        <is>
          <t>CN</t>
        </is>
      </c>
      <c r="E1049" s="4" t="inlineStr">
        <is>
          <t>Servicios públicos</t>
        </is>
      </c>
      <c r="F1049" s="4" t="inlineStr">
        <is>
          <t>Utilities - Regulated Gas</t>
        </is>
      </c>
      <c r="G1049" s="4" t="inlineStr">
        <is>
          <t>HKG</t>
        </is>
      </c>
      <c r="H1049" s="4" t="inlineStr">
        <is>
          <t>HKD</t>
        </is>
      </c>
      <c r="I1049" s="5" t="n">
        <v>55081.283584</v>
      </c>
      <c r="J1049" s="6">
        <f>INDEX(FX!$B:$B,MATCH(H1049,FX!$A:$A,0))</f>
        <v/>
      </c>
      <c r="K1049" s="5">
        <f>I1049*J1049</f>
        <v/>
      </c>
      <c r="L1049" s="4">
        <f>IF(U1049&lt;&gt;"",U1049,IF(K1049&gt;=Umbrales!$B$2,"Legendaria",IF(K1049&gt;=Umbrales!$B$3,"Épica",IF(K1049&gt;=Umbrales!$B$4,"Rara",IF(K1049&gt;=Umbrales!$B$5,"Poco común","Común")))))</f>
        <v/>
      </c>
      <c r="M1049" s="5" t="n">
        <v>113252.999168</v>
      </c>
      <c r="N1049" s="5" t="n">
        <v>6142.000128</v>
      </c>
      <c r="O1049" s="5">
        <f>IF(M1049="","",M1049*J1049)</f>
        <v/>
      </c>
      <c r="P1049" s="5">
        <f>IF(N1049="","",N1049*J1049)</f>
        <v/>
      </c>
      <c r="Q1049" s="7" t="n">
        <v>0.0599</v>
      </c>
      <c r="R1049" s="8" t="n">
        <v>8.042208</v>
      </c>
      <c r="S1049" s="4" t="inlineStr">
        <is>
          <t>HANGSENG</t>
        </is>
      </c>
      <c r="T1049" s="9" t="inlineStr">
        <is>
          <t>SI</t>
        </is>
      </c>
      <c r="U1049" s="9" t="inlineStr"/>
      <c r="V1049" s="10">
        <f>Umbrales!$B$9*(K1049/1000)^Umbrales!$B$10</f>
        <v/>
      </c>
    </row>
    <row r="1050">
      <c r="A1050" s="4" t="inlineStr">
        <is>
          <t>NCLH</t>
        </is>
      </c>
      <c r="B1050" s="4" t="inlineStr">
        <is>
          <t>Norwegian Cruise Line Holdings Ltd.</t>
        </is>
      </c>
      <c r="C1050" s="4" t="inlineStr">
        <is>
          <t>United States</t>
        </is>
      </c>
      <c r="D1050" s="4" t="inlineStr">
        <is>
          <t>US</t>
        </is>
      </c>
      <c r="E1050" s="4" t="inlineStr">
        <is>
          <t>Consumo cíclico</t>
        </is>
      </c>
      <c r="F1050" s="4" t="inlineStr">
        <is>
          <t>Travel Services</t>
        </is>
      </c>
      <c r="G1050" s="4" t="inlineStr">
        <is>
          <t>NYQ</t>
        </is>
      </c>
      <c r="H1050" s="4" t="inlineStr">
        <is>
          <t>USD</t>
        </is>
      </c>
      <c r="I1050" s="5" t="n">
        <v>6940.623872</v>
      </c>
      <c r="J1050" s="6">
        <f>INDEX(FX!$B:$B,MATCH(H1050,FX!$A:$A,0))</f>
        <v/>
      </c>
      <c r="K1050" s="5">
        <f>I1050*J1050</f>
        <v/>
      </c>
      <c r="L1050" s="4">
        <f>IF(U1050&lt;&gt;"",U1050,IF(K1050&gt;=Umbrales!$B$2,"Legendaria",IF(K1050&gt;=Umbrales!$B$3,"Épica",IF(K1050&gt;=Umbrales!$B$4,"Rara",IF(K1050&gt;=Umbrales!$B$5,"Poco común","Común")))))</f>
        <v/>
      </c>
      <c r="M1050" s="5" t="n">
        <v>10154.30656</v>
      </c>
      <c r="N1050" s="5" t="n">
        <v>760.768</v>
      </c>
      <c r="O1050" s="5">
        <f>IF(M1050="","",M1050*J1050)</f>
        <v/>
      </c>
      <c r="P1050" s="5">
        <f>IF(N1050="","",N1050*J1050)</f>
        <v/>
      </c>
      <c r="Q1050" s="7" t="n">
        <v>0</v>
      </c>
      <c r="R1050" s="8" t="n">
        <v>9.627388</v>
      </c>
      <c r="S1050" s="4" t="inlineStr">
        <is>
          <t>SP500</t>
        </is>
      </c>
      <c r="T1050" s="9" t="inlineStr">
        <is>
          <t>SI</t>
        </is>
      </c>
      <c r="U1050" s="9" t="inlineStr"/>
      <c r="V1050" s="10">
        <f>Umbrales!$B$9*(K1050/1000)^Umbrales!$B$10</f>
        <v/>
      </c>
    </row>
    <row r="1051">
      <c r="A1051" s="4" t="inlineStr">
        <is>
          <t>STJ.L</t>
        </is>
      </c>
      <c r="B1051" s="4" t="inlineStr">
        <is>
          <t>St. James's Place plc</t>
        </is>
      </c>
      <c r="C1051" s="4" t="inlineStr">
        <is>
          <t>United Kingdom</t>
        </is>
      </c>
      <c r="D1051" s="4" t="inlineStr">
        <is>
          <t>GB</t>
        </is>
      </c>
      <c r="E1051" s="4" t="inlineStr">
        <is>
          <t>Finanzas</t>
        </is>
      </c>
      <c r="F1051" s="4" t="inlineStr">
        <is>
          <t>Asset Management</t>
        </is>
      </c>
      <c r="G1051" s="4" t="inlineStr">
        <is>
          <t>LSE</t>
        </is>
      </c>
      <c r="H1051" s="4" t="inlineStr">
        <is>
          <t>GBP</t>
        </is>
      </c>
      <c r="I1051" s="5" t="n">
        <v>5199.421952</v>
      </c>
      <c r="J1051" s="6">
        <f>INDEX(FX!$B:$B,MATCH(H1051,FX!$A:$A,0))</f>
        <v/>
      </c>
      <c r="K1051" s="5">
        <f>I1051*J1051</f>
        <v/>
      </c>
      <c r="L1051" s="4">
        <f>IF(U1051&lt;&gt;"",U1051,IF(K1051&gt;=Umbrales!$B$2,"Legendaria",IF(K1051&gt;=Umbrales!$B$3,"Épica",IF(K1051&gt;=Umbrales!$B$4,"Rara",IF(K1051&gt;=Umbrales!$B$5,"Poco común","Común")))))</f>
        <v/>
      </c>
      <c r="M1051" s="5" t="n">
        <v>44833.30048</v>
      </c>
      <c r="N1051" s="5" t="n">
        <v>562.499968</v>
      </c>
      <c r="O1051" s="5">
        <f>IF(M1051="","",M1051*J1051)</f>
        <v/>
      </c>
      <c r="P1051" s="5">
        <f>IF(N1051="","",N1051*J1051)</f>
        <v/>
      </c>
      <c r="Q1051" s="7" t="n">
        <v>0.0175</v>
      </c>
      <c r="R1051" s="8" t="n">
        <v>9.864485999999999</v>
      </c>
      <c r="S1051" s="4" t="inlineStr">
        <is>
          <t>FTSE100</t>
        </is>
      </c>
      <c r="T1051" s="9" t="inlineStr">
        <is>
          <t>SI</t>
        </is>
      </c>
      <c r="U1051" s="9" t="inlineStr"/>
      <c r="V1051" s="10">
        <f>Umbrales!$B$9*(K1051/1000)^Umbrales!$B$10</f>
        <v/>
      </c>
    </row>
    <row r="1052">
      <c r="A1052" s="4" t="inlineStr">
        <is>
          <t>IMCD.AS</t>
        </is>
      </c>
      <c r="B1052" s="4" t="inlineStr">
        <is>
          <t>IMCD N.V.</t>
        </is>
      </c>
      <c r="C1052" s="4" t="inlineStr">
        <is>
          <t>Netherlands</t>
        </is>
      </c>
      <c r="D1052" s="4" t="inlineStr">
        <is>
          <t>NL</t>
        </is>
      </c>
      <c r="E1052" s="4" t="inlineStr">
        <is>
          <t>Materiales</t>
        </is>
      </c>
      <c r="F1052" s="4" t="inlineStr">
        <is>
          <t>Specialty Chemicals</t>
        </is>
      </c>
      <c r="G1052" s="4" t="inlineStr">
        <is>
          <t>AMS</t>
        </is>
      </c>
      <c r="H1052" s="4" t="inlineStr">
        <is>
          <t>EUR</t>
        </is>
      </c>
      <c r="I1052" s="5" t="n">
        <v>6101.0432</v>
      </c>
      <c r="J1052" s="6">
        <f>INDEX(FX!$B:$B,MATCH(H1052,FX!$A:$A,0))</f>
        <v/>
      </c>
      <c r="K1052" s="5">
        <f>I1052*J1052</f>
        <v/>
      </c>
      <c r="L1052" s="4">
        <f>IF(U1052&lt;&gt;"",U1052,IF(K1052&gt;=Umbrales!$B$2,"Legendaria",IF(K1052&gt;=Umbrales!$B$3,"Épica",IF(K1052&gt;=Umbrales!$B$4,"Rara",IF(K1052&gt;=Umbrales!$B$5,"Poco común","Común")))))</f>
        <v/>
      </c>
      <c r="M1052" s="5" t="n">
        <v>4969.657856</v>
      </c>
      <c r="N1052" s="5" t="n">
        <v>230.207008</v>
      </c>
      <c r="O1052" s="5">
        <f>IF(M1052="","",M1052*J1052)</f>
        <v/>
      </c>
      <c r="P1052" s="5">
        <f>IF(N1052="","",N1052*J1052)</f>
        <v/>
      </c>
      <c r="Q1052" s="7" t="n">
        <v>0.0175</v>
      </c>
      <c r="R1052" s="8" t="n">
        <v>26.568123</v>
      </c>
      <c r="S1052" s="4" t="inlineStr">
        <is>
          <t>AEX</t>
        </is>
      </c>
      <c r="T1052" s="9" t="inlineStr">
        <is>
          <t>SI</t>
        </is>
      </c>
      <c r="U1052" s="9" t="inlineStr"/>
      <c r="V1052" s="10">
        <f>Umbrales!$B$9*(K1052/1000)^Umbrales!$B$10</f>
        <v/>
      </c>
    </row>
    <row r="1053">
      <c r="A1053" s="4" t="inlineStr">
        <is>
          <t>ICG.L</t>
        </is>
      </c>
      <c r="B1053" s="4" t="inlineStr">
        <is>
          <t>ICG plc</t>
        </is>
      </c>
      <c r="C1053" s="4" t="inlineStr">
        <is>
          <t>United Kingdom</t>
        </is>
      </c>
      <c r="D1053" s="4" t="inlineStr">
        <is>
          <t>GB</t>
        </is>
      </c>
      <c r="E1053" s="4" t="inlineStr">
        <is>
          <t>Finanzas</t>
        </is>
      </c>
      <c r="F1053" s="4" t="inlineStr">
        <is>
          <t>Asset Management</t>
        </is>
      </c>
      <c r="G1053" s="4" t="inlineStr">
        <is>
          <t>LSE</t>
        </is>
      </c>
      <c r="H1053" s="4" t="inlineStr">
        <is>
          <t>GBP</t>
        </is>
      </c>
      <c r="I1053" s="5" t="n">
        <v>5153.120256</v>
      </c>
      <c r="J1053" s="6">
        <f>INDEX(FX!$B:$B,MATCH(H1053,FX!$A:$A,0))</f>
        <v/>
      </c>
      <c r="K1053" s="5">
        <f>I1053*J1053</f>
        <v/>
      </c>
      <c r="L1053" s="4">
        <f>IF(U1053&lt;&gt;"",U1053,IF(K1053&gt;=Umbrales!$B$2,"Legendaria",IF(K1053&gt;=Umbrales!$B$3,"Épica",IF(K1053&gt;=Umbrales!$B$4,"Rara",IF(K1053&gt;=Umbrales!$B$5,"Poco común","Común")))))</f>
        <v/>
      </c>
      <c r="M1053" s="5" t="n">
        <v>977.500032</v>
      </c>
      <c r="N1053" s="5" t="n">
        <v>478.4</v>
      </c>
      <c r="O1053" s="5">
        <f>IF(M1053="","",M1053*J1053)</f>
        <v/>
      </c>
      <c r="P1053" s="5">
        <f>IF(N1053="","",N1053*J1053)</f>
        <v/>
      </c>
      <c r="Q1053" s="7" t="n">
        <v>0.0486</v>
      </c>
      <c r="R1053" s="8" t="n">
        <v>11.012422</v>
      </c>
      <c r="S1053" s="4" t="inlineStr">
        <is>
          <t>FTSE100</t>
        </is>
      </c>
      <c r="T1053" s="9" t="inlineStr">
        <is>
          <t>SI</t>
        </is>
      </c>
      <c r="U1053" s="9" t="inlineStr"/>
      <c r="V1053" s="10">
        <f>Umbrales!$B$9*(K1053/1000)^Umbrales!$B$10</f>
        <v/>
      </c>
    </row>
    <row r="1054">
      <c r="A1054" s="4" t="inlineStr">
        <is>
          <t>RAND.AS</t>
        </is>
      </c>
      <c r="B1054" s="4" t="inlineStr">
        <is>
          <t>Randstad N.V.</t>
        </is>
      </c>
      <c r="C1054" s="4" t="inlineStr">
        <is>
          <t>Netherlands</t>
        </is>
      </c>
      <c r="D1054" s="4" t="inlineStr">
        <is>
          <t>NL</t>
        </is>
      </c>
      <c r="E1054" s="4" t="inlineStr">
        <is>
          <t>Industria</t>
        </is>
      </c>
      <c r="F1054" s="4" t="inlineStr">
        <is>
          <t>Staffing &amp; Employment Services</t>
        </is>
      </c>
      <c r="G1054" s="4" t="inlineStr">
        <is>
          <t>AMS</t>
        </is>
      </c>
      <c r="H1054" s="4" t="inlineStr">
        <is>
          <t>EUR</t>
        </is>
      </c>
      <c r="I1054" s="5" t="n">
        <v>6072.347136</v>
      </c>
      <c r="J1054" s="6">
        <f>INDEX(FX!$B:$B,MATCH(H1054,FX!$A:$A,0))</f>
        <v/>
      </c>
      <c r="K1054" s="5">
        <f>I1054*J1054</f>
        <v/>
      </c>
      <c r="L1054" s="4">
        <f>IF(U1054&lt;&gt;"",U1054,IF(K1054&gt;=Umbrales!$B$2,"Legendaria",IF(K1054&gt;=Umbrales!$B$3,"Épica",IF(K1054&gt;=Umbrales!$B$4,"Rara",IF(K1054&gt;=Umbrales!$B$5,"Poco común","Común")))))</f>
        <v/>
      </c>
      <c r="M1054" s="5" t="n">
        <v>23036.99968</v>
      </c>
      <c r="N1054" s="5" t="n">
        <v>313</v>
      </c>
      <c r="O1054" s="5">
        <f>IF(M1054="","",M1054*J1054)</f>
        <v/>
      </c>
      <c r="P1054" s="5">
        <f>IF(N1054="","",N1054*J1054)</f>
        <v/>
      </c>
      <c r="Q1054" s="7" t="n">
        <v>0.0459</v>
      </c>
      <c r="R1054" s="8" t="n">
        <v>19.22778</v>
      </c>
      <c r="S1054" s="4" t="inlineStr">
        <is>
          <t>AEX</t>
        </is>
      </c>
      <c r="T1054" s="9" t="inlineStr">
        <is>
          <t>SI</t>
        </is>
      </c>
      <c r="U1054" s="9" t="inlineStr"/>
      <c r="V1054" s="10">
        <f>Umbrales!$B$9*(K1054/1000)^Umbrales!$B$10</f>
        <v/>
      </c>
    </row>
    <row r="1055">
      <c r="A1055" s="4" t="inlineStr">
        <is>
          <t>EZJ.L</t>
        </is>
      </c>
      <c r="B1055" s="4" t="inlineStr">
        <is>
          <t>easyJet plc</t>
        </is>
      </c>
      <c r="C1055" s="4" t="inlineStr">
        <is>
          <t>United Kingdom</t>
        </is>
      </c>
      <c r="D1055" s="4" t="inlineStr">
        <is>
          <t>GB</t>
        </is>
      </c>
      <c r="E1055" s="4" t="inlineStr">
        <is>
          <t>Industria</t>
        </is>
      </c>
      <c r="F1055" s="4" t="inlineStr">
        <is>
          <t>Airlines</t>
        </is>
      </c>
      <c r="G1055" s="4" t="inlineStr">
        <is>
          <t>LSE</t>
        </is>
      </c>
      <c r="H1055" s="4" t="inlineStr">
        <is>
          <t>GBP</t>
        </is>
      </c>
      <c r="I1055" s="5" t="n">
        <v>5101.110272</v>
      </c>
      <c r="J1055" s="6">
        <f>INDEX(FX!$B:$B,MATCH(H1055,FX!$A:$A,0))</f>
        <v/>
      </c>
      <c r="K1055" s="5">
        <f>I1055*J1055</f>
        <v/>
      </c>
      <c r="L1055" s="4">
        <f>IF(U1055&lt;&gt;"",U1055,IF(K1055&gt;=Umbrales!$B$2,"Legendaria",IF(K1055&gt;=Umbrales!$B$3,"Épica",IF(K1055&gt;=Umbrales!$B$4,"Rara",IF(K1055&gt;=Umbrales!$B$5,"Poco común","Común")))))</f>
        <v/>
      </c>
      <c r="M1055" s="5" t="n">
        <v>10526.000128</v>
      </c>
      <c r="N1055" s="5" t="n">
        <v>414</v>
      </c>
      <c r="O1055" s="5">
        <f>IF(M1055="","",M1055*J1055)</f>
        <v/>
      </c>
      <c r="P1055" s="5">
        <f>IF(N1055="","",N1055*J1055)</f>
        <v/>
      </c>
      <c r="Q1055" s="7" t="n">
        <v>0.0196</v>
      </c>
      <c r="R1055" s="8" t="n">
        <v>12.637015</v>
      </c>
      <c r="S1055" s="4" t="inlineStr">
        <is>
          <t>FTSE100</t>
        </is>
      </c>
      <c r="T1055" s="9" t="inlineStr">
        <is>
          <t>SI</t>
        </is>
      </c>
      <c r="U1055" s="9" t="inlineStr"/>
      <c r="V1055" s="10">
        <f>Umbrales!$B$9*(K1055/1000)^Umbrales!$B$10</f>
        <v/>
      </c>
    </row>
    <row r="1056">
      <c r="A1056" s="4" t="inlineStr">
        <is>
          <t>ALW.L</t>
        </is>
      </c>
      <c r="B1056" s="4" t="inlineStr">
        <is>
          <t>Alliance Witan Ord</t>
        </is>
      </c>
      <c r="C1056" s="4" t="inlineStr"/>
      <c r="D1056" s="4" t="inlineStr">
        <is>
          <t>UN</t>
        </is>
      </c>
      <c r="E1056" s="4" t="inlineStr">
        <is>
          <t>Otros</t>
        </is>
      </c>
      <c r="F1056" s="4" t="inlineStr"/>
      <c r="G1056" s="4" t="inlineStr">
        <is>
          <t>LSE</t>
        </is>
      </c>
      <c r="H1056" s="4" t="inlineStr">
        <is>
          <t>GBP</t>
        </is>
      </c>
      <c r="I1056" s="5" t="n">
        <v>5054.156288</v>
      </c>
      <c r="J1056" s="6">
        <f>INDEX(FX!$B:$B,MATCH(H1056,FX!$A:$A,0))</f>
        <v/>
      </c>
      <c r="K1056" s="5">
        <f>I1056*J1056</f>
        <v/>
      </c>
      <c r="L1056" s="4">
        <f>IF(U1056&lt;&gt;"",U1056,IF(K1056&gt;=Umbrales!$B$2,"Legendaria",IF(K1056&gt;=Umbrales!$B$3,"Épica",IF(K1056&gt;=Umbrales!$B$4,"Rara",IF(K1056&gt;=Umbrales!$B$5,"Poco común","Común")))))</f>
        <v/>
      </c>
      <c r="M1056" s="5" t="n"/>
      <c r="N1056" s="5" t="n"/>
      <c r="O1056" s="5">
        <f>IF(M1056="","",M1056*J1056)</f>
        <v/>
      </c>
      <c r="P1056" s="5">
        <f>IF(N1056="","",N1056*J1056)</f>
        <v/>
      </c>
      <c r="Q1056" s="7" t="n"/>
      <c r="R1056" s="8" t="n">
        <v>8.761006</v>
      </c>
      <c r="S1056" s="4" t="inlineStr">
        <is>
          <t>FTSE100</t>
        </is>
      </c>
      <c r="T1056" s="9" t="inlineStr">
        <is>
          <t>SI</t>
        </is>
      </c>
      <c r="U1056" s="9" t="inlineStr"/>
      <c r="V1056" s="10">
        <f>Umbrales!$B$9*(K1056/1000)^Umbrales!$B$10</f>
        <v/>
      </c>
    </row>
    <row r="1057">
      <c r="A1057" s="4" t="inlineStr">
        <is>
          <t>ZAL.DE</t>
        </is>
      </c>
      <c r="B1057" s="4" t="inlineStr">
        <is>
          <t>Zalando SE</t>
        </is>
      </c>
      <c r="C1057" s="4" t="inlineStr">
        <is>
          <t>Germany</t>
        </is>
      </c>
      <c r="D1057" s="4" t="inlineStr">
        <is>
          <t>DE</t>
        </is>
      </c>
      <c r="E1057" s="4" t="inlineStr">
        <is>
          <t>Consumo cíclico</t>
        </is>
      </c>
      <c r="F1057" s="4" t="inlineStr">
        <is>
          <t>Internet Retail</t>
        </is>
      </c>
      <c r="G1057" s="4" t="inlineStr">
        <is>
          <t>GER</t>
        </is>
      </c>
      <c r="H1057" s="4" t="inlineStr">
        <is>
          <t>EUR</t>
        </is>
      </c>
      <c r="I1057" s="5" t="n">
        <v>5910.188032</v>
      </c>
      <c r="J1057" s="6">
        <f>INDEX(FX!$B:$B,MATCH(H1057,FX!$A:$A,0))</f>
        <v/>
      </c>
      <c r="K1057" s="5">
        <f>I1057*J1057</f>
        <v/>
      </c>
      <c r="L1057" s="4">
        <f>IF(U1057&lt;&gt;"",U1057,IF(K1057&gt;=Umbrales!$B$2,"Legendaria",IF(K1057&gt;=Umbrales!$B$3,"Épica",IF(K1057&gt;=Umbrales!$B$4,"Rara",IF(K1057&gt;=Umbrales!$B$5,"Poco común","Común")))))</f>
        <v/>
      </c>
      <c r="M1057" s="5" t="n">
        <v>13512.09984</v>
      </c>
      <c r="N1057" s="5" t="n">
        <v>94.8</v>
      </c>
      <c r="O1057" s="5">
        <f>IF(M1057="","",M1057*J1057)</f>
        <v/>
      </c>
      <c r="P1057" s="5">
        <f>IF(N1057="","",N1057*J1057)</f>
        <v/>
      </c>
      <c r="Q1057" s="7" t="n">
        <v>0</v>
      </c>
      <c r="R1057" s="8" t="n">
        <v>60.5</v>
      </c>
      <c r="S1057" s="4" t="inlineStr">
        <is>
          <t>DAX40</t>
        </is>
      </c>
      <c r="T1057" s="9" t="inlineStr">
        <is>
          <t>SI</t>
        </is>
      </c>
      <c r="U1057" s="9" t="inlineStr"/>
      <c r="V1057" s="10">
        <f>Umbrales!$B$9*(K1057/1000)^Umbrales!$B$10</f>
        <v/>
      </c>
    </row>
    <row r="1058">
      <c r="A1058" s="4" t="inlineStr">
        <is>
          <t>CRDA.L</t>
        </is>
      </c>
      <c r="B1058" s="4" t="inlineStr">
        <is>
          <t>Croda International Plc</t>
        </is>
      </c>
      <c r="C1058" s="4" t="inlineStr">
        <is>
          <t>United Kingdom</t>
        </is>
      </c>
      <c r="D1058" s="4" t="inlineStr">
        <is>
          <t>GB</t>
        </is>
      </c>
      <c r="E1058" s="4" t="inlineStr">
        <is>
          <t>Materiales</t>
        </is>
      </c>
      <c r="F1058" s="4" t="inlineStr">
        <is>
          <t>Specialty Chemicals</t>
        </is>
      </c>
      <c r="G1058" s="4" t="inlineStr">
        <is>
          <t>LSE</t>
        </is>
      </c>
      <c r="H1058" s="4" t="inlineStr">
        <is>
          <t>GBP</t>
        </is>
      </c>
      <c r="I1058" s="5" t="n">
        <v>4963.098112</v>
      </c>
      <c r="J1058" s="6">
        <f>INDEX(FX!$B:$B,MATCH(H1058,FX!$A:$A,0))</f>
        <v/>
      </c>
      <c r="K1058" s="5">
        <f>I1058*J1058</f>
        <v/>
      </c>
      <c r="L1058" s="4">
        <f>IF(U1058&lt;&gt;"",U1058,IF(K1058&gt;=Umbrales!$B$2,"Legendaria",IF(K1058&gt;=Umbrales!$B$3,"Épica",IF(K1058&gt;=Umbrales!$B$4,"Rara",IF(K1058&gt;=Umbrales!$B$5,"Poco común","Común")))))</f>
        <v/>
      </c>
      <c r="M1058" s="5" t="n">
        <v>1724.099968</v>
      </c>
      <c r="N1058" s="5" t="n">
        <v>79.5</v>
      </c>
      <c r="O1058" s="5">
        <f>IF(M1058="","",M1058*J1058)</f>
        <v/>
      </c>
      <c r="P1058" s="5">
        <f>IF(N1058="","",N1058*J1058)</f>
        <v/>
      </c>
      <c r="Q1058" s="7" t="n">
        <v>0.0316</v>
      </c>
      <c r="R1058" s="8" t="n">
        <v>62.48246</v>
      </c>
      <c r="S1058" s="4" t="inlineStr">
        <is>
          <t>FTSE100</t>
        </is>
      </c>
      <c r="T1058" s="9" t="inlineStr">
        <is>
          <t>SI</t>
        </is>
      </c>
      <c r="U1058" s="9" t="inlineStr"/>
      <c r="V1058" s="10">
        <f>Umbrales!$B$9*(K1058/1000)^Umbrales!$B$10</f>
        <v/>
      </c>
    </row>
    <row r="1059">
      <c r="A1059" s="4" t="inlineStr">
        <is>
          <t>6862.HK</t>
        </is>
      </c>
      <c r="B1059" s="4" t="inlineStr">
        <is>
          <t>Haidilao International Holding Ltd.</t>
        </is>
      </c>
      <c r="C1059" s="4" t="inlineStr">
        <is>
          <t>China</t>
        </is>
      </c>
      <c r="D1059" s="4" t="inlineStr">
        <is>
          <t>CN</t>
        </is>
      </c>
      <c r="E1059" s="4" t="inlineStr">
        <is>
          <t>Consumo cíclico</t>
        </is>
      </c>
      <c r="F1059" s="4" t="inlineStr">
        <is>
          <t>Restaurants</t>
        </is>
      </c>
      <c r="G1059" s="4" t="inlineStr">
        <is>
          <t>HKG</t>
        </is>
      </c>
      <c r="H1059" s="4" t="inlineStr">
        <is>
          <t>HKD</t>
        </is>
      </c>
      <c r="I1059" s="5" t="n">
        <v>50607.644672</v>
      </c>
      <c r="J1059" s="6">
        <f>INDEX(FX!$B:$B,MATCH(H1059,FX!$A:$A,0))</f>
        <v/>
      </c>
      <c r="K1059" s="5">
        <f>I1059*J1059</f>
        <v/>
      </c>
      <c r="L1059" s="4">
        <f>IF(U1059&lt;&gt;"",U1059,IF(K1059&gt;=Umbrales!$B$2,"Legendaria",IF(K1059&gt;=Umbrales!$B$3,"Épica",IF(K1059&gt;=Umbrales!$B$4,"Rara",IF(K1059&gt;=Umbrales!$B$5,"Poco común","Común")))))</f>
        <v/>
      </c>
      <c r="M1059" s="5" t="n">
        <v>44858.966016</v>
      </c>
      <c r="N1059" s="5" t="n">
        <v>4058.170112</v>
      </c>
      <c r="O1059" s="5">
        <f>IF(M1059="","",M1059*J1059)</f>
        <v/>
      </c>
      <c r="P1059" s="5">
        <f>IF(N1059="","",N1059*J1059)</f>
        <v/>
      </c>
      <c r="Q1059" s="7" t="n">
        <v>0.0796</v>
      </c>
      <c r="R1059" s="8" t="n">
        <v>10.994118</v>
      </c>
      <c r="S1059" s="4" t="inlineStr">
        <is>
          <t>HANGSENG</t>
        </is>
      </c>
      <c r="T1059" s="9" t="inlineStr">
        <is>
          <t>SI</t>
        </is>
      </c>
      <c r="U1059" s="9" t="inlineStr"/>
      <c r="V1059" s="10">
        <f>Umbrales!$B$9*(K1059/1000)^Umbrales!$B$10</f>
        <v/>
      </c>
    </row>
    <row r="1060">
      <c r="A1060" s="4" t="inlineStr">
        <is>
          <t>BC.MI</t>
        </is>
      </c>
      <c r="B1060" s="4" t="inlineStr">
        <is>
          <t>Brunello Cucinelli S.p.A.</t>
        </is>
      </c>
      <c r="C1060" s="4" t="inlineStr">
        <is>
          <t>Italy</t>
        </is>
      </c>
      <c r="D1060" s="4" t="inlineStr">
        <is>
          <t>IT</t>
        </is>
      </c>
      <c r="E1060" s="4" t="inlineStr">
        <is>
          <t>Consumo cíclico</t>
        </is>
      </c>
      <c r="F1060" s="4" t="inlineStr">
        <is>
          <t>Luxury Goods</t>
        </is>
      </c>
      <c r="G1060" s="4" t="inlineStr">
        <is>
          <t>MIL</t>
        </is>
      </c>
      <c r="H1060" s="4" t="inlineStr">
        <is>
          <t>EUR</t>
        </is>
      </c>
      <c r="I1060" s="5" t="n">
        <v>5724.239872</v>
      </c>
      <c r="J1060" s="6">
        <f>INDEX(FX!$B:$B,MATCH(H1060,FX!$A:$A,0))</f>
        <v/>
      </c>
      <c r="K1060" s="5">
        <f>I1060*J1060</f>
        <v/>
      </c>
      <c r="L1060" s="4">
        <f>IF(U1060&lt;&gt;"",U1060,IF(K1060&gt;=Umbrales!$B$2,"Legendaria",IF(K1060&gt;=Umbrales!$B$3,"Épica",IF(K1060&gt;=Umbrales!$B$4,"Rara",IF(K1060&gt;=Umbrales!$B$5,"Poco común","Común")))))</f>
        <v/>
      </c>
      <c r="M1060" s="5" t="n">
        <v>1473.227008</v>
      </c>
      <c r="N1060" s="5" t="n">
        <v>137.892992</v>
      </c>
      <c r="O1060" s="5">
        <f>IF(M1060="","",M1060*J1060)</f>
        <v/>
      </c>
      <c r="P1060" s="5">
        <f>IF(N1060="","",N1060*J1060)</f>
        <v/>
      </c>
      <c r="Q1060" s="7" t="n">
        <v>0.0127</v>
      </c>
      <c r="R1060" s="8" t="n">
        <v>41.46798</v>
      </c>
      <c r="S1060" s="4" t="inlineStr">
        <is>
          <t>FTSEMIB</t>
        </is>
      </c>
      <c r="T1060" s="9" t="inlineStr">
        <is>
          <t>SI</t>
        </is>
      </c>
      <c r="U1060" s="9" t="inlineStr"/>
      <c r="V1060" s="10">
        <f>Umbrales!$B$9*(K1060/1000)^Umbrales!$B$10</f>
        <v/>
      </c>
    </row>
    <row r="1061">
      <c r="A1061" s="4" t="inlineStr">
        <is>
          <t>ITH.L</t>
        </is>
      </c>
      <c r="B1061" s="4" t="inlineStr">
        <is>
          <t>Ithaca Energy plc</t>
        </is>
      </c>
      <c r="C1061" s="4" t="inlineStr">
        <is>
          <t>United Kingdom</t>
        </is>
      </c>
      <c r="D1061" s="4" t="inlineStr">
        <is>
          <t>GB</t>
        </is>
      </c>
      <c r="E1061" s="4" t="inlineStr">
        <is>
          <t>Energía</t>
        </is>
      </c>
      <c r="F1061" s="4" t="inlineStr">
        <is>
          <t>Oil &amp; Gas E&amp;P</t>
        </is>
      </c>
      <c r="G1061" s="4" t="inlineStr">
        <is>
          <t>LSE</t>
        </is>
      </c>
      <c r="H1061" s="4" t="inlineStr">
        <is>
          <t>GBP</t>
        </is>
      </c>
      <c r="I1061" s="5" t="n">
        <v>4836.257792</v>
      </c>
      <c r="J1061" s="6">
        <f>INDEX(FX!$B:$B,MATCH(H1061,FX!$A:$A,0))</f>
        <v/>
      </c>
      <c r="K1061" s="5">
        <f>I1061*J1061</f>
        <v/>
      </c>
      <c r="L1061" s="4">
        <f>IF(U1061&lt;&gt;"",U1061,IF(K1061&gt;=Umbrales!$B$2,"Legendaria",IF(K1061&gt;=Umbrales!$B$3,"Épica",IF(K1061&gt;=Umbrales!$B$4,"Rara",IF(K1061&gt;=Umbrales!$B$5,"Poco común","Común")))))</f>
        <v/>
      </c>
      <c r="M1061" s="5" t="n">
        <v>3185.499904</v>
      </c>
      <c r="N1061" s="5" t="n">
        <v>260.4</v>
      </c>
      <c r="O1061" s="5">
        <f>IF(M1061="","",M1061*J1061)</f>
        <v/>
      </c>
      <c r="P1061" s="5">
        <f>IF(N1061="","",N1061*J1061)</f>
        <v/>
      </c>
      <c r="Q1061" s="7" t="n">
        <v>0.0902</v>
      </c>
      <c r="R1061" s="8" t="n">
        <v>24.416668</v>
      </c>
      <c r="S1061" s="4" t="inlineStr">
        <is>
          <t>FTSE100</t>
        </is>
      </c>
      <c r="T1061" s="9" t="inlineStr">
        <is>
          <t>SI</t>
        </is>
      </c>
      <c r="U1061" s="9" t="inlineStr"/>
      <c r="V1061" s="10">
        <f>Umbrales!$B$9*(K1061/1000)^Umbrales!$B$10</f>
        <v/>
      </c>
    </row>
    <row r="1062">
      <c r="A1062" s="4" t="inlineStr">
        <is>
          <t>0285.HK</t>
        </is>
      </c>
      <c r="B1062" s="4" t="inlineStr">
        <is>
          <t>BYD Electronic (International) Company Limited</t>
        </is>
      </c>
      <c r="C1062" s="4" t="inlineStr">
        <is>
          <t>China</t>
        </is>
      </c>
      <c r="D1062" s="4" t="inlineStr">
        <is>
          <t>CN</t>
        </is>
      </c>
      <c r="E1062" s="4" t="inlineStr">
        <is>
          <t>Tecnología</t>
        </is>
      </c>
      <c r="F1062" s="4" t="inlineStr">
        <is>
          <t>Electronic Components</t>
        </is>
      </c>
      <c r="G1062" s="4" t="inlineStr">
        <is>
          <t>HKG</t>
        </is>
      </c>
      <c r="H1062" s="4" t="inlineStr">
        <is>
          <t>HKD</t>
        </is>
      </c>
      <c r="I1062" s="5" t="n">
        <v>50267.906048</v>
      </c>
      <c r="J1062" s="6">
        <f>INDEX(FX!$B:$B,MATCH(H1062,FX!$A:$A,0))</f>
        <v/>
      </c>
      <c r="K1062" s="5">
        <f>I1062*J1062</f>
        <v/>
      </c>
      <c r="L1062" s="4">
        <f>IF(U1062&lt;&gt;"",U1062,IF(K1062&gt;=Umbrales!$B$2,"Legendaria",IF(K1062&gt;=Umbrales!$B$3,"Épica",IF(K1062&gt;=Umbrales!$B$4,"Rara",IF(K1062&gt;=Umbrales!$B$5,"Poco común","Común")))))</f>
        <v/>
      </c>
      <c r="M1062" s="5" t="n">
        <v>181105.917952</v>
      </c>
      <c r="N1062" s="5" t="n">
        <v>2200.05888</v>
      </c>
      <c r="O1062" s="5">
        <f>IF(M1062="","",M1062*J1062)</f>
        <v/>
      </c>
      <c r="P1062" s="5">
        <f>IF(N1062="","",N1062*J1062)</f>
        <v/>
      </c>
      <c r="Q1062" s="7" t="n">
        <v>0.007800000000000001</v>
      </c>
      <c r="R1062" s="8" t="n">
        <v>20.532108</v>
      </c>
      <c r="S1062" s="4" t="inlineStr">
        <is>
          <t>HANGSENG</t>
        </is>
      </c>
      <c r="T1062" s="9" t="inlineStr">
        <is>
          <t>SI</t>
        </is>
      </c>
      <c r="U1062" s="9" t="inlineStr"/>
      <c r="V1062" s="10">
        <f>Umbrales!$B$9*(K1062/1000)^Umbrales!$B$10</f>
        <v/>
      </c>
    </row>
    <row r="1063">
      <c r="A1063" s="4" t="inlineStr">
        <is>
          <t>1099.HK</t>
        </is>
      </c>
      <c r="B1063" s="4" t="inlineStr">
        <is>
          <t>Sinopharm Group Co. Ltd.</t>
        </is>
      </c>
      <c r="C1063" s="4" t="inlineStr">
        <is>
          <t>China</t>
        </is>
      </c>
      <c r="D1063" s="4" t="inlineStr">
        <is>
          <t>CN</t>
        </is>
      </c>
      <c r="E1063" s="4" t="inlineStr">
        <is>
          <t>Salud</t>
        </is>
      </c>
      <c r="F1063" s="4" t="inlineStr">
        <is>
          <t>Medical Distribution</t>
        </is>
      </c>
      <c r="G1063" s="4" t="inlineStr">
        <is>
          <t>HKG</t>
        </is>
      </c>
      <c r="H1063" s="4" t="inlineStr">
        <is>
          <t>HKD</t>
        </is>
      </c>
      <c r="I1063" s="5" t="n">
        <v>48838.26688</v>
      </c>
      <c r="J1063" s="6">
        <f>INDEX(FX!$B:$B,MATCH(H1063,FX!$A:$A,0))</f>
        <v/>
      </c>
      <c r="K1063" s="5">
        <f>I1063*J1063</f>
        <v/>
      </c>
      <c r="L1063" s="4">
        <f>IF(U1063&lt;&gt;"",U1063,IF(K1063&gt;=Umbrales!$B$2,"Legendaria",IF(K1063&gt;=Umbrales!$B$3,"Épica",IF(K1063&gt;=Umbrales!$B$4,"Rara",IF(K1063&gt;=Umbrales!$B$5,"Poco común","Común")))))</f>
        <v/>
      </c>
      <c r="M1063" s="5" t="n">
        <v>571924.48</v>
      </c>
      <c r="N1063" s="5" t="n">
        <v>7093.180928</v>
      </c>
      <c r="O1063" s="5">
        <f>IF(M1063="","",M1063*J1063)</f>
        <v/>
      </c>
      <c r="P1063" s="5">
        <f>IF(N1063="","",N1063*J1063)</f>
        <v/>
      </c>
      <c r="Q1063" s="7" t="n">
        <v>0.0506</v>
      </c>
      <c r="R1063" s="8" t="n">
        <v>6.1857705</v>
      </c>
      <c r="S1063" s="4" t="inlineStr">
        <is>
          <t>HANGSENG</t>
        </is>
      </c>
      <c r="T1063" s="9" t="inlineStr">
        <is>
          <t>SI</t>
        </is>
      </c>
      <c r="U1063" s="9" t="inlineStr"/>
      <c r="V1063" s="10">
        <f>Umbrales!$B$9*(K1063/1000)^Umbrales!$B$10</f>
        <v/>
      </c>
    </row>
    <row r="1064">
      <c r="A1064" s="4" t="inlineStr">
        <is>
          <t>LTMC.MI</t>
        </is>
      </c>
      <c r="B1064" s="4" t="inlineStr">
        <is>
          <t>Lottomatica Group S.p.A.</t>
        </is>
      </c>
      <c r="C1064" s="4" t="inlineStr">
        <is>
          <t>Italy</t>
        </is>
      </c>
      <c r="D1064" s="4" t="inlineStr">
        <is>
          <t>IT</t>
        </is>
      </c>
      <c r="E1064" s="4" t="inlineStr">
        <is>
          <t>Consumo cíclico</t>
        </is>
      </c>
      <c r="F1064" s="4" t="inlineStr">
        <is>
          <t>Gambling</t>
        </is>
      </c>
      <c r="G1064" s="4" t="inlineStr">
        <is>
          <t>MIL</t>
        </is>
      </c>
      <c r="H1064" s="4" t="inlineStr">
        <is>
          <t>EUR</t>
        </is>
      </c>
      <c r="I1064" s="5" t="n">
        <v>5514.610176</v>
      </c>
      <c r="J1064" s="6">
        <f>INDEX(FX!$B:$B,MATCH(H1064,FX!$A:$A,0))</f>
        <v/>
      </c>
      <c r="K1064" s="5">
        <f>I1064*J1064</f>
        <v/>
      </c>
      <c r="L1064" s="4">
        <f>IF(U1064&lt;&gt;"",U1064,IF(K1064&gt;=Umbrales!$B$2,"Legendaria",IF(K1064&gt;=Umbrales!$B$3,"Épica",IF(K1064&gt;=Umbrales!$B$4,"Rara",IF(K1064&gt;=Umbrales!$B$5,"Poco común","Común")))))</f>
        <v/>
      </c>
      <c r="M1064" s="5" t="n">
        <v>2285.90208</v>
      </c>
      <c r="N1064" s="5" t="n">
        <v>220.294</v>
      </c>
      <c r="O1064" s="5">
        <f>IF(M1064="","",M1064*J1064)</f>
        <v/>
      </c>
      <c r="P1064" s="5">
        <f>IF(N1064="","",N1064*J1064)</f>
        <v/>
      </c>
      <c r="Q1064" s="7" t="n">
        <v>0.0183</v>
      </c>
      <c r="R1064" s="8" t="n">
        <v>26.820227</v>
      </c>
      <c r="S1064" s="4" t="inlineStr">
        <is>
          <t>FTSEMIB</t>
        </is>
      </c>
      <c r="T1064" s="9" t="inlineStr">
        <is>
          <t>SI</t>
        </is>
      </c>
      <c r="U1064" s="9" t="inlineStr"/>
      <c r="V1064" s="10">
        <f>Umbrales!$B$9*(K1064/1000)^Umbrales!$B$10</f>
        <v/>
      </c>
    </row>
    <row r="1065">
      <c r="A1065" s="4" t="inlineStr">
        <is>
          <t>OTEX.TO</t>
        </is>
      </c>
      <c r="B1065" s="4" t="inlineStr">
        <is>
          <t>Open Text Corporation</t>
        </is>
      </c>
      <c r="C1065" s="4" t="inlineStr">
        <is>
          <t>Canada</t>
        </is>
      </c>
      <c r="D1065" s="4" t="inlineStr">
        <is>
          <t>CA</t>
        </is>
      </c>
      <c r="E1065" s="4" t="inlineStr">
        <is>
          <t>Tecnología</t>
        </is>
      </c>
      <c r="F1065" s="4" t="inlineStr">
        <is>
          <t>Software - Application</t>
        </is>
      </c>
      <c r="G1065" s="4" t="inlineStr">
        <is>
          <t>TOR</t>
        </is>
      </c>
      <c r="H1065" s="4" t="inlineStr">
        <is>
          <t>CAD</t>
        </is>
      </c>
      <c r="I1065" s="5" t="n">
        <v>8697.191424000001</v>
      </c>
      <c r="J1065" s="6">
        <f>INDEX(FX!$B:$B,MATCH(H1065,FX!$A:$A,0))</f>
        <v/>
      </c>
      <c r="K1065" s="5">
        <f>I1065*J1065</f>
        <v/>
      </c>
      <c r="L1065" s="4">
        <f>IF(U1065&lt;&gt;"",U1065,IF(K1065&gt;=Umbrales!$B$2,"Legendaria",IF(K1065&gt;=Umbrales!$B$3,"Épica",IF(K1065&gt;=Umbrales!$B$4,"Rara",IF(K1065&gt;=Umbrales!$B$5,"Poco común","Común")))))</f>
        <v/>
      </c>
      <c r="M1065" s="5" t="n">
        <v>5246.401024</v>
      </c>
      <c r="N1065" s="5" t="n">
        <v>643.022016</v>
      </c>
      <c r="O1065" s="5">
        <f>IF(M1065="","",M1065*J1065)</f>
        <v/>
      </c>
      <c r="P1065" s="5">
        <f>IF(N1065="","",N1065*J1065)</f>
        <v/>
      </c>
      <c r="Q1065" s="7" t="n">
        <v>0.0442</v>
      </c>
      <c r="R1065" s="8" t="n">
        <v>10.061625</v>
      </c>
      <c r="S1065" s="4" t="inlineStr">
        <is>
          <t>TSX60</t>
        </is>
      </c>
      <c r="T1065" s="9" t="inlineStr">
        <is>
          <t>SI</t>
        </is>
      </c>
      <c r="U1065" s="9" t="inlineStr"/>
      <c r="V1065" s="10">
        <f>Umbrales!$B$9*(K1065/1000)^Umbrales!$B$10</f>
        <v/>
      </c>
    </row>
    <row r="1066">
      <c r="A1066" s="4" t="inlineStr">
        <is>
          <t>0241.HK</t>
        </is>
      </c>
      <c r="B1066" s="4" t="inlineStr">
        <is>
          <t>Alibaba Health Information Technology Limited</t>
        </is>
      </c>
      <c r="C1066" s="4" t="inlineStr">
        <is>
          <t>Hong Kong</t>
        </is>
      </c>
      <c r="D1066" s="4" t="inlineStr">
        <is>
          <t>HK</t>
        </is>
      </c>
      <c r="E1066" s="4" t="inlineStr">
        <is>
          <t>Salud</t>
        </is>
      </c>
      <c r="F1066" s="4" t="inlineStr">
        <is>
          <t>Pharmaceutical Retailers</t>
        </is>
      </c>
      <c r="G1066" s="4" t="inlineStr">
        <is>
          <t>HKG</t>
        </is>
      </c>
      <c r="H1066" s="4" t="inlineStr">
        <is>
          <t>HKD</t>
        </is>
      </c>
      <c r="I1066" s="5" t="n">
        <v>47878.889472</v>
      </c>
      <c r="J1066" s="6">
        <f>INDEX(FX!$B:$B,MATCH(H1066,FX!$A:$A,0))</f>
        <v/>
      </c>
      <c r="K1066" s="5">
        <f>I1066*J1066</f>
        <v/>
      </c>
      <c r="L1066" s="4">
        <f>IF(U1066&lt;&gt;"",U1066,IF(K1066&gt;=Umbrales!$B$2,"Legendaria",IF(K1066&gt;=Umbrales!$B$3,"Épica",IF(K1066&gt;=Umbrales!$B$4,"Rara",IF(K1066&gt;=Umbrales!$B$5,"Poco común","Común")))))</f>
        <v/>
      </c>
      <c r="M1066" s="5" t="n">
        <v>34255.122432</v>
      </c>
      <c r="N1066" s="5" t="n">
        <v>1936.162048</v>
      </c>
      <c r="O1066" s="5">
        <f>IF(M1066="","",M1066*J1066)</f>
        <v/>
      </c>
      <c r="P1066" s="5">
        <f>IF(N1066="","",N1066*J1066)</f>
        <v/>
      </c>
      <c r="Q1066" s="7" t="n">
        <v>0.0239</v>
      </c>
      <c r="R1066" s="8" t="n">
        <v>22.769232</v>
      </c>
      <c r="S1066" s="4" t="inlineStr">
        <is>
          <t>HANGSENG</t>
        </is>
      </c>
      <c r="T1066" s="9" t="inlineStr">
        <is>
          <t>SI</t>
        </is>
      </c>
      <c r="U1066" s="9" t="inlineStr"/>
      <c r="V1066" s="10">
        <f>Umbrales!$B$9*(K1066/1000)^Umbrales!$B$10</f>
        <v/>
      </c>
    </row>
    <row r="1067">
      <c r="A1067" s="4" t="inlineStr">
        <is>
          <t>MOS</t>
        </is>
      </c>
      <c r="B1067" s="4" t="inlineStr">
        <is>
          <t>The Mosaic Company</t>
        </is>
      </c>
      <c r="C1067" s="4" t="inlineStr">
        <is>
          <t>United States</t>
        </is>
      </c>
      <c r="D1067" s="4" t="inlineStr">
        <is>
          <t>US</t>
        </is>
      </c>
      <c r="E1067" s="4" t="inlineStr">
        <is>
          <t>Materiales</t>
        </is>
      </c>
      <c r="F1067" s="4" t="inlineStr">
        <is>
          <t>Agricultural Inputs</t>
        </is>
      </c>
      <c r="G1067" s="4" t="inlineStr">
        <is>
          <t>NYQ</t>
        </is>
      </c>
      <c r="H1067" s="4" t="inlineStr">
        <is>
          <t>USD</t>
        </is>
      </c>
      <c r="I1067" s="5" t="n">
        <v>6051.14368</v>
      </c>
      <c r="J1067" s="6">
        <f>INDEX(FX!$B:$B,MATCH(H1067,FX!$A:$A,0))</f>
        <v/>
      </c>
      <c r="K1067" s="5">
        <f>I1067*J1067</f>
        <v/>
      </c>
      <c r="L1067" s="4">
        <f>IF(U1067&lt;&gt;"",U1067,IF(K1067&gt;=Umbrales!$B$2,"Legendaria",IF(K1067&gt;=Umbrales!$B$3,"Épica",IF(K1067&gt;=Umbrales!$B$4,"Rara",IF(K1067&gt;=Umbrales!$B$5,"Poco común","Común")))))</f>
        <v/>
      </c>
      <c r="M1067" s="5" t="n">
        <v>12247.90016</v>
      </c>
      <c r="N1067" s="5" t="n">
        <v>-638.499968</v>
      </c>
      <c r="O1067" s="5">
        <f>IF(M1067="","",M1067*J1067)</f>
        <v/>
      </c>
      <c r="P1067" s="5">
        <f>IF(N1067="","",N1067*J1067)</f>
        <v/>
      </c>
      <c r="Q1067" s="7" t="n">
        <v>0.0459</v>
      </c>
      <c r="R1067" s="8" t="n"/>
      <c r="S1067" s="4" t="inlineStr">
        <is>
          <t>SP500</t>
        </is>
      </c>
      <c r="T1067" s="9" t="inlineStr">
        <is>
          <t>SI</t>
        </is>
      </c>
      <c r="U1067" s="9" t="inlineStr"/>
      <c r="V1067" s="10">
        <f>Umbrales!$B$9*(K1067/1000)^Umbrales!$B$10</f>
        <v/>
      </c>
    </row>
    <row r="1068">
      <c r="A1068" s="4" t="inlineStr">
        <is>
          <t>CAR.AX</t>
        </is>
      </c>
      <c r="B1068" s="4" t="inlineStr">
        <is>
          <t>CAR Group Limited</t>
        </is>
      </c>
      <c r="C1068" s="4" t="inlineStr">
        <is>
          <t>Australia</t>
        </is>
      </c>
      <c r="D1068" s="4" t="inlineStr">
        <is>
          <t>AU</t>
        </is>
      </c>
      <c r="E1068" s="4" t="inlineStr">
        <is>
          <t>Comunicación</t>
        </is>
      </c>
      <c r="F1068" s="4" t="inlineStr">
        <is>
          <t>Internet Content &amp; Information</t>
        </is>
      </c>
      <c r="G1068" s="4" t="inlineStr">
        <is>
          <t>ASX</t>
        </is>
      </c>
      <c r="H1068" s="4" t="inlineStr">
        <is>
          <t>AUD</t>
        </is>
      </c>
      <c r="I1068" s="5" t="n">
        <v>8718.212095999999</v>
      </c>
      <c r="J1068" s="6">
        <f>INDEX(FX!$B:$B,MATCH(H1068,FX!$A:$A,0))</f>
        <v/>
      </c>
      <c r="K1068" s="5">
        <f>I1068*J1068</f>
        <v/>
      </c>
      <c r="L1068" s="4">
        <f>IF(U1068&lt;&gt;"",U1068,IF(K1068&gt;=Umbrales!$B$2,"Legendaria",IF(K1068&gt;=Umbrales!$B$3,"Épica",IF(K1068&gt;=Umbrales!$B$4,"Rara",IF(K1068&gt;=Umbrales!$B$5,"Poco común","Común")))))</f>
        <v/>
      </c>
      <c r="M1068" s="5" t="n">
        <v>1253.426944</v>
      </c>
      <c r="N1068" s="5" t="n">
        <v>313.692</v>
      </c>
      <c r="O1068" s="5">
        <f>IF(M1068="","",M1068*J1068)</f>
        <v/>
      </c>
      <c r="P1068" s="5">
        <f>IF(N1068="","",N1068*J1068)</f>
        <v/>
      </c>
      <c r="Q1068" s="7" t="n">
        <v>0.0381</v>
      </c>
      <c r="R1068" s="8" t="n">
        <v>27.686747</v>
      </c>
      <c r="S1068" s="4" t="inlineStr">
        <is>
          <t>ASX50</t>
        </is>
      </c>
      <c r="T1068" s="9" t="inlineStr">
        <is>
          <t>SI</t>
        </is>
      </c>
      <c r="U1068" s="9" t="inlineStr"/>
      <c r="V1068" s="10">
        <f>Umbrales!$B$9*(K1068/1000)^Umbrales!$B$10</f>
        <v/>
      </c>
    </row>
    <row r="1069">
      <c r="A1069" s="4" t="inlineStr">
        <is>
          <t>CTEC.L</t>
        </is>
      </c>
      <c r="B1069" s="4" t="inlineStr">
        <is>
          <t>Convatec Group PLC</t>
        </is>
      </c>
      <c r="C1069" s="4" t="inlineStr">
        <is>
          <t>United Kingdom</t>
        </is>
      </c>
      <c r="D1069" s="4" t="inlineStr">
        <is>
          <t>GB</t>
        </is>
      </c>
      <c r="E1069" s="4" t="inlineStr">
        <is>
          <t>Salud</t>
        </is>
      </c>
      <c r="F1069" s="4" t="inlineStr">
        <is>
          <t>Medical Instruments &amp; Supplies</t>
        </is>
      </c>
      <c r="G1069" s="4" t="inlineStr">
        <is>
          <t>LSE</t>
        </is>
      </c>
      <c r="H1069" s="4" t="inlineStr">
        <is>
          <t>GBP</t>
        </is>
      </c>
      <c r="I1069" s="5" t="n">
        <v>4508.10368</v>
      </c>
      <c r="J1069" s="6">
        <f>INDEX(FX!$B:$B,MATCH(H1069,FX!$A:$A,0))</f>
        <v/>
      </c>
      <c r="K1069" s="5">
        <f>I1069*J1069</f>
        <v/>
      </c>
      <c r="L1069" s="4">
        <f>IF(U1069&lt;&gt;"",U1069,IF(K1069&gt;=Umbrales!$B$2,"Legendaria",IF(K1069&gt;=Umbrales!$B$3,"Épica",IF(K1069&gt;=Umbrales!$B$4,"Rara",IF(K1069&gt;=Umbrales!$B$5,"Poco común","Común")))))</f>
        <v/>
      </c>
      <c r="M1069" s="5" t="n">
        <v>2491.000064</v>
      </c>
      <c r="N1069" s="5" t="n">
        <v>124</v>
      </c>
      <c r="O1069" s="5">
        <f>IF(M1069="","",M1069*J1069)</f>
        <v/>
      </c>
      <c r="P1069" s="5">
        <f>IF(N1069="","",N1069*J1069)</f>
        <v/>
      </c>
      <c r="Q1069" s="7" t="n">
        <v>0.024</v>
      </c>
      <c r="R1069" s="8" t="n">
        <v>47.16</v>
      </c>
      <c r="S1069" s="4" t="inlineStr">
        <is>
          <t>FTSE100</t>
        </is>
      </c>
      <c r="T1069" s="9" t="inlineStr">
        <is>
          <t>SI</t>
        </is>
      </c>
      <c r="U1069" s="9" t="inlineStr"/>
      <c r="V1069" s="10">
        <f>Umbrales!$B$9*(K1069/1000)^Umbrales!$B$10</f>
        <v/>
      </c>
    </row>
    <row r="1070">
      <c r="A1070" s="4" t="inlineStr">
        <is>
          <t>BAB.L</t>
        </is>
      </c>
      <c r="B1070" s="4" t="inlineStr">
        <is>
          <t>Babcock International Group PLC</t>
        </is>
      </c>
      <c r="C1070" s="4" t="inlineStr">
        <is>
          <t>United Kingdom</t>
        </is>
      </c>
      <c r="D1070" s="4" t="inlineStr">
        <is>
          <t>GB</t>
        </is>
      </c>
      <c r="E1070" s="4" t="inlineStr">
        <is>
          <t>Industria</t>
        </is>
      </c>
      <c r="F1070" s="4" t="inlineStr">
        <is>
          <t>Engineering &amp; Construction</t>
        </is>
      </c>
      <c r="G1070" s="4" t="inlineStr">
        <is>
          <t>LSE</t>
        </is>
      </c>
      <c r="H1070" s="4" t="inlineStr">
        <is>
          <t>GBP</t>
        </is>
      </c>
      <c r="I1070" s="5" t="n">
        <v>4495.95136</v>
      </c>
      <c r="J1070" s="6">
        <f>INDEX(FX!$B:$B,MATCH(H1070,FX!$A:$A,0))</f>
        <v/>
      </c>
      <c r="K1070" s="5">
        <f>I1070*J1070</f>
        <v/>
      </c>
      <c r="L1070" s="4">
        <f>IF(U1070&lt;&gt;"",U1070,IF(K1070&gt;=Umbrales!$B$2,"Legendaria",IF(K1070&gt;=Umbrales!$B$3,"Épica",IF(K1070&gt;=Umbrales!$B$4,"Rara",IF(K1070&gt;=Umbrales!$B$5,"Poco común","Común")))))</f>
        <v/>
      </c>
      <c r="M1070" s="5" t="n">
        <v>5177.69984</v>
      </c>
      <c r="N1070" s="5" t="n">
        <v>211.2</v>
      </c>
      <c r="O1070" s="5">
        <f>IF(M1070="","",M1070*J1070)</f>
        <v/>
      </c>
      <c r="P1070" s="5">
        <f>IF(N1070="","",N1070*J1070)</f>
        <v/>
      </c>
      <c r="Q1070" s="7" t="n">
        <v>0.008500000000000001</v>
      </c>
      <c r="R1070" s="8" t="n">
        <v>21.4093</v>
      </c>
      <c r="S1070" s="4" t="inlineStr">
        <is>
          <t>FTSE100</t>
        </is>
      </c>
      <c r="T1070" s="9" t="inlineStr">
        <is>
          <t>SI</t>
        </is>
      </c>
      <c r="U1070" s="9" t="inlineStr"/>
      <c r="V1070" s="10">
        <f>Umbrales!$B$9*(K1070/1000)^Umbrales!$B$10</f>
        <v/>
      </c>
    </row>
    <row r="1071">
      <c r="A1071" s="4" t="inlineStr">
        <is>
          <t>PINFRA.MX</t>
        </is>
      </c>
      <c r="B1071" s="4" t="inlineStr">
        <is>
          <t>Promotora y Operadora de Infraestructura, S. A. B. de C. V.</t>
        </is>
      </c>
      <c r="C1071" s="4" t="inlineStr">
        <is>
          <t>Mexico</t>
        </is>
      </c>
      <c r="D1071" s="4" t="inlineStr">
        <is>
          <t>MX</t>
        </is>
      </c>
      <c r="E1071" s="4" t="inlineStr">
        <is>
          <t>Industria</t>
        </is>
      </c>
      <c r="F1071" s="4" t="inlineStr">
        <is>
          <t>Infrastructure Operations</t>
        </is>
      </c>
      <c r="G1071" s="4" t="inlineStr">
        <is>
          <t>MEX</t>
        </is>
      </c>
      <c r="H1071" s="4" t="inlineStr">
        <is>
          <t>MXN</t>
        </is>
      </c>
      <c r="I1071" s="5" t="n">
        <v>109092.08576</v>
      </c>
      <c r="J1071" s="6">
        <f>INDEX(FX!$B:$B,MATCH(H1071,FX!$A:$A,0))</f>
        <v/>
      </c>
      <c r="K1071" s="5">
        <f>I1071*J1071</f>
        <v/>
      </c>
      <c r="L1071" s="4">
        <f>IF(U1071&lt;&gt;"",U1071,IF(K1071&gt;=Umbrales!$B$2,"Legendaria",IF(K1071&gt;=Umbrales!$B$3,"Épica",IF(K1071&gt;=Umbrales!$B$4,"Rara",IF(K1071&gt;=Umbrales!$B$5,"Poco común","Común")))))</f>
        <v/>
      </c>
      <c r="M1071" s="5" t="n">
        <v>22036.84864</v>
      </c>
      <c r="N1071" s="5" t="n">
        <v>14861.054976</v>
      </c>
      <c r="O1071" s="5">
        <f>IF(M1071="","",M1071*J1071)</f>
        <v/>
      </c>
      <c r="P1071" s="5">
        <f>IF(N1071="","",N1071*J1071)</f>
        <v/>
      </c>
      <c r="Q1071" s="7" t="n">
        <v>0.0164</v>
      </c>
      <c r="R1071" s="8" t="n">
        <v>7.8019295</v>
      </c>
      <c r="S1071" s="4" t="inlineStr">
        <is>
          <t>IPC</t>
        </is>
      </c>
      <c r="T1071" s="9" t="inlineStr">
        <is>
          <t>SI</t>
        </is>
      </c>
      <c r="U1071" s="9" t="inlineStr"/>
      <c r="V1071" s="10">
        <f>Umbrales!$B$9*(K1071/1000)^Umbrales!$B$10</f>
        <v/>
      </c>
    </row>
    <row r="1072">
      <c r="A1072" s="4" t="inlineStr">
        <is>
          <t>FSV.TO</t>
        </is>
      </c>
      <c r="B1072" s="4" t="inlineStr">
        <is>
          <t>FirstService Corporation</t>
        </is>
      </c>
      <c r="C1072" s="4" t="inlineStr">
        <is>
          <t>Canada</t>
        </is>
      </c>
      <c r="D1072" s="4" t="inlineStr">
        <is>
          <t>CA</t>
        </is>
      </c>
      <c r="E1072" s="4" t="inlineStr">
        <is>
          <t>Inmobiliario</t>
        </is>
      </c>
      <c r="F1072" s="4" t="inlineStr">
        <is>
          <t>Real Estate Services</t>
        </is>
      </c>
      <c r="G1072" s="4" t="inlineStr">
        <is>
          <t>TOR</t>
        </is>
      </c>
      <c r="H1072" s="4" t="inlineStr">
        <is>
          <t>CAD</t>
        </is>
      </c>
      <c r="I1072" s="5" t="n">
        <v>8288.52224</v>
      </c>
      <c r="J1072" s="6">
        <f>INDEX(FX!$B:$B,MATCH(H1072,FX!$A:$A,0))</f>
        <v/>
      </c>
      <c r="K1072" s="5">
        <f>I1072*J1072</f>
        <v/>
      </c>
      <c r="L1072" s="4">
        <f>IF(U1072&lt;&gt;"",U1072,IF(K1072&gt;=Umbrales!$B$2,"Legendaria",IF(K1072&gt;=Umbrales!$B$3,"Épica",IF(K1072&gt;=Umbrales!$B$4,"Rara",IF(K1072&gt;=Umbrales!$B$5,"Poco común","Común")))))</f>
        <v/>
      </c>
      <c r="M1072" s="5" t="n">
        <v>5597.270016</v>
      </c>
      <c r="N1072" s="5" t="n">
        <v>161.424</v>
      </c>
      <c r="O1072" s="5">
        <f>IF(M1072="","",M1072*J1072)</f>
        <v/>
      </c>
      <c r="P1072" s="5">
        <f>IF(N1072="","",N1072*J1072)</f>
        <v/>
      </c>
      <c r="Q1072" s="7" t="n">
        <v>0.009300000000000001</v>
      </c>
      <c r="R1072" s="8" t="n">
        <v>39.053497</v>
      </c>
      <c r="S1072" s="4" t="inlineStr">
        <is>
          <t>TSX60</t>
        </is>
      </c>
      <c r="T1072" s="9" t="inlineStr">
        <is>
          <t>SI</t>
        </is>
      </c>
      <c r="U1072" s="9" t="inlineStr"/>
      <c r="V1072" s="10">
        <f>Umbrales!$B$9*(K1072/1000)^Umbrales!$B$10</f>
        <v/>
      </c>
    </row>
    <row r="1073">
      <c r="A1073" s="4" t="inlineStr">
        <is>
          <t>COH.AX</t>
        </is>
      </c>
      <c r="B1073" s="4" t="inlineStr">
        <is>
          <t>Cochlear Limited</t>
        </is>
      </c>
      <c r="C1073" s="4" t="inlineStr">
        <is>
          <t>Australia</t>
        </is>
      </c>
      <c r="D1073" s="4" t="inlineStr">
        <is>
          <t>AU</t>
        </is>
      </c>
      <c r="E1073" s="4" t="inlineStr">
        <is>
          <t>Salud</t>
        </is>
      </c>
      <c r="F1073" s="4" t="inlineStr">
        <is>
          <t>Medical Devices</t>
        </is>
      </c>
      <c r="G1073" s="4" t="inlineStr">
        <is>
          <t>ASX</t>
        </is>
      </c>
      <c r="H1073" s="4" t="inlineStr">
        <is>
          <t>AUD</t>
        </is>
      </c>
      <c r="I1073" s="5" t="n">
        <v>8418.148352</v>
      </c>
      <c r="J1073" s="6">
        <f>INDEX(FX!$B:$B,MATCH(H1073,FX!$A:$A,0))</f>
        <v/>
      </c>
      <c r="K1073" s="5">
        <f>I1073*J1073</f>
        <v/>
      </c>
      <c r="L1073" s="4">
        <f>IF(U1073&lt;&gt;"",U1073,IF(K1073&gt;=Umbrales!$B$2,"Legendaria",IF(K1073&gt;=Umbrales!$B$3,"Épica",IF(K1073&gt;=Umbrales!$B$4,"Rara",IF(K1073&gt;=Umbrales!$B$5,"Poco común","Común")))))</f>
        <v/>
      </c>
      <c r="M1073" s="5" t="n">
        <v>2347.599872</v>
      </c>
      <c r="N1073" s="5" t="n">
        <v>147.3</v>
      </c>
      <c r="O1073" s="5">
        <f>IF(M1073="","",M1073*J1073)</f>
        <v/>
      </c>
      <c r="P1073" s="5">
        <f>IF(N1073="","",N1073*J1073)</f>
        <v/>
      </c>
      <c r="Q1073" s="7" t="n">
        <v>0.0201</v>
      </c>
      <c r="R1073" s="8" t="n">
        <v>57.464287</v>
      </c>
      <c r="S1073" s="4" t="inlineStr">
        <is>
          <t>ASX50</t>
        </is>
      </c>
      <c r="T1073" s="9" t="inlineStr">
        <is>
          <t>SI</t>
        </is>
      </c>
      <c r="U1073" s="9" t="inlineStr"/>
      <c r="V1073" s="10">
        <f>Umbrales!$B$9*(K1073/1000)^Umbrales!$B$10</f>
        <v/>
      </c>
    </row>
    <row r="1074">
      <c r="A1074" s="4" t="inlineStr">
        <is>
          <t>WTB.L</t>
        </is>
      </c>
      <c r="B1074" s="4" t="inlineStr">
        <is>
          <t>Whitbread plc</t>
        </is>
      </c>
      <c r="C1074" s="4" t="inlineStr">
        <is>
          <t>United Kingdom</t>
        </is>
      </c>
      <c r="D1074" s="4" t="inlineStr">
        <is>
          <t>GB</t>
        </is>
      </c>
      <c r="E1074" s="4" t="inlineStr">
        <is>
          <t>Consumo cíclico</t>
        </is>
      </c>
      <c r="F1074" s="4" t="inlineStr">
        <is>
          <t>Lodging</t>
        </is>
      </c>
      <c r="G1074" s="4" t="inlineStr">
        <is>
          <t>LSE</t>
        </is>
      </c>
      <c r="H1074" s="4" t="inlineStr">
        <is>
          <t>GBP</t>
        </is>
      </c>
      <c r="I1074" s="5" t="n">
        <v>4392.939008</v>
      </c>
      <c r="J1074" s="6">
        <f>INDEX(FX!$B:$B,MATCH(H1074,FX!$A:$A,0))</f>
        <v/>
      </c>
      <c r="K1074" s="5">
        <f>I1074*J1074</f>
        <v/>
      </c>
      <c r="L1074" s="4">
        <f>IF(U1074&lt;&gt;"",U1074,IF(K1074&gt;=Umbrales!$B$2,"Legendaria",IF(K1074&gt;=Umbrales!$B$3,"Épica",IF(K1074&gt;=Umbrales!$B$4,"Rara",IF(K1074&gt;=Umbrales!$B$5,"Poco común","Común")))))</f>
        <v/>
      </c>
      <c r="M1074" s="5" t="n">
        <v>2950.799872</v>
      </c>
      <c r="N1074" s="5" t="n">
        <v>57.7</v>
      </c>
      <c r="O1074" s="5">
        <f>IF(M1074="","",M1074*J1074)</f>
        <v/>
      </c>
      <c r="P1074" s="5">
        <f>IF(N1074="","",N1074*J1074)</f>
        <v/>
      </c>
      <c r="Q1074" s="7" t="n">
        <v>0.0378</v>
      </c>
      <c r="R1074" s="8" t="n">
        <v>72.83333</v>
      </c>
      <c r="S1074" s="4" t="inlineStr">
        <is>
          <t>FTSE100</t>
        </is>
      </c>
      <c r="T1074" s="9" t="inlineStr">
        <is>
          <t>SI</t>
        </is>
      </c>
      <c r="U1074" s="9" t="inlineStr"/>
      <c r="V1074" s="10">
        <f>Umbrales!$B$9*(K1074/1000)^Umbrales!$B$10</f>
        <v/>
      </c>
    </row>
    <row r="1075">
      <c r="A1075" s="4" t="inlineStr">
        <is>
          <t>LMP.L</t>
        </is>
      </c>
      <c r="B1075" s="4" t="inlineStr">
        <is>
          <t>LondonMetric Property Plc</t>
        </is>
      </c>
      <c r="C1075" s="4" t="inlineStr">
        <is>
          <t>United Kingdom</t>
        </is>
      </c>
      <c r="D1075" s="4" t="inlineStr">
        <is>
          <t>GB</t>
        </is>
      </c>
      <c r="E1075" s="4" t="inlineStr">
        <is>
          <t>Inmobiliario</t>
        </is>
      </c>
      <c r="F1075" s="4" t="inlineStr">
        <is>
          <t>REIT - Industrial</t>
        </is>
      </c>
      <c r="G1075" s="4" t="inlineStr">
        <is>
          <t>LSE</t>
        </is>
      </c>
      <c r="H1075" s="4" t="inlineStr">
        <is>
          <t>GBP</t>
        </is>
      </c>
      <c r="I1075" s="5" t="n">
        <v>4387.800064</v>
      </c>
      <c r="J1075" s="6">
        <f>INDEX(FX!$B:$B,MATCH(H1075,FX!$A:$A,0))</f>
        <v/>
      </c>
      <c r="K1075" s="5">
        <f>I1075*J1075</f>
        <v/>
      </c>
      <c r="L1075" s="4">
        <f>IF(U1075&lt;&gt;"",U1075,IF(K1075&gt;=Umbrales!$B$2,"Legendaria",IF(K1075&gt;=Umbrales!$B$3,"Épica",IF(K1075&gt;=Umbrales!$B$4,"Rara",IF(K1075&gt;=Umbrales!$B$5,"Poco común","Común")))))</f>
        <v/>
      </c>
      <c r="M1075" s="5" t="n">
        <v>469.3</v>
      </c>
      <c r="N1075" s="5" t="n">
        <v>295.7</v>
      </c>
      <c r="O1075" s="5">
        <f>IF(M1075="","",M1075*J1075)</f>
        <v/>
      </c>
      <c r="P1075" s="5">
        <f>IF(N1075="","",N1075*J1075)</f>
        <v/>
      </c>
      <c r="Q1075" s="7" t="n">
        <v>0.0718</v>
      </c>
      <c r="R1075" s="8" t="n">
        <v>13.838461</v>
      </c>
      <c r="S1075" s="4" t="inlineStr">
        <is>
          <t>FTSE100</t>
        </is>
      </c>
      <c r="T1075" s="9" t="inlineStr">
        <is>
          <t>SI</t>
        </is>
      </c>
      <c r="U1075" s="9" t="inlineStr"/>
      <c r="V1075" s="10">
        <f>Umbrales!$B$9*(K1075/1000)^Umbrales!$B$10</f>
        <v/>
      </c>
    </row>
    <row r="1076">
      <c r="A1076" s="4" t="inlineStr">
        <is>
          <t>HER.MI</t>
        </is>
      </c>
      <c r="B1076" s="4" t="inlineStr">
        <is>
          <t>Hera S.p.A.</t>
        </is>
      </c>
      <c r="C1076" s="4" t="inlineStr">
        <is>
          <t>Italy</t>
        </is>
      </c>
      <c r="D1076" s="4" t="inlineStr">
        <is>
          <t>IT</t>
        </is>
      </c>
      <c r="E1076" s="4" t="inlineStr">
        <is>
          <t>Servicios públicos</t>
        </is>
      </c>
      <c r="F1076" s="4" t="inlineStr">
        <is>
          <t>Utilities - Diversified</t>
        </is>
      </c>
      <c r="G1076" s="4" t="inlineStr">
        <is>
          <t>MIL</t>
        </is>
      </c>
      <c r="H1076" s="4" t="inlineStr">
        <is>
          <t>EUR</t>
        </is>
      </c>
      <c r="I1076" s="5" t="n">
        <v>5183.17824</v>
      </c>
      <c r="J1076" s="6">
        <f>INDEX(FX!$B:$B,MATCH(H1076,FX!$A:$A,0))</f>
        <v/>
      </c>
      <c r="K1076" s="5">
        <f>I1076*J1076</f>
        <v/>
      </c>
      <c r="L1076" s="4">
        <f>IF(U1076&lt;&gt;"",U1076,IF(K1076&gt;=Umbrales!$B$2,"Legendaria",IF(K1076&gt;=Umbrales!$B$3,"Épica",IF(K1076&gt;=Umbrales!$B$4,"Rara",IF(K1076&gt;=Umbrales!$B$5,"Poco común","Común")))))</f>
        <v/>
      </c>
      <c r="M1076" s="5" t="n">
        <v>12672.600064</v>
      </c>
      <c r="N1076" s="5" t="n">
        <v>470.5</v>
      </c>
      <c r="O1076" s="5">
        <f>IF(M1076="","",M1076*J1076)</f>
        <v/>
      </c>
      <c r="P1076" s="5">
        <f>IF(N1076="","",N1076*J1076)</f>
        <v/>
      </c>
      <c r="Q1076" s="7" t="n">
        <v>0.0458</v>
      </c>
      <c r="R1076" s="8" t="n">
        <v>10.95625</v>
      </c>
      <c r="S1076" s="4" t="inlineStr">
        <is>
          <t>FTSEMIB</t>
        </is>
      </c>
      <c r="T1076" s="9" t="inlineStr">
        <is>
          <t>SI</t>
        </is>
      </c>
      <c r="U1076" s="9" t="inlineStr"/>
      <c r="V1076" s="10">
        <f>Umbrales!$B$9*(K1076/1000)^Umbrales!$B$10</f>
        <v/>
      </c>
    </row>
    <row r="1077">
      <c r="A1077" s="4" t="inlineStr">
        <is>
          <t>TTD</t>
        </is>
      </c>
      <c r="B1077" s="4" t="inlineStr">
        <is>
          <t>The Trade Desk, Inc.</t>
        </is>
      </c>
      <c r="C1077" s="4" t="inlineStr">
        <is>
          <t>United States</t>
        </is>
      </c>
      <c r="D1077" s="4" t="inlineStr">
        <is>
          <t>US</t>
        </is>
      </c>
      <c r="E1077" s="4" t="inlineStr">
        <is>
          <t>Comunicación</t>
        </is>
      </c>
      <c r="F1077" s="4" t="inlineStr">
        <is>
          <t>Advertising Agencies</t>
        </is>
      </c>
      <c r="G1077" s="4" t="inlineStr">
        <is>
          <t>NGM</t>
        </is>
      </c>
      <c r="H1077" s="4" t="inlineStr">
        <is>
          <t>USD</t>
        </is>
      </c>
      <c r="I1077" s="5" t="n">
        <v>5758.644736</v>
      </c>
      <c r="J1077" s="6">
        <f>INDEX(FX!$B:$B,MATCH(H1077,FX!$A:$A,0))</f>
        <v/>
      </c>
      <c r="K1077" s="5">
        <f>I1077*J1077</f>
        <v/>
      </c>
      <c r="L1077" s="4">
        <f>IF(U1077&lt;&gt;"",U1077,IF(K1077&gt;=Umbrales!$B$2,"Legendaria",IF(K1077&gt;=Umbrales!$B$3,"Épica",IF(K1077&gt;=Umbrales!$B$4,"Rara",IF(K1077&gt;=Umbrales!$B$5,"Poco común","Común")))))</f>
        <v/>
      </c>
      <c r="M1077" s="5" t="n">
        <v>2990.138112</v>
      </c>
      <c r="N1077" s="5" t="n">
        <v>406.888</v>
      </c>
      <c r="O1077" s="5">
        <f>IF(M1077="","",M1077*J1077)</f>
        <v/>
      </c>
      <c r="P1077" s="5">
        <f>IF(N1077="","",N1077*J1077)</f>
        <v/>
      </c>
      <c r="Q1077" s="7" t="n">
        <v>0</v>
      </c>
      <c r="R1077" s="8" t="n">
        <v>14.6747</v>
      </c>
      <c r="S1077" s="4" t="inlineStr">
        <is>
          <t>NASDAQ100</t>
        </is>
      </c>
      <c r="T1077" s="9" t="inlineStr">
        <is>
          <t>SI</t>
        </is>
      </c>
      <c r="U1077" s="9" t="inlineStr"/>
      <c r="V1077" s="10">
        <f>Umbrales!$B$9*(K1077/1000)^Umbrales!$B$10</f>
        <v/>
      </c>
    </row>
    <row r="1078">
      <c r="A1078" s="4" t="inlineStr">
        <is>
          <t>JD.L</t>
        </is>
      </c>
      <c r="B1078" s="4" t="inlineStr">
        <is>
          <t>JD Sports Fashion Plc</t>
        </is>
      </c>
      <c r="C1078" s="4" t="inlineStr">
        <is>
          <t>United Kingdom</t>
        </is>
      </c>
      <c r="D1078" s="4" t="inlineStr">
        <is>
          <t>GB</t>
        </is>
      </c>
      <c r="E1078" s="4" t="inlineStr">
        <is>
          <t>Consumo cíclico</t>
        </is>
      </c>
      <c r="F1078" s="4" t="inlineStr">
        <is>
          <t>Apparel Retail</t>
        </is>
      </c>
      <c r="G1078" s="4" t="inlineStr">
        <is>
          <t>LSE</t>
        </is>
      </c>
      <c r="H1078" s="4" t="inlineStr">
        <is>
          <t>GBP</t>
        </is>
      </c>
      <c r="I1078" s="5" t="n">
        <v>4318.411264</v>
      </c>
      <c r="J1078" s="6">
        <f>INDEX(FX!$B:$B,MATCH(H1078,FX!$A:$A,0))</f>
        <v/>
      </c>
      <c r="K1078" s="5">
        <f>I1078*J1078</f>
        <v/>
      </c>
      <c r="L1078" s="4">
        <f>IF(U1078&lt;&gt;"",U1078,IF(K1078&gt;=Umbrales!$B$2,"Legendaria",IF(K1078&gt;=Umbrales!$B$3,"Épica",IF(K1078&gt;=Umbrales!$B$4,"Rara",IF(K1078&gt;=Umbrales!$B$5,"Poco común","Común")))))</f>
        <v/>
      </c>
      <c r="M1078" s="5" t="n">
        <v>12620.99968</v>
      </c>
      <c r="N1078" s="5" t="n">
        <v>562</v>
      </c>
      <c r="O1078" s="5">
        <f>IF(M1078="","",M1078*J1078)</f>
        <v/>
      </c>
      <c r="P1078" s="5">
        <f>IF(N1078="","",N1078*J1078)</f>
        <v/>
      </c>
      <c r="Q1078" s="7" t="n">
        <v>0.0136</v>
      </c>
      <c r="R1078" s="8" t="n">
        <v>8.358181999999999</v>
      </c>
      <c r="S1078" s="4" t="inlineStr">
        <is>
          <t>FTSE100</t>
        </is>
      </c>
      <c r="T1078" s="9" t="inlineStr">
        <is>
          <t>SI</t>
        </is>
      </c>
      <c r="U1078" s="9" t="inlineStr"/>
      <c r="V1078" s="10">
        <f>Umbrales!$B$9*(K1078/1000)^Umbrales!$B$10</f>
        <v/>
      </c>
    </row>
    <row r="1079">
      <c r="A1079" s="4" t="inlineStr">
        <is>
          <t>BLND.L</t>
        </is>
      </c>
      <c r="B1079" s="4" t="inlineStr">
        <is>
          <t>British Land Company PLC</t>
        </is>
      </c>
      <c r="C1079" s="4" t="inlineStr">
        <is>
          <t>United Kingdom</t>
        </is>
      </c>
      <c r="D1079" s="4" t="inlineStr">
        <is>
          <t>GB</t>
        </is>
      </c>
      <c r="E1079" s="4" t="inlineStr">
        <is>
          <t>Inmobiliario</t>
        </is>
      </c>
      <c r="F1079" s="4" t="inlineStr">
        <is>
          <t>REIT - Diversified</t>
        </is>
      </c>
      <c r="G1079" s="4" t="inlineStr">
        <is>
          <t>LSE</t>
        </is>
      </c>
      <c r="H1079" s="4" t="inlineStr">
        <is>
          <t>GBP</t>
        </is>
      </c>
      <c r="I1079" s="5" t="n">
        <v>4310.035456</v>
      </c>
      <c r="J1079" s="6">
        <f>INDEX(FX!$B:$B,MATCH(H1079,FX!$A:$A,0))</f>
        <v/>
      </c>
      <c r="K1079" s="5">
        <f>I1079*J1079</f>
        <v/>
      </c>
      <c r="L1079" s="4">
        <f>IF(U1079&lt;&gt;"",U1079,IF(K1079&gt;=Umbrales!$B$2,"Legendaria",IF(K1079&gt;=Umbrales!$B$3,"Épica",IF(K1079&gt;=Umbrales!$B$4,"Rara",IF(K1079&gt;=Umbrales!$B$5,"Poco común","Común")))))</f>
        <v/>
      </c>
      <c r="M1079" s="5" t="n">
        <v>616</v>
      </c>
      <c r="N1079" s="5" t="n">
        <v>454</v>
      </c>
      <c r="O1079" s="5">
        <f>IF(M1079="","",M1079*J1079)</f>
        <v/>
      </c>
      <c r="P1079" s="5">
        <f>IF(N1079="","",N1079*J1079)</f>
        <v/>
      </c>
      <c r="Q1079" s="7" t="n">
        <v>0.0579</v>
      </c>
      <c r="R1079" s="8" t="n">
        <v>9.139131000000001</v>
      </c>
      <c r="S1079" s="4" t="inlineStr">
        <is>
          <t>FTSE100</t>
        </is>
      </c>
      <c r="T1079" s="9" t="inlineStr">
        <is>
          <t>SI</t>
        </is>
      </c>
      <c r="U1079" s="9" t="inlineStr"/>
      <c r="V1079" s="10">
        <f>Umbrales!$B$9*(K1079/1000)^Umbrales!$B$10</f>
        <v/>
      </c>
    </row>
    <row r="1080">
      <c r="A1080" s="4" t="inlineStr">
        <is>
          <t>WPP.L</t>
        </is>
      </c>
      <c r="B1080" s="4" t="inlineStr">
        <is>
          <t>WPP plc</t>
        </is>
      </c>
      <c r="C1080" s="4" t="inlineStr">
        <is>
          <t>United Kingdom</t>
        </is>
      </c>
      <c r="D1080" s="4" t="inlineStr">
        <is>
          <t>GB</t>
        </is>
      </c>
      <c r="E1080" s="4" t="inlineStr">
        <is>
          <t>Comunicación</t>
        </is>
      </c>
      <c r="F1080" s="4" t="inlineStr">
        <is>
          <t>Advertising Agencies</t>
        </is>
      </c>
      <c r="G1080" s="4" t="inlineStr">
        <is>
          <t>LSE</t>
        </is>
      </c>
      <c r="H1080" s="4" t="inlineStr">
        <is>
          <t>GBP</t>
        </is>
      </c>
      <c r="I1080" s="5" t="n">
        <v>4304.394752</v>
      </c>
      <c r="J1080" s="6">
        <f>INDEX(FX!$B:$B,MATCH(H1080,FX!$A:$A,0))</f>
        <v/>
      </c>
      <c r="K1080" s="5">
        <f>I1080*J1080</f>
        <v/>
      </c>
      <c r="L1080" s="4">
        <f>IF(U1080&lt;&gt;"",U1080,IF(K1080&gt;=Umbrales!$B$2,"Legendaria",IF(K1080&gt;=Umbrales!$B$3,"Épica",IF(K1080&gt;=Umbrales!$B$4,"Rara",IF(K1080&gt;=Umbrales!$B$5,"Poco común","Común")))))</f>
        <v/>
      </c>
      <c r="M1080" s="5" t="n">
        <v>13260.000256</v>
      </c>
      <c r="N1080" s="5" t="n">
        <v>-240</v>
      </c>
      <c r="O1080" s="5">
        <f>IF(M1080="","",M1080*J1080)</f>
        <v/>
      </c>
      <c r="P1080" s="5">
        <f>IF(N1080="","",N1080*J1080)</f>
        <v/>
      </c>
      <c r="Q1080" s="7" t="n">
        <v>0.038</v>
      </c>
      <c r="R1080" s="8" t="n"/>
      <c r="S1080" s="4" t="inlineStr">
        <is>
          <t>FTSE100</t>
        </is>
      </c>
      <c r="T1080" s="9" t="inlineStr">
        <is>
          <t>SI</t>
        </is>
      </c>
      <c r="U1080" s="9" t="inlineStr"/>
      <c r="V1080" s="10">
        <f>Umbrales!$B$9*(K1080/1000)^Umbrales!$B$10</f>
        <v/>
      </c>
    </row>
    <row r="1081">
      <c r="A1081" s="4" t="inlineStr">
        <is>
          <t>ABDN.L</t>
        </is>
      </c>
      <c r="B1081" s="4" t="inlineStr">
        <is>
          <t>Aberdeen Group Plc</t>
        </is>
      </c>
      <c r="C1081" s="4" t="inlineStr">
        <is>
          <t>United Kingdom</t>
        </is>
      </c>
      <c r="D1081" s="4" t="inlineStr">
        <is>
          <t>GB</t>
        </is>
      </c>
      <c r="E1081" s="4" t="inlineStr">
        <is>
          <t>Finanzas</t>
        </is>
      </c>
      <c r="F1081" s="4" t="inlineStr">
        <is>
          <t>Asset Management</t>
        </is>
      </c>
      <c r="G1081" s="4" t="inlineStr">
        <is>
          <t>LSE</t>
        </is>
      </c>
      <c r="H1081" s="4" t="inlineStr">
        <is>
          <t>GBP</t>
        </is>
      </c>
      <c r="I1081" s="5" t="n">
        <v>4280.355328</v>
      </c>
      <c r="J1081" s="6">
        <f>INDEX(FX!$B:$B,MATCH(H1081,FX!$A:$A,0))</f>
        <v/>
      </c>
      <c r="K1081" s="5">
        <f>I1081*J1081</f>
        <v/>
      </c>
      <c r="L1081" s="4">
        <f>IF(U1081&lt;&gt;"",U1081,IF(K1081&gt;=Umbrales!$B$2,"Legendaria",IF(K1081&gt;=Umbrales!$B$3,"Épica",IF(K1081&gt;=Umbrales!$B$4,"Rara",IF(K1081&gt;=Umbrales!$B$5,"Poco común","Común")))))</f>
        <v/>
      </c>
      <c r="M1081" s="5" t="n">
        <v>1360.999936</v>
      </c>
      <c r="N1081" s="5" t="n">
        <v>382</v>
      </c>
      <c r="O1081" s="5">
        <f>IF(M1081="","",M1081*J1081)</f>
        <v/>
      </c>
      <c r="P1081" s="5">
        <f>IF(N1081="","",N1081*J1081)</f>
        <v/>
      </c>
      <c r="Q1081" s="7" t="n">
        <v>0.0609</v>
      </c>
      <c r="R1081" s="8" t="n">
        <v>11.380953</v>
      </c>
      <c r="S1081" s="4" t="inlineStr">
        <is>
          <t>FTSE100</t>
        </is>
      </c>
      <c r="T1081" s="9" t="inlineStr">
        <is>
          <t>SI</t>
        </is>
      </c>
      <c r="U1081" s="9" t="inlineStr"/>
      <c r="V1081" s="10">
        <f>Umbrales!$B$9*(K1081/1000)^Umbrales!$B$10</f>
        <v/>
      </c>
    </row>
    <row r="1082">
      <c r="A1082" s="4" t="inlineStr">
        <is>
          <t>NEXI.MI</t>
        </is>
      </c>
      <c r="B1082" s="4" t="inlineStr">
        <is>
          <t>Nexi S.p.A.</t>
        </is>
      </c>
      <c r="C1082" s="4" t="inlineStr">
        <is>
          <t>Italy</t>
        </is>
      </c>
      <c r="D1082" s="4" t="inlineStr">
        <is>
          <t>IT</t>
        </is>
      </c>
      <c r="E1082" s="4" t="inlineStr">
        <is>
          <t>Tecnología</t>
        </is>
      </c>
      <c r="F1082" s="4" t="inlineStr">
        <is>
          <t>Software - Infrastructure</t>
        </is>
      </c>
      <c r="G1082" s="4" t="inlineStr">
        <is>
          <t>MIL</t>
        </is>
      </c>
      <c r="H1082" s="4" t="inlineStr">
        <is>
          <t>EUR</t>
        </is>
      </c>
      <c r="I1082" s="5" t="n">
        <v>5037.202944</v>
      </c>
      <c r="J1082" s="6">
        <f>INDEX(FX!$B:$B,MATCH(H1082,FX!$A:$A,0))</f>
        <v/>
      </c>
      <c r="K1082" s="5">
        <f>I1082*J1082</f>
        <v/>
      </c>
      <c r="L1082" s="4">
        <f>IF(U1082&lt;&gt;"",U1082,IF(K1082&gt;=Umbrales!$B$2,"Legendaria",IF(K1082&gt;=Umbrales!$B$3,"Épica",IF(K1082&gt;=Umbrales!$B$4,"Rara",IF(K1082&gt;=Umbrales!$B$5,"Poco común","Común")))))</f>
        <v/>
      </c>
      <c r="M1082" s="5" t="n">
        <v>6321.999872</v>
      </c>
      <c r="N1082" s="5" t="n">
        <v>-3364</v>
      </c>
      <c r="O1082" s="5">
        <f>IF(M1082="","",M1082*J1082)</f>
        <v/>
      </c>
      <c r="P1082" s="5">
        <f>IF(N1082="","",N1082*J1082)</f>
        <v/>
      </c>
      <c r="Q1082" s="7" t="n">
        <v>0.06900000000000001</v>
      </c>
      <c r="R1082" s="8" t="n"/>
      <c r="S1082" s="4" t="inlineStr">
        <is>
          <t>FTSEMIB</t>
        </is>
      </c>
      <c r="T1082" s="9" t="inlineStr">
        <is>
          <t>SI</t>
        </is>
      </c>
      <c r="U1082" s="9" t="inlineStr"/>
      <c r="V1082" s="10">
        <f>Umbrales!$B$9*(K1082/1000)^Umbrales!$B$10</f>
        <v/>
      </c>
    </row>
    <row r="1083">
      <c r="A1083" s="4" t="inlineStr">
        <is>
          <t>BTRW.L</t>
        </is>
      </c>
      <c r="B1083" s="4" t="inlineStr">
        <is>
          <t>Barratt Redrow plc</t>
        </is>
      </c>
      <c r="C1083" s="4" t="inlineStr">
        <is>
          <t>United Kingdom</t>
        </is>
      </c>
      <c r="D1083" s="4" t="inlineStr">
        <is>
          <t>GB</t>
        </is>
      </c>
      <c r="E1083" s="4" t="inlineStr">
        <is>
          <t>Consumo cíclico</t>
        </is>
      </c>
      <c r="F1083" s="4" t="inlineStr">
        <is>
          <t>Residential Construction</t>
        </is>
      </c>
      <c r="G1083" s="4" t="inlineStr">
        <is>
          <t>LSE</t>
        </is>
      </c>
      <c r="H1083" s="4" t="inlineStr">
        <is>
          <t>GBP</t>
        </is>
      </c>
      <c r="I1083" s="5" t="n">
        <v>4255.854848</v>
      </c>
      <c r="J1083" s="6">
        <f>INDEX(FX!$B:$B,MATCH(H1083,FX!$A:$A,0))</f>
        <v/>
      </c>
      <c r="K1083" s="5">
        <f>I1083*J1083</f>
        <v/>
      </c>
      <c r="L1083" s="4">
        <f>IF(U1083&lt;&gt;"",U1083,IF(K1083&gt;=Umbrales!$B$2,"Legendaria",IF(K1083&gt;=Umbrales!$B$3,"Épica",IF(K1083&gt;=Umbrales!$B$4,"Rara",IF(K1083&gt;=Umbrales!$B$5,"Poco común","Común")))))</f>
        <v/>
      </c>
      <c r="M1083" s="5" t="n">
        <v>6055.000064</v>
      </c>
      <c r="N1083" s="5" t="n">
        <v>243.2</v>
      </c>
      <c r="O1083" s="5">
        <f>IF(M1083="","",M1083*J1083)</f>
        <v/>
      </c>
      <c r="P1083" s="5">
        <f>IF(N1083="","",N1083*J1083)</f>
        <v/>
      </c>
      <c r="Q1083" s="7" t="n">
        <v>0.0205</v>
      </c>
      <c r="R1083" s="8" t="n">
        <v>18.317646</v>
      </c>
      <c r="S1083" s="4" t="inlineStr">
        <is>
          <t>FTSE100</t>
        </is>
      </c>
      <c r="T1083" s="9" t="inlineStr">
        <is>
          <t>SI</t>
        </is>
      </c>
      <c r="U1083" s="9" t="inlineStr"/>
      <c r="V1083" s="10">
        <f>Umbrales!$B$9*(K1083/1000)^Umbrales!$B$10</f>
        <v/>
      </c>
    </row>
    <row r="1084">
      <c r="A1084" s="4" t="inlineStr">
        <is>
          <t>BBOX.L</t>
        </is>
      </c>
      <c r="B1084" s="4" t="inlineStr">
        <is>
          <t>Tritax Big Box Ord</t>
        </is>
      </c>
      <c r="C1084" s="4" t="inlineStr"/>
      <c r="D1084" s="4" t="inlineStr">
        <is>
          <t>UN</t>
        </is>
      </c>
      <c r="E1084" s="4" t="inlineStr">
        <is>
          <t>Otros</t>
        </is>
      </c>
      <c r="F1084" s="4" t="inlineStr"/>
      <c r="G1084" s="4" t="inlineStr">
        <is>
          <t>LSE</t>
        </is>
      </c>
      <c r="H1084" s="4" t="inlineStr">
        <is>
          <t>GBP</t>
        </is>
      </c>
      <c r="I1084" s="5" t="n">
        <v>4245.472512</v>
      </c>
      <c r="J1084" s="6">
        <f>INDEX(FX!$B:$B,MATCH(H1084,FX!$A:$A,0))</f>
        <v/>
      </c>
      <c r="K1084" s="5">
        <f>I1084*J1084</f>
        <v/>
      </c>
      <c r="L1084" s="4">
        <f>IF(U1084&lt;&gt;"",U1084,IF(K1084&gt;=Umbrales!$B$2,"Legendaria",IF(K1084&gt;=Umbrales!$B$3,"Épica",IF(K1084&gt;=Umbrales!$B$4,"Rara",IF(K1084&gt;=Umbrales!$B$5,"Poco común","Común")))))</f>
        <v/>
      </c>
      <c r="M1084" s="5" t="n"/>
      <c r="N1084" s="5" t="n"/>
      <c r="O1084" s="5">
        <f>IF(M1084="","",M1084*J1084)</f>
        <v/>
      </c>
      <c r="P1084" s="5">
        <f>IF(N1084="","",N1084*J1084)</f>
        <v/>
      </c>
      <c r="Q1084" s="7" t="n"/>
      <c r="R1084" s="8" t="n">
        <v>14.5</v>
      </c>
      <c r="S1084" s="4" t="inlineStr">
        <is>
          <t>FTSE100</t>
        </is>
      </c>
      <c r="T1084" s="9" t="inlineStr">
        <is>
          <t>SI</t>
        </is>
      </c>
      <c r="U1084" s="9" t="inlineStr"/>
      <c r="V1084" s="10">
        <f>Umbrales!$B$9*(K1084/1000)^Umbrales!$B$10</f>
        <v/>
      </c>
    </row>
    <row r="1085">
      <c r="A1085" s="4" t="inlineStr">
        <is>
          <t>HWDN.L</t>
        </is>
      </c>
      <c r="B1085" s="4" t="inlineStr">
        <is>
          <t>Howden Joinery Group Plc</t>
        </is>
      </c>
      <c r="C1085" s="4" t="inlineStr">
        <is>
          <t>United Kingdom</t>
        </is>
      </c>
      <c r="D1085" s="4" t="inlineStr">
        <is>
          <t>GB</t>
        </is>
      </c>
      <c r="E1085" s="4" t="inlineStr">
        <is>
          <t>Consumo cíclico</t>
        </is>
      </c>
      <c r="F1085" s="4" t="inlineStr">
        <is>
          <t>Furnishings, Fixtures &amp; Appliances</t>
        </is>
      </c>
      <c r="G1085" s="4" t="inlineStr">
        <is>
          <t>LSE</t>
        </is>
      </c>
      <c r="H1085" s="4" t="inlineStr">
        <is>
          <t>GBP</t>
        </is>
      </c>
      <c r="I1085" s="5" t="n">
        <v>4216.240896</v>
      </c>
      <c r="J1085" s="6">
        <f>INDEX(FX!$B:$B,MATCH(H1085,FX!$A:$A,0))</f>
        <v/>
      </c>
      <c r="K1085" s="5">
        <f>I1085*J1085</f>
        <v/>
      </c>
      <c r="L1085" s="4">
        <f>IF(U1085&lt;&gt;"",U1085,IF(K1085&gt;=Umbrales!$B$2,"Legendaria",IF(K1085&gt;=Umbrales!$B$3,"Épica",IF(K1085&gt;=Umbrales!$B$4,"Rara",IF(K1085&gt;=Umbrales!$B$5,"Poco común","Común")))))</f>
        <v/>
      </c>
      <c r="M1085" s="5" t="n">
        <v>2451.000064</v>
      </c>
      <c r="N1085" s="5" t="n">
        <v>266.1</v>
      </c>
      <c r="O1085" s="5">
        <f>IF(M1085="","",M1085*J1085)</f>
        <v/>
      </c>
      <c r="P1085" s="5">
        <f>IF(N1085="","",N1085*J1085)</f>
        <v/>
      </c>
      <c r="Q1085" s="7" t="n">
        <v>0.0284</v>
      </c>
      <c r="R1085" s="8" t="n">
        <v>16.177084</v>
      </c>
      <c r="S1085" s="4" t="inlineStr">
        <is>
          <t>FTSE100</t>
        </is>
      </c>
      <c r="T1085" s="9" t="inlineStr">
        <is>
          <t>SI</t>
        </is>
      </c>
      <c r="U1085" s="9" t="inlineStr"/>
      <c r="V1085" s="10">
        <f>Umbrales!$B$9*(K1085/1000)^Umbrales!$B$10</f>
        <v/>
      </c>
    </row>
    <row r="1086">
      <c r="A1086" s="4" t="inlineStr">
        <is>
          <t>LOG.MC</t>
        </is>
      </c>
      <c r="B1086" s="4" t="inlineStr">
        <is>
          <t>Logista Integral, S.A.</t>
        </is>
      </c>
      <c r="C1086" s="4" t="inlineStr">
        <is>
          <t>Spain</t>
        </is>
      </c>
      <c r="D1086" s="4" t="inlineStr">
        <is>
          <t>ES</t>
        </is>
      </c>
      <c r="E1086" s="4" t="inlineStr">
        <is>
          <t>Industria</t>
        </is>
      </c>
      <c r="F1086" s="4" t="inlineStr">
        <is>
          <t>Integrated Freight &amp; Logistics</t>
        </is>
      </c>
      <c r="G1086" s="4" t="inlineStr">
        <is>
          <t>MCE</t>
        </is>
      </c>
      <c r="H1086" s="4" t="inlineStr">
        <is>
          <t>EUR</t>
        </is>
      </c>
      <c r="I1086" s="5" t="n">
        <v>4842.14784</v>
      </c>
      <c r="J1086" s="6">
        <f>INDEX(FX!$B:$B,MATCH(H1086,FX!$A:$A,0))</f>
        <v/>
      </c>
      <c r="K1086" s="5">
        <f>I1086*J1086</f>
        <v/>
      </c>
      <c r="L1086" s="4">
        <f>IF(U1086&lt;&gt;"",U1086,IF(K1086&gt;=Umbrales!$B$2,"Legendaria",IF(K1086&gt;=Umbrales!$B$3,"Épica",IF(K1086&gt;=Umbrales!$B$4,"Rara",IF(K1086&gt;=Umbrales!$B$5,"Poco común","Común")))))</f>
        <v/>
      </c>
      <c r="M1086" s="5" t="n">
        <v>13764.241408</v>
      </c>
      <c r="N1086" s="5" t="n">
        <v>277.072</v>
      </c>
      <c r="O1086" s="5">
        <f>IF(M1086="","",M1086*J1086)</f>
        <v/>
      </c>
      <c r="P1086" s="5">
        <f>IF(N1086="","",N1086*J1086)</f>
        <v/>
      </c>
      <c r="Q1086" s="7" t="n">
        <v>0.0561</v>
      </c>
      <c r="R1086" s="8" t="n">
        <v>17.44762</v>
      </c>
      <c r="S1086" s="4" t="inlineStr">
        <is>
          <t>IBEX35</t>
        </is>
      </c>
      <c r="T1086" s="9" t="inlineStr">
        <is>
          <t>SI</t>
        </is>
      </c>
      <c r="U1086" s="9" t="inlineStr"/>
      <c r="V1086" s="10">
        <f>Umbrales!$B$9*(K1086/1000)^Umbrales!$B$10</f>
        <v/>
      </c>
    </row>
    <row r="1087">
      <c r="A1087" s="4" t="inlineStr">
        <is>
          <t>JBH.AX</t>
        </is>
      </c>
      <c r="B1087" s="4" t="inlineStr">
        <is>
          <t>JB Hi-Fi Limited</t>
        </is>
      </c>
      <c r="C1087" s="4" t="inlineStr">
        <is>
          <t>Australia</t>
        </is>
      </c>
      <c r="D1087" s="4" t="inlineStr">
        <is>
          <t>AU</t>
        </is>
      </c>
      <c r="E1087" s="4" t="inlineStr">
        <is>
          <t>Consumo cíclico</t>
        </is>
      </c>
      <c r="F1087" s="4" t="inlineStr">
        <is>
          <t>Specialty Retail</t>
        </is>
      </c>
      <c r="G1087" s="4" t="inlineStr">
        <is>
          <t>ASX</t>
        </is>
      </c>
      <c r="H1087" s="4" t="inlineStr">
        <is>
          <t>AUD</t>
        </is>
      </c>
      <c r="I1087" s="5" t="n">
        <v>7807.540224</v>
      </c>
      <c r="J1087" s="6">
        <f>INDEX(FX!$B:$B,MATCH(H1087,FX!$A:$A,0))</f>
        <v/>
      </c>
      <c r="K1087" s="5">
        <f>I1087*J1087</f>
        <v/>
      </c>
      <c r="L1087" s="4">
        <f>IF(U1087&lt;&gt;"",U1087,IF(K1087&gt;=Umbrales!$B$2,"Legendaria",IF(K1087&gt;=Umbrales!$B$3,"Épica",IF(K1087&gt;=Umbrales!$B$4,"Rara",IF(K1087&gt;=Umbrales!$B$5,"Poco común","Común")))))</f>
        <v/>
      </c>
      <c r="M1087" s="5" t="n">
        <v>11064.000512</v>
      </c>
      <c r="N1087" s="5" t="n">
        <v>489.9</v>
      </c>
      <c r="O1087" s="5">
        <f>IF(M1087="","",M1087*J1087)</f>
        <v/>
      </c>
      <c r="P1087" s="5">
        <f>IF(N1087="","",N1087*J1087)</f>
        <v/>
      </c>
      <c r="Q1087" s="7" t="n">
        <v>0.04679999999999999</v>
      </c>
      <c r="R1087" s="8" t="n">
        <v>15.904233</v>
      </c>
      <c r="S1087" s="4" t="inlineStr">
        <is>
          <t>ASX50</t>
        </is>
      </c>
      <c r="T1087" s="9" t="inlineStr">
        <is>
          <t>SI</t>
        </is>
      </c>
      <c r="U1087" s="9" t="inlineStr"/>
      <c r="V1087" s="10">
        <f>Umbrales!$B$9*(K1087/1000)^Umbrales!$B$10</f>
        <v/>
      </c>
    </row>
    <row r="1088">
      <c r="A1088" s="4" t="inlineStr">
        <is>
          <t>AUTO.L</t>
        </is>
      </c>
      <c r="B1088" s="4" t="inlineStr">
        <is>
          <t>Autotrader Group plc</t>
        </is>
      </c>
      <c r="C1088" s="4" t="inlineStr">
        <is>
          <t>United Kingdom</t>
        </is>
      </c>
      <c r="D1088" s="4" t="inlineStr">
        <is>
          <t>GB</t>
        </is>
      </c>
      <c r="E1088" s="4" t="inlineStr">
        <is>
          <t>Comunicación</t>
        </is>
      </c>
      <c r="F1088" s="4" t="inlineStr">
        <is>
          <t>Internet Content &amp; Information</t>
        </is>
      </c>
      <c r="G1088" s="4" t="inlineStr">
        <is>
          <t>LSE</t>
        </is>
      </c>
      <c r="H1088" s="4" t="inlineStr">
        <is>
          <t>GBP</t>
        </is>
      </c>
      <c r="I1088" s="5" t="n">
        <v>4039.204864</v>
      </c>
      <c r="J1088" s="6">
        <f>INDEX(FX!$B:$B,MATCH(H1088,FX!$A:$A,0))</f>
        <v/>
      </c>
      <c r="K1088" s="5">
        <f>I1088*J1088</f>
        <v/>
      </c>
      <c r="L1088" s="4">
        <f>IF(U1088&lt;&gt;"",U1088,IF(K1088&gt;=Umbrales!$B$2,"Legendaria",IF(K1088&gt;=Umbrales!$B$3,"Épica",IF(K1088&gt;=Umbrales!$B$4,"Rara",IF(K1088&gt;=Umbrales!$B$5,"Poco común","Común")))))</f>
        <v/>
      </c>
      <c r="M1088" s="5" t="n">
        <v>624.300032</v>
      </c>
      <c r="N1088" s="5" t="n">
        <v>293.9</v>
      </c>
      <c r="O1088" s="5">
        <f>IF(M1088="","",M1088*J1088)</f>
        <v/>
      </c>
      <c r="P1088" s="5">
        <f>IF(N1088="","",N1088*J1088)</f>
        <v/>
      </c>
      <c r="Q1088" s="7" t="n">
        <v>0.0226</v>
      </c>
      <c r="R1088" s="8" t="n">
        <v>15.605882</v>
      </c>
      <c r="S1088" s="4" t="inlineStr">
        <is>
          <t>FTSE100</t>
        </is>
      </c>
      <c r="T1088" s="9" t="inlineStr">
        <is>
          <t>SI</t>
        </is>
      </c>
      <c r="U1088" s="9" t="inlineStr"/>
      <c r="V1088" s="10">
        <f>Umbrales!$B$9*(K1088/1000)^Umbrales!$B$10</f>
        <v/>
      </c>
    </row>
    <row r="1089">
      <c r="A1089" s="4" t="inlineStr">
        <is>
          <t>AZM.MI</t>
        </is>
      </c>
      <c r="B1089" s="4" t="inlineStr">
        <is>
          <t>Azimut Holding S.p.A.</t>
        </is>
      </c>
      <c r="C1089" s="4" t="inlineStr">
        <is>
          <t>Italy</t>
        </is>
      </c>
      <c r="D1089" s="4" t="inlineStr">
        <is>
          <t>IT</t>
        </is>
      </c>
      <c r="E1089" s="4" t="inlineStr">
        <is>
          <t>Finanzas</t>
        </is>
      </c>
      <c r="F1089" s="4" t="inlineStr">
        <is>
          <t>Asset Management</t>
        </is>
      </c>
      <c r="G1089" s="4" t="inlineStr">
        <is>
          <t>MIL</t>
        </is>
      </c>
      <c r="H1089" s="4" t="inlineStr">
        <is>
          <t>EUR</t>
        </is>
      </c>
      <c r="I1089" s="5" t="n">
        <v>4768.811008</v>
      </c>
      <c r="J1089" s="6">
        <f>INDEX(FX!$B:$B,MATCH(H1089,FX!$A:$A,0))</f>
        <v/>
      </c>
      <c r="K1089" s="5">
        <f>I1089*J1089</f>
        <v/>
      </c>
      <c r="L1089" s="4">
        <f>IF(U1089&lt;&gt;"",U1089,IF(K1089&gt;=Umbrales!$B$2,"Legendaria",IF(K1089&gt;=Umbrales!$B$3,"Épica",IF(K1089&gt;=Umbrales!$B$4,"Rara",IF(K1089&gt;=Umbrales!$B$5,"Poco común","Común")))))</f>
        <v/>
      </c>
      <c r="M1089" s="5" t="n">
        <v>1574.10496</v>
      </c>
      <c r="N1089" s="5" t="n">
        <v>527.643008</v>
      </c>
      <c r="O1089" s="5">
        <f>IF(M1089="","",M1089*J1089)</f>
        <v/>
      </c>
      <c r="P1089" s="5">
        <f>IF(N1089="","",N1089*J1089)</f>
        <v/>
      </c>
      <c r="Q1089" s="7" t="n">
        <v>0.0561</v>
      </c>
      <c r="R1089" s="8" t="n">
        <v>9.231183</v>
      </c>
      <c r="S1089" s="4" t="inlineStr">
        <is>
          <t>FTSEMIB</t>
        </is>
      </c>
      <c r="T1089" s="9" t="inlineStr">
        <is>
          <t>SI</t>
        </is>
      </c>
      <c r="U1089" s="9" t="inlineStr"/>
      <c r="V1089" s="10">
        <f>Umbrales!$B$9*(K1089/1000)^Umbrales!$B$10</f>
        <v/>
      </c>
    </row>
    <row r="1090">
      <c r="A1090" s="4" t="inlineStr">
        <is>
          <t>BRBY.L</t>
        </is>
      </c>
      <c r="B1090" s="4" t="inlineStr">
        <is>
          <t>Burberry Group plc</t>
        </is>
      </c>
      <c r="C1090" s="4" t="inlineStr">
        <is>
          <t>United Kingdom</t>
        </is>
      </c>
      <c r="D1090" s="4" t="inlineStr">
        <is>
          <t>GB</t>
        </is>
      </c>
      <c r="E1090" s="4" t="inlineStr">
        <is>
          <t>Consumo cíclico</t>
        </is>
      </c>
      <c r="F1090" s="4" t="inlineStr">
        <is>
          <t>Luxury Goods</t>
        </is>
      </c>
      <c r="G1090" s="4" t="inlineStr">
        <is>
          <t>LSE</t>
        </is>
      </c>
      <c r="H1090" s="4" t="inlineStr">
        <is>
          <t>GBP</t>
        </is>
      </c>
      <c r="I1090" s="5" t="n">
        <v>3922.467584</v>
      </c>
      <c r="J1090" s="6">
        <f>INDEX(FX!$B:$B,MATCH(H1090,FX!$A:$A,0))</f>
        <v/>
      </c>
      <c r="K1090" s="5">
        <f>I1090*J1090</f>
        <v/>
      </c>
      <c r="L1090" s="4">
        <f>IF(U1090&lt;&gt;"",U1090,IF(K1090&gt;=Umbrales!$B$2,"Legendaria",IF(K1090&gt;=Umbrales!$B$3,"Épica",IF(K1090&gt;=Umbrales!$B$4,"Rara",IF(K1090&gt;=Umbrales!$B$5,"Poco común","Común")))))</f>
        <v/>
      </c>
      <c r="M1090" s="5" t="n">
        <v>2420</v>
      </c>
      <c r="N1090" s="5" t="n">
        <v>21</v>
      </c>
      <c r="O1090" s="5">
        <f>IF(M1090="","",M1090*J1090)</f>
        <v/>
      </c>
      <c r="P1090" s="5">
        <f>IF(N1090="","",N1090*J1090)</f>
        <v/>
      </c>
      <c r="Q1090" s="7" t="n">
        <v>0</v>
      </c>
      <c r="R1090" s="8" t="n">
        <v>182.5</v>
      </c>
      <c r="S1090" s="4" t="inlineStr">
        <is>
          <t>FTSE100</t>
        </is>
      </c>
      <c r="T1090" s="9" t="inlineStr">
        <is>
          <t>SI</t>
        </is>
      </c>
      <c r="U1090" s="9" t="inlineStr"/>
      <c r="V1090" s="10">
        <f>Umbrales!$B$9*(K1090/1000)^Umbrales!$B$10</f>
        <v/>
      </c>
    </row>
    <row r="1091">
      <c r="A1091" s="4" t="inlineStr">
        <is>
          <t>FCT.MI</t>
        </is>
      </c>
      <c r="B1091" s="4" t="inlineStr">
        <is>
          <t>Fincantieri S.p.A.</t>
        </is>
      </c>
      <c r="C1091" s="4" t="inlineStr">
        <is>
          <t>Italy</t>
        </is>
      </c>
      <c r="D1091" s="4" t="inlineStr">
        <is>
          <t>IT</t>
        </is>
      </c>
      <c r="E1091" s="4" t="inlineStr">
        <is>
          <t>Industria</t>
        </is>
      </c>
      <c r="F1091" s="4" t="inlineStr">
        <is>
          <t>Aerospace &amp; Defense</t>
        </is>
      </c>
      <c r="G1091" s="4" t="inlineStr">
        <is>
          <t>MIL</t>
        </is>
      </c>
      <c r="H1091" s="4" t="inlineStr">
        <is>
          <t>EUR</t>
        </is>
      </c>
      <c r="I1091" s="5" t="n">
        <v>4536.973824</v>
      </c>
      <c r="J1091" s="6">
        <f>INDEX(FX!$B:$B,MATCH(H1091,FX!$A:$A,0))</f>
        <v/>
      </c>
      <c r="K1091" s="5">
        <f>I1091*J1091</f>
        <v/>
      </c>
      <c r="L1091" s="4">
        <f>IF(U1091&lt;&gt;"",U1091,IF(K1091&gt;=Umbrales!$B$2,"Legendaria",IF(K1091&gt;=Umbrales!$B$3,"Épica",IF(K1091&gt;=Umbrales!$B$4,"Rara",IF(K1091&gt;=Umbrales!$B$5,"Poco común","Común")))))</f>
        <v/>
      </c>
      <c r="M1091" s="5" t="n">
        <v>8799.071232</v>
      </c>
      <c r="N1091" s="5" t="n">
        <v>190.827008</v>
      </c>
      <c r="O1091" s="5">
        <f>IF(M1091="","",M1091*J1091)</f>
        <v/>
      </c>
      <c r="P1091" s="5">
        <f>IF(N1091="","",N1091*J1091)</f>
        <v/>
      </c>
      <c r="Q1091" s="7" t="n">
        <v>0</v>
      </c>
      <c r="R1091" s="8" t="n">
        <v>23.038462</v>
      </c>
      <c r="S1091" s="4" t="inlineStr">
        <is>
          <t>FTSEMIB</t>
        </is>
      </c>
      <c r="T1091" s="9" t="inlineStr">
        <is>
          <t>SI</t>
        </is>
      </c>
      <c r="U1091" s="9" t="inlineStr"/>
      <c r="V1091" s="10">
        <f>Umbrales!$B$9*(K1091/1000)^Umbrales!$B$10</f>
        <v/>
      </c>
    </row>
    <row r="1092">
      <c r="A1092" s="4" t="inlineStr">
        <is>
          <t>BBY.L</t>
        </is>
      </c>
      <c r="B1092" s="4" t="inlineStr">
        <is>
          <t>Balfour Beatty plc</t>
        </is>
      </c>
      <c r="C1092" s="4" t="inlineStr">
        <is>
          <t>United Kingdom</t>
        </is>
      </c>
      <c r="D1092" s="4" t="inlineStr">
        <is>
          <t>GB</t>
        </is>
      </c>
      <c r="E1092" s="4" t="inlineStr">
        <is>
          <t>Industria</t>
        </is>
      </c>
      <c r="F1092" s="4" t="inlineStr">
        <is>
          <t>Engineering &amp; Construction</t>
        </is>
      </c>
      <c r="G1092" s="4" t="inlineStr">
        <is>
          <t>LSE</t>
        </is>
      </c>
      <c r="H1092" s="4" t="inlineStr">
        <is>
          <t>GBP</t>
        </is>
      </c>
      <c r="I1092" s="5" t="n">
        <v>3828.457728</v>
      </c>
      <c r="J1092" s="6">
        <f>INDEX(FX!$B:$B,MATCH(H1092,FX!$A:$A,0))</f>
        <v/>
      </c>
      <c r="K1092" s="5">
        <f>I1092*J1092</f>
        <v/>
      </c>
      <c r="L1092" s="4">
        <f>IF(U1092&lt;&gt;"",U1092,IF(K1092&gt;=Umbrales!$B$2,"Legendaria",IF(K1092&gt;=Umbrales!$B$3,"Épica",IF(K1092&gt;=Umbrales!$B$4,"Rara",IF(K1092&gt;=Umbrales!$B$5,"Poco común","Común")))))</f>
        <v/>
      </c>
      <c r="M1092" s="5" t="n">
        <v>9946.999808</v>
      </c>
      <c r="N1092" s="5" t="n">
        <v>259</v>
      </c>
      <c r="O1092" s="5">
        <f>IF(M1092="","",M1092*J1092)</f>
        <v/>
      </c>
      <c r="P1092" s="5">
        <f>IF(N1092="","",N1092*J1092)</f>
        <v/>
      </c>
      <c r="Q1092" s="7" t="n">
        <v>0.0165</v>
      </c>
      <c r="R1092" s="8" t="n">
        <v>16.039217</v>
      </c>
      <c r="S1092" s="4" t="inlineStr">
        <is>
          <t>FTSE100</t>
        </is>
      </c>
      <c r="T1092" s="9" t="inlineStr">
        <is>
          <t>SI</t>
        </is>
      </c>
      <c r="U1092" s="9" t="inlineStr"/>
      <c r="V1092" s="10">
        <f>Umbrales!$B$9*(K1092/1000)^Umbrales!$B$10</f>
        <v/>
      </c>
    </row>
    <row r="1093">
      <c r="A1093" s="4" t="inlineStr">
        <is>
          <t>INVP.L</t>
        </is>
      </c>
      <c r="B1093" s="4" t="inlineStr">
        <is>
          <t>Investec Group</t>
        </is>
      </c>
      <c r="C1093" s="4" t="inlineStr">
        <is>
          <t>South Africa</t>
        </is>
      </c>
      <c r="D1093" s="4" t="inlineStr">
        <is>
          <t>ZA</t>
        </is>
      </c>
      <c r="E1093" s="4" t="inlineStr">
        <is>
          <t>Finanzas</t>
        </is>
      </c>
      <c r="F1093" s="4" t="inlineStr">
        <is>
          <t>Capital Markets</t>
        </is>
      </c>
      <c r="G1093" s="4" t="inlineStr">
        <is>
          <t>LSE</t>
        </is>
      </c>
      <c r="H1093" s="4" t="inlineStr">
        <is>
          <t>GBP</t>
        </is>
      </c>
      <c r="I1093" s="5" t="n">
        <v>3778.500096</v>
      </c>
      <c r="J1093" s="6">
        <f>INDEX(FX!$B:$B,MATCH(H1093,FX!$A:$A,0))</f>
        <v/>
      </c>
      <c r="K1093" s="5">
        <f>I1093*J1093</f>
        <v/>
      </c>
      <c r="L1093" s="4">
        <f>IF(U1093&lt;&gt;"",U1093,IF(K1093&gt;=Umbrales!$B$2,"Legendaria",IF(K1093&gt;=Umbrales!$B$3,"Épica",IF(K1093&gt;=Umbrales!$B$4,"Rara",IF(K1093&gt;=Umbrales!$B$5,"Poco común","Común")))))</f>
        <v/>
      </c>
      <c r="M1093" s="5" t="n">
        <v>2126.707968</v>
      </c>
      <c r="N1093" s="5" t="n">
        <v>655.3420159999999</v>
      </c>
      <c r="O1093" s="5">
        <f>IF(M1093="","",M1093*J1093)</f>
        <v/>
      </c>
      <c r="P1093" s="5">
        <f>IF(N1093="","",N1093*J1093)</f>
        <v/>
      </c>
      <c r="Q1093" s="7" t="n">
        <v>0.06480000000000001</v>
      </c>
      <c r="R1093" s="8" t="n">
        <v>8.039999999999999</v>
      </c>
      <c r="S1093" s="4" t="inlineStr">
        <is>
          <t>FTSE100</t>
        </is>
      </c>
      <c r="T1093" s="9" t="inlineStr">
        <is>
          <t>SI</t>
        </is>
      </c>
      <c r="U1093" s="9" t="inlineStr"/>
      <c r="V1093" s="10">
        <f>Umbrales!$B$9*(K1093/1000)^Umbrales!$B$10</f>
        <v/>
      </c>
    </row>
    <row r="1094">
      <c r="A1094" s="4" t="inlineStr">
        <is>
          <t>ENG.MC</t>
        </is>
      </c>
      <c r="B1094" s="4" t="inlineStr">
        <is>
          <t>Enagás, S.A.</t>
        </is>
      </c>
      <c r="C1094" s="4" t="inlineStr">
        <is>
          <t>Spain</t>
        </is>
      </c>
      <c r="D1094" s="4" t="inlineStr">
        <is>
          <t>ES</t>
        </is>
      </c>
      <c r="E1094" s="4" t="inlineStr">
        <is>
          <t>Servicios públicos</t>
        </is>
      </c>
      <c r="F1094" s="4" t="inlineStr">
        <is>
          <t>Utilities - Regulated Gas</t>
        </is>
      </c>
      <c r="G1094" s="4" t="inlineStr">
        <is>
          <t>MCE</t>
        </is>
      </c>
      <c r="H1094" s="4" t="inlineStr">
        <is>
          <t>EUR</t>
        </is>
      </c>
      <c r="I1094" s="5" t="n">
        <v>4409.44896</v>
      </c>
      <c r="J1094" s="6">
        <f>INDEX(FX!$B:$B,MATCH(H1094,FX!$A:$A,0))</f>
        <v/>
      </c>
      <c r="K1094" s="5">
        <f>I1094*J1094</f>
        <v/>
      </c>
      <c r="L1094" s="4">
        <f>IF(U1094&lt;&gt;"",U1094,IF(K1094&gt;=Umbrales!$B$2,"Legendaria",IF(K1094&gt;=Umbrales!$B$3,"Épica",IF(K1094&gt;=Umbrales!$B$4,"Rara",IF(K1094&gt;=Umbrales!$B$5,"Poco común","Común")))))</f>
        <v/>
      </c>
      <c r="M1094" s="5" t="n">
        <v>952.148992</v>
      </c>
      <c r="N1094" s="5" t="n">
        <v>289.98</v>
      </c>
      <c r="O1094" s="5">
        <f>IF(M1094="","",M1094*J1094)</f>
        <v/>
      </c>
      <c r="P1094" s="5">
        <f>IF(N1094="","",N1094*J1094)</f>
        <v/>
      </c>
      <c r="Q1094" s="7" t="n">
        <v>0.0597</v>
      </c>
      <c r="R1094" s="8" t="n">
        <v>14</v>
      </c>
      <c r="S1094" s="4" t="inlineStr">
        <is>
          <t>IBEX35</t>
        </is>
      </c>
      <c r="T1094" s="9" t="inlineStr">
        <is>
          <t>SI</t>
        </is>
      </c>
      <c r="U1094" s="9" t="inlineStr"/>
      <c r="V1094" s="10">
        <f>Umbrales!$B$9*(K1094/1000)^Umbrales!$B$10</f>
        <v/>
      </c>
    </row>
    <row r="1095">
      <c r="A1095" s="4" t="inlineStr">
        <is>
          <t>ACX.MC</t>
        </is>
      </c>
      <c r="B1095" s="4" t="inlineStr">
        <is>
          <t>Acerinox, S.A.</t>
        </is>
      </c>
      <c r="C1095" s="4" t="inlineStr">
        <is>
          <t>Spain</t>
        </is>
      </c>
      <c r="D1095" s="4" t="inlineStr">
        <is>
          <t>ES</t>
        </is>
      </c>
      <c r="E1095" s="4" t="inlineStr">
        <is>
          <t>Materiales</t>
        </is>
      </c>
      <c r="F1095" s="4" t="inlineStr">
        <is>
          <t>Steel</t>
        </is>
      </c>
      <c r="G1095" s="4" t="inlineStr">
        <is>
          <t>MCE</t>
        </is>
      </c>
      <c r="H1095" s="4" t="inlineStr">
        <is>
          <t>EUR</t>
        </is>
      </c>
      <c r="I1095" s="5" t="n">
        <v>4193.341696</v>
      </c>
      <c r="J1095" s="6">
        <f>INDEX(FX!$B:$B,MATCH(H1095,FX!$A:$A,0))</f>
        <v/>
      </c>
      <c r="K1095" s="5">
        <f>I1095*J1095</f>
        <v/>
      </c>
      <c r="L1095" s="4">
        <f>IF(U1095&lt;&gt;"",U1095,IF(K1095&gt;=Umbrales!$B$2,"Legendaria",IF(K1095&gt;=Umbrales!$B$3,"Épica",IF(K1095&gt;=Umbrales!$B$4,"Rara",IF(K1095&gt;=Umbrales!$B$5,"Poco común","Común")))))</f>
        <v/>
      </c>
      <c r="M1095" s="5" t="n">
        <v>5695.66976</v>
      </c>
      <c r="N1095" s="5" t="n">
        <v>54.071</v>
      </c>
      <c r="O1095" s="5">
        <f>IF(M1095="","",M1095*J1095)</f>
        <v/>
      </c>
      <c r="P1095" s="5">
        <f>IF(N1095="","",N1095*J1095)</f>
        <v/>
      </c>
      <c r="Q1095" s="7" t="n">
        <v>0.0369</v>
      </c>
      <c r="R1095" s="8" t="n">
        <v>52.59375</v>
      </c>
      <c r="S1095" s="4" t="inlineStr">
        <is>
          <t>IBEX35</t>
        </is>
      </c>
      <c r="T1095" s="9" t="inlineStr">
        <is>
          <t>SI</t>
        </is>
      </c>
      <c r="U1095" s="9" t="inlineStr"/>
      <c r="V1095" s="10">
        <f>Umbrales!$B$9*(K1095/1000)^Umbrales!$B$10</f>
        <v/>
      </c>
    </row>
    <row r="1096">
      <c r="A1096" s="4" t="inlineStr">
        <is>
          <t>0868.HK</t>
        </is>
      </c>
      <c r="B1096" s="4" t="inlineStr">
        <is>
          <t>Xinyi Glass Holdings Limited</t>
        </is>
      </c>
      <c r="C1096" s="4" t="inlineStr">
        <is>
          <t>Hong Kong</t>
        </is>
      </c>
      <c r="D1096" s="4" t="inlineStr">
        <is>
          <t>HK</t>
        </is>
      </c>
      <c r="E1096" s="4" t="inlineStr">
        <is>
          <t>Materiales</t>
        </is>
      </c>
      <c r="F1096" s="4" t="inlineStr">
        <is>
          <t>Building Materials</t>
        </is>
      </c>
      <c r="G1096" s="4" t="inlineStr">
        <is>
          <t>HKG</t>
        </is>
      </c>
      <c r="H1096" s="4" t="inlineStr">
        <is>
          <t>HKD</t>
        </is>
      </c>
      <c r="I1096" s="5" t="n">
        <v>35286.577152</v>
      </c>
      <c r="J1096" s="6">
        <f>INDEX(FX!$B:$B,MATCH(H1096,FX!$A:$A,0))</f>
        <v/>
      </c>
      <c r="K1096" s="5">
        <f>I1096*J1096</f>
        <v/>
      </c>
      <c r="L1096" s="4">
        <f>IF(U1096&lt;&gt;"",U1096,IF(K1096&gt;=Umbrales!$B$2,"Legendaria",IF(K1096&gt;=Umbrales!$B$3,"Épica",IF(K1096&gt;=Umbrales!$B$4,"Rara",IF(K1096&gt;=Umbrales!$B$5,"Poco común","Común")))))</f>
        <v/>
      </c>
      <c r="M1096" s="5" t="n">
        <v>20528.50688</v>
      </c>
      <c r="N1096" s="5" t="n">
        <v>2900.23296</v>
      </c>
      <c r="O1096" s="5">
        <f>IF(M1096="","",M1096*J1096)</f>
        <v/>
      </c>
      <c r="P1096" s="5">
        <f>IF(N1096="","",N1096*J1096)</f>
        <v/>
      </c>
      <c r="Q1096" s="7" t="n">
        <v>0.0454</v>
      </c>
      <c r="R1096" s="8" t="n">
        <v>10.917808</v>
      </c>
      <c r="S1096" s="4" t="inlineStr">
        <is>
          <t>HANGSENG</t>
        </is>
      </c>
      <c r="T1096" s="9" t="inlineStr">
        <is>
          <t>SI</t>
        </is>
      </c>
      <c r="U1096" s="9" t="inlineStr"/>
      <c r="V1096" s="10">
        <f>Umbrales!$B$9*(K1096/1000)^Umbrales!$B$10</f>
        <v/>
      </c>
    </row>
    <row r="1097">
      <c r="A1097" s="4" t="inlineStr">
        <is>
          <t>IGG.L</t>
        </is>
      </c>
      <c r="B1097" s="4" t="inlineStr">
        <is>
          <t>IG Group Holdings plc</t>
        </is>
      </c>
      <c r="C1097" s="4" t="inlineStr">
        <is>
          <t>United Kingdom</t>
        </is>
      </c>
      <c r="D1097" s="4" t="inlineStr">
        <is>
          <t>GB</t>
        </is>
      </c>
      <c r="E1097" s="4" t="inlineStr">
        <is>
          <t>Finanzas</t>
        </is>
      </c>
      <c r="F1097" s="4" t="inlineStr">
        <is>
          <t>Capital Markets</t>
        </is>
      </c>
      <c r="G1097" s="4" t="inlineStr">
        <is>
          <t>LSE</t>
        </is>
      </c>
      <c r="H1097" s="4" t="inlineStr">
        <is>
          <t>GBP</t>
        </is>
      </c>
      <c r="I1097" s="5" t="n">
        <v>3269.790208</v>
      </c>
      <c r="J1097" s="6">
        <f>INDEX(FX!$B:$B,MATCH(H1097,FX!$A:$A,0))</f>
        <v/>
      </c>
      <c r="K1097" s="5">
        <f>I1097*J1097</f>
        <v/>
      </c>
      <c r="L1097" s="4">
        <f>IF(U1097&lt;&gt;"",U1097,IF(K1097&gt;=Umbrales!$B$2,"Legendaria",IF(K1097&gt;=Umbrales!$B$3,"Épica",IF(K1097&gt;=Umbrales!$B$4,"Rara",IF(K1097&gt;=Umbrales!$B$5,"Poco común","Común")))))</f>
        <v/>
      </c>
      <c r="M1097" s="5" t="n">
        <v>1167.714432</v>
      </c>
      <c r="N1097" s="5" t="n">
        <v>493.642944</v>
      </c>
      <c r="O1097" s="5">
        <f>IF(M1097="","",M1097*J1097)</f>
        <v/>
      </c>
      <c r="P1097" s="5">
        <f>IF(N1097="","",N1097*J1097)</f>
        <v/>
      </c>
      <c r="Q1097" s="7" t="n">
        <v>0.0444</v>
      </c>
      <c r="R1097" s="8" t="n">
        <v>9.314285999999999</v>
      </c>
      <c r="S1097" s="4" t="inlineStr">
        <is>
          <t>FTSE100</t>
        </is>
      </c>
      <c r="T1097" s="9" t="inlineStr">
        <is>
          <t>SI</t>
        </is>
      </c>
      <c r="U1097" s="9" t="inlineStr"/>
      <c r="V1097" s="10">
        <f>Umbrales!$B$9*(K1097/1000)^Umbrales!$B$10</f>
        <v/>
      </c>
    </row>
    <row r="1098">
      <c r="A1098" s="4" t="inlineStr">
        <is>
          <t>IVG.MI</t>
        </is>
      </c>
      <c r="B1098" s="4" t="inlineStr">
        <is>
          <t>Iveco Group N.V.</t>
        </is>
      </c>
      <c r="C1098" s="4" t="inlineStr">
        <is>
          <t>Italy</t>
        </is>
      </c>
      <c r="D1098" s="4" t="inlineStr">
        <is>
          <t>IT</t>
        </is>
      </c>
      <c r="E1098" s="4" t="inlineStr">
        <is>
          <t>Industria</t>
        </is>
      </c>
      <c r="F1098" s="4" t="inlineStr">
        <is>
          <t>Farm &amp; Heavy Construction Machinery</t>
        </is>
      </c>
      <c r="G1098" s="4" t="inlineStr">
        <is>
          <t>MIL</t>
        </is>
      </c>
      <c r="H1098" s="4" t="inlineStr">
        <is>
          <t>EUR</t>
        </is>
      </c>
      <c r="I1098" s="5" t="n">
        <v>3822.076672</v>
      </c>
      <c r="J1098" s="6">
        <f>INDEX(FX!$B:$B,MATCH(H1098,FX!$A:$A,0))</f>
        <v/>
      </c>
      <c r="K1098" s="5">
        <f>I1098*J1098</f>
        <v/>
      </c>
      <c r="L1098" s="4">
        <f>IF(U1098&lt;&gt;"",U1098,IF(K1098&gt;=Umbrales!$B$2,"Legendaria",IF(K1098&gt;=Umbrales!$B$3,"Épica",IF(K1098&gt;=Umbrales!$B$4,"Rara",IF(K1098&gt;=Umbrales!$B$5,"Poco común","Común")))))</f>
        <v/>
      </c>
      <c r="M1098" s="5" t="n">
        <v>13706.999808</v>
      </c>
      <c r="N1098" s="5" t="n">
        <v>63</v>
      </c>
      <c r="O1098" s="5">
        <f>IF(M1098="","",M1098*J1098)</f>
        <v/>
      </c>
      <c r="P1098" s="5">
        <f>IF(N1098="","",N1098*J1098)</f>
        <v/>
      </c>
      <c r="Q1098" s="7" t="n">
        <v>0</v>
      </c>
      <c r="R1098" s="8" t="n">
        <v>62.391304</v>
      </c>
      <c r="S1098" s="4" t="inlineStr">
        <is>
          <t>FTSEMIB</t>
        </is>
      </c>
      <c r="T1098" s="9" t="inlineStr">
        <is>
          <t>SI</t>
        </is>
      </c>
      <c r="U1098" s="9" t="inlineStr"/>
      <c r="V1098" s="10">
        <f>Umbrales!$B$9*(K1098/1000)^Umbrales!$B$10</f>
        <v/>
      </c>
    </row>
    <row r="1099">
      <c r="A1099" s="4" t="inlineStr">
        <is>
          <t>DIA.MI</t>
        </is>
      </c>
      <c r="B1099" s="4" t="inlineStr">
        <is>
          <t>DiaSorin S.p.A.</t>
        </is>
      </c>
      <c r="C1099" s="4" t="inlineStr">
        <is>
          <t>Italy</t>
        </is>
      </c>
      <c r="D1099" s="4" t="inlineStr">
        <is>
          <t>IT</t>
        </is>
      </c>
      <c r="E1099" s="4" t="inlineStr">
        <is>
          <t>Salud</t>
        </is>
      </c>
      <c r="F1099" s="4" t="inlineStr">
        <is>
          <t>Diagnostics &amp; Research</t>
        </is>
      </c>
      <c r="G1099" s="4" t="inlineStr">
        <is>
          <t>MIL</t>
        </is>
      </c>
      <c r="H1099" s="4" t="inlineStr">
        <is>
          <t>EUR</t>
        </is>
      </c>
      <c r="I1099" s="5" t="n">
        <v>3818.053632</v>
      </c>
      <c r="J1099" s="6">
        <f>INDEX(FX!$B:$B,MATCH(H1099,FX!$A:$A,0))</f>
        <v/>
      </c>
      <c r="K1099" s="5">
        <f>I1099*J1099</f>
        <v/>
      </c>
      <c r="L1099" s="4">
        <f>IF(U1099&lt;&gt;"",U1099,IF(K1099&gt;=Umbrales!$B$2,"Legendaria",IF(K1099&gt;=Umbrales!$B$3,"Épica",IF(K1099&gt;=Umbrales!$B$4,"Rara",IF(K1099&gt;=Umbrales!$B$5,"Poco común","Común")))))</f>
        <v/>
      </c>
      <c r="M1099" s="5" t="n">
        <v>1177.398016</v>
      </c>
      <c r="N1099" s="5" t="n">
        <v>140.572</v>
      </c>
      <c r="O1099" s="5">
        <f>IF(M1099="","",M1099*J1099)</f>
        <v/>
      </c>
      <c r="P1099" s="5">
        <f>IF(N1099="","",N1099*J1099)</f>
        <v/>
      </c>
      <c r="Q1099" s="7" t="n">
        <v>0.0166</v>
      </c>
      <c r="R1099" s="8" t="n">
        <v>28.388279</v>
      </c>
      <c r="S1099" s="4" t="inlineStr">
        <is>
          <t>FTSEMIB</t>
        </is>
      </c>
      <c r="T1099" s="9" t="inlineStr">
        <is>
          <t>SI</t>
        </is>
      </c>
      <c r="U1099" s="9" t="inlineStr"/>
      <c r="V1099" s="10">
        <f>Umbrales!$B$9*(K1099/1000)^Umbrales!$B$10</f>
        <v/>
      </c>
    </row>
    <row r="1100">
      <c r="A1100" s="4" t="inlineStr">
        <is>
          <t>0101.HK</t>
        </is>
      </c>
      <c r="B1100" s="4" t="inlineStr">
        <is>
          <t>Hang Lung Properties Limited</t>
        </is>
      </c>
      <c r="C1100" s="4" t="inlineStr">
        <is>
          <t>Hong Kong</t>
        </is>
      </c>
      <c r="D1100" s="4" t="inlineStr">
        <is>
          <t>HK</t>
        </is>
      </c>
      <c r="E1100" s="4" t="inlineStr">
        <is>
          <t>Inmobiliario</t>
        </is>
      </c>
      <c r="F1100" s="4" t="inlineStr">
        <is>
          <t>Real Estate Services</t>
        </is>
      </c>
      <c r="G1100" s="4" t="inlineStr">
        <is>
          <t>HKG</t>
        </is>
      </c>
      <c r="H1100" s="4" t="inlineStr">
        <is>
          <t>HKD</t>
        </is>
      </c>
      <c r="I1100" s="5" t="n">
        <v>33091.606528</v>
      </c>
      <c r="J1100" s="6">
        <f>INDEX(FX!$B:$B,MATCH(H1100,FX!$A:$A,0))</f>
        <v/>
      </c>
      <c r="K1100" s="5">
        <f>I1100*J1100</f>
        <v/>
      </c>
      <c r="L1100" s="4">
        <f>IF(U1100&lt;&gt;"",U1100,IF(K1100&gt;=Umbrales!$B$2,"Legendaria",IF(K1100&gt;=Umbrales!$B$3,"Épica",IF(K1100&gt;=Umbrales!$B$4,"Rara",IF(K1100&gt;=Umbrales!$B$5,"Poco común","Común")))))</f>
        <v/>
      </c>
      <c r="M1100" s="5" t="n">
        <v>11096.999936</v>
      </c>
      <c r="N1100" s="5" t="n">
        <v>1652</v>
      </c>
      <c r="O1100" s="5">
        <f>IF(M1100="","",M1100*J1100)</f>
        <v/>
      </c>
      <c r="P1100" s="5">
        <f>IF(N1100="","",N1100*J1100)</f>
        <v/>
      </c>
      <c r="Q1100" s="7" t="n">
        <v>0.08160000000000001</v>
      </c>
      <c r="R1100" s="8" t="n">
        <v>19.272726</v>
      </c>
      <c r="S1100" s="4" t="inlineStr">
        <is>
          <t>HANGSENG</t>
        </is>
      </c>
      <c r="T1100" s="9" t="inlineStr">
        <is>
          <t>SI</t>
        </is>
      </c>
      <c r="U1100" s="9" t="inlineStr"/>
      <c r="V1100" s="10">
        <f>Umbrales!$B$9*(K1100/1000)^Umbrales!$B$10</f>
        <v/>
      </c>
    </row>
    <row r="1101">
      <c r="A1101" s="4" t="inlineStr">
        <is>
          <t>2331.HK</t>
        </is>
      </c>
      <c r="B1101" s="4" t="inlineStr">
        <is>
          <t>Li Ning Company Limited</t>
        </is>
      </c>
      <c r="C1101" s="4" t="inlineStr">
        <is>
          <t>China</t>
        </is>
      </c>
      <c r="D1101" s="4" t="inlineStr">
        <is>
          <t>CN</t>
        </is>
      </c>
      <c r="E1101" s="4" t="inlineStr">
        <is>
          <t>Consumo cíclico</t>
        </is>
      </c>
      <c r="F1101" s="4" t="inlineStr">
        <is>
          <t>Leisure</t>
        </is>
      </c>
      <c r="G1101" s="4" t="inlineStr">
        <is>
          <t>HKG</t>
        </is>
      </c>
      <c r="H1101" s="4" t="inlineStr">
        <is>
          <t>HKD</t>
        </is>
      </c>
      <c r="I1101" s="5" t="n">
        <v>33033.920512</v>
      </c>
      <c r="J1101" s="6">
        <f>INDEX(FX!$B:$B,MATCH(H1101,FX!$A:$A,0))</f>
        <v/>
      </c>
      <c r="K1101" s="5">
        <f>I1101*J1101</f>
        <v/>
      </c>
      <c r="L1101" s="4">
        <f>IF(U1101&lt;&gt;"",U1101,IF(K1101&gt;=Umbrales!$B$2,"Legendaria",IF(K1101&gt;=Umbrales!$B$3,"Épica",IF(K1101&gt;=Umbrales!$B$4,"Rara",IF(K1101&gt;=Umbrales!$B$5,"Poco común","Común")))))</f>
        <v/>
      </c>
      <c r="M1101" s="5" t="n">
        <v>30016.903168</v>
      </c>
      <c r="N1101" s="5" t="n">
        <v>3014.505984</v>
      </c>
      <c r="O1101" s="5">
        <f>IF(M1101="","",M1101*J1101)</f>
        <v/>
      </c>
      <c r="P1101" s="5">
        <f>IF(N1101="","",N1101*J1101)</f>
        <v/>
      </c>
      <c r="Q1101" s="7" t="n">
        <v>0.05309999999999999</v>
      </c>
      <c r="R1101" s="8" t="n">
        <v>9.830769999999999</v>
      </c>
      <c r="S1101" s="4" t="inlineStr">
        <is>
          <t>HANGSENG</t>
        </is>
      </c>
      <c r="T1101" s="9" t="inlineStr">
        <is>
          <t>SI</t>
        </is>
      </c>
      <c r="U1101" s="9" t="inlineStr"/>
      <c r="V1101" s="10">
        <f>Umbrales!$B$9*(K1101/1000)^Umbrales!$B$10</f>
        <v/>
      </c>
    </row>
    <row r="1102">
      <c r="A1102" s="4" t="inlineStr">
        <is>
          <t>0960.HK</t>
        </is>
      </c>
      <c r="B1102" s="4" t="inlineStr">
        <is>
          <t>Longfor Group Holdings Limited</t>
        </is>
      </c>
      <c r="C1102" s="4" t="inlineStr">
        <is>
          <t>China</t>
        </is>
      </c>
      <c r="D1102" s="4" t="inlineStr">
        <is>
          <t>CN</t>
        </is>
      </c>
      <c r="E1102" s="4" t="inlineStr">
        <is>
          <t>Inmobiliario</t>
        </is>
      </c>
      <c r="F1102" s="4" t="inlineStr">
        <is>
          <t>Real Estate - Development</t>
        </is>
      </c>
      <c r="G1102" s="4" t="inlineStr">
        <is>
          <t>HKG</t>
        </is>
      </c>
      <c r="H1102" s="4" t="inlineStr">
        <is>
          <t>HKD</t>
        </is>
      </c>
      <c r="I1102" s="5" t="n">
        <v>32768.120832</v>
      </c>
      <c r="J1102" s="6">
        <f>INDEX(FX!$B:$B,MATCH(H1102,FX!$A:$A,0))</f>
        <v/>
      </c>
      <c r="K1102" s="5">
        <f>I1102*J1102</f>
        <v/>
      </c>
      <c r="L1102" s="4">
        <f>IF(U1102&lt;&gt;"",U1102,IF(K1102&gt;=Umbrales!$B$2,"Legendaria",IF(K1102&gt;=Umbrales!$B$3,"Épica",IF(K1102&gt;=Umbrales!$B$4,"Rara",IF(K1102&gt;=Umbrales!$B$5,"Poco común","Común")))))</f>
        <v/>
      </c>
      <c r="M1102" s="5" t="n">
        <v>78353.54726399999</v>
      </c>
      <c r="N1102" s="5" t="n">
        <v>-232.582</v>
      </c>
      <c r="O1102" s="5">
        <f>IF(M1102="","",M1102*J1102)</f>
        <v/>
      </c>
      <c r="P1102" s="5">
        <f>IF(N1102="","",N1102*J1102)</f>
        <v/>
      </c>
      <c r="Q1102" s="7" t="n">
        <v>0.0164</v>
      </c>
      <c r="R1102" s="8" t="n"/>
      <c r="S1102" s="4" t="inlineStr">
        <is>
          <t>HANGSENG</t>
        </is>
      </c>
      <c r="T1102" s="9" t="inlineStr">
        <is>
          <t>SI</t>
        </is>
      </c>
      <c r="U1102" s="9" t="inlineStr"/>
      <c r="V1102" s="10">
        <f>Umbrales!$B$9*(K1102/1000)^Umbrales!$B$10</f>
        <v/>
      </c>
    </row>
    <row r="1103">
      <c r="A1103" s="4" t="inlineStr">
        <is>
          <t>AMP.MI</t>
        </is>
      </c>
      <c r="B1103" s="4" t="inlineStr">
        <is>
          <t>Amplifon S.p.A.</t>
        </is>
      </c>
      <c r="C1103" s="4" t="inlineStr">
        <is>
          <t>Italy</t>
        </is>
      </c>
      <c r="D1103" s="4" t="inlineStr">
        <is>
          <t>IT</t>
        </is>
      </c>
      <c r="E1103" s="4" t="inlineStr">
        <is>
          <t>Salud</t>
        </is>
      </c>
      <c r="F1103" s="4" t="inlineStr">
        <is>
          <t>Medical Distribution</t>
        </is>
      </c>
      <c r="G1103" s="4" t="inlineStr">
        <is>
          <t>MIL</t>
        </is>
      </c>
      <c r="H1103" s="4" t="inlineStr">
        <is>
          <t>EUR</t>
        </is>
      </c>
      <c r="I1103" s="5" t="n">
        <v>3252.761088</v>
      </c>
      <c r="J1103" s="6">
        <f>INDEX(FX!$B:$B,MATCH(H1103,FX!$A:$A,0))</f>
        <v/>
      </c>
      <c r="K1103" s="5">
        <f>I1103*J1103</f>
        <v/>
      </c>
      <c r="L1103" s="4">
        <f>IF(U1103&lt;&gt;"",U1103,IF(K1103&gt;=Umbrales!$B$2,"Legendaria",IF(K1103&gt;=Umbrales!$B$3,"Épica",IF(K1103&gt;=Umbrales!$B$4,"Rara",IF(K1103&gt;=Umbrales!$B$5,"Poco común","Común")))))</f>
        <v/>
      </c>
      <c r="M1103" s="5" t="n">
        <v>2400.963072</v>
      </c>
      <c r="N1103" s="5" t="n">
        <v>72.288</v>
      </c>
      <c r="O1103" s="5">
        <f>IF(M1103="","",M1103*J1103)</f>
        <v/>
      </c>
      <c r="P1103" s="5">
        <f>IF(N1103="","",N1103*J1103)</f>
        <v/>
      </c>
      <c r="Q1103" s="7" t="n">
        <v>0.023</v>
      </c>
      <c r="R1103" s="8" t="n">
        <v>40.8</v>
      </c>
      <c r="S1103" s="4" t="inlineStr">
        <is>
          <t>FTSEMIB</t>
        </is>
      </c>
      <c r="T1103" s="9" t="inlineStr">
        <is>
          <t>SI</t>
        </is>
      </c>
      <c r="U1103" s="9" t="inlineStr"/>
      <c r="V1103" s="10">
        <f>Umbrales!$B$9*(K1103/1000)^Umbrales!$B$10</f>
        <v/>
      </c>
    </row>
    <row r="1104">
      <c r="A1104" s="4" t="inlineStr">
        <is>
          <t>FDR.MC</t>
        </is>
      </c>
      <c r="B1104" s="4" t="inlineStr">
        <is>
          <t>Fluidra, S.A.</t>
        </is>
      </c>
      <c r="C1104" s="4" t="inlineStr">
        <is>
          <t>Spain</t>
        </is>
      </c>
      <c r="D1104" s="4" t="inlineStr">
        <is>
          <t>ES</t>
        </is>
      </c>
      <c r="E1104" s="4" t="inlineStr">
        <is>
          <t>Consumo cíclico</t>
        </is>
      </c>
      <c r="F1104" s="4" t="inlineStr">
        <is>
          <t>Leisure</t>
        </is>
      </c>
      <c r="G1104" s="4" t="inlineStr">
        <is>
          <t>MCE</t>
        </is>
      </c>
      <c r="H1104" s="4" t="inlineStr">
        <is>
          <t>EUR</t>
        </is>
      </c>
      <c r="I1104" s="5" t="n">
        <v>3249.313536</v>
      </c>
      <c r="J1104" s="6">
        <f>INDEX(FX!$B:$B,MATCH(H1104,FX!$A:$A,0))</f>
        <v/>
      </c>
      <c r="K1104" s="5">
        <f>I1104*J1104</f>
        <v/>
      </c>
      <c r="L1104" s="4">
        <f>IF(U1104&lt;&gt;"",U1104,IF(K1104&gt;=Umbrales!$B$2,"Legendaria",IF(K1104&gt;=Umbrales!$B$3,"Épica",IF(K1104&gt;=Umbrales!$B$4,"Rara",IF(K1104&gt;=Umbrales!$B$5,"Poco común","Común")))))</f>
        <v/>
      </c>
      <c r="M1104" s="5" t="n">
        <v>2293.446912</v>
      </c>
      <c r="N1104" s="5" t="n">
        <v>166.384</v>
      </c>
      <c r="O1104" s="5">
        <f>IF(M1104="","",M1104*J1104)</f>
        <v/>
      </c>
      <c r="P1104" s="5">
        <f>IF(N1104="","",N1104*J1104)</f>
        <v/>
      </c>
      <c r="Q1104" s="7" t="n">
        <v>0.0382</v>
      </c>
      <c r="R1104" s="8" t="n">
        <v>19.885056</v>
      </c>
      <c r="S1104" s="4" t="inlineStr">
        <is>
          <t>IBEX35</t>
        </is>
      </c>
      <c r="T1104" s="9" t="inlineStr">
        <is>
          <t>SI</t>
        </is>
      </c>
      <c r="U1104" s="9" t="inlineStr"/>
      <c r="V1104" s="10">
        <f>Umbrales!$B$9*(K1104/1000)^Umbrales!$B$10</f>
        <v/>
      </c>
    </row>
    <row r="1105">
      <c r="A1105" s="4" t="inlineStr">
        <is>
          <t>Q.MX</t>
        </is>
      </c>
      <c r="B1105" s="4" t="inlineStr">
        <is>
          <t>Quálitas Controladora, S.A.B. de C.V.</t>
        </is>
      </c>
      <c r="C1105" s="4" t="inlineStr">
        <is>
          <t>Mexico</t>
        </is>
      </c>
      <c r="D1105" s="4" t="inlineStr">
        <is>
          <t>MX</t>
        </is>
      </c>
      <c r="E1105" s="4" t="inlineStr">
        <is>
          <t>Finanzas</t>
        </is>
      </c>
      <c r="F1105" s="4" t="inlineStr">
        <is>
          <t>Insurance - Property &amp; Casualty</t>
        </is>
      </c>
      <c r="G1105" s="4" t="inlineStr">
        <is>
          <t>MEX</t>
        </is>
      </c>
      <c r="H1105" s="4" t="inlineStr">
        <is>
          <t>MXN</t>
        </is>
      </c>
      <c r="I1105" s="5" t="n">
        <v>66682.79807999999</v>
      </c>
      <c r="J1105" s="6">
        <f>INDEX(FX!$B:$B,MATCH(H1105,FX!$A:$A,0))</f>
        <v/>
      </c>
      <c r="K1105" s="5">
        <f>I1105*J1105</f>
        <v/>
      </c>
      <c r="L1105" s="4">
        <f>IF(U1105&lt;&gt;"",U1105,IF(K1105&gt;=Umbrales!$B$2,"Legendaria",IF(K1105&gt;=Umbrales!$B$3,"Épica",IF(K1105&gt;=Umbrales!$B$4,"Rara",IF(K1105&gt;=Umbrales!$B$5,"Poco común","Común")))))</f>
        <v/>
      </c>
      <c r="M1105" s="5" t="n">
        <v>76090.14681599999</v>
      </c>
      <c r="N1105" s="5" t="n">
        <v>4481.544192</v>
      </c>
      <c r="O1105" s="5">
        <f>IF(M1105="","",M1105*J1105)</f>
        <v/>
      </c>
      <c r="P1105" s="5">
        <f>IF(N1105="","",N1105*J1105)</f>
        <v/>
      </c>
      <c r="Q1105" s="7" t="n">
        <v>0.083</v>
      </c>
      <c r="R1105" s="8" t="n">
        <v>14.9628315</v>
      </c>
      <c r="S1105" s="4" t="inlineStr">
        <is>
          <t>IPC</t>
        </is>
      </c>
      <c r="T1105" s="9" t="inlineStr">
        <is>
          <t>SI</t>
        </is>
      </c>
      <c r="U1105" s="9" t="inlineStr"/>
      <c r="V1105" s="10">
        <f>Umbrales!$B$9*(K1105/1000)^Umbrales!$B$10</f>
        <v/>
      </c>
    </row>
    <row r="1106">
      <c r="A1106" s="4" t="inlineStr">
        <is>
          <t>COL.MC</t>
        </is>
      </c>
      <c r="B1106" s="4" t="inlineStr">
        <is>
          <t>Colonial SFL, Socimi S. A.</t>
        </is>
      </c>
      <c r="C1106" s="4" t="inlineStr">
        <is>
          <t>Spain</t>
        </is>
      </c>
      <c r="D1106" s="4" t="inlineStr">
        <is>
          <t>ES</t>
        </is>
      </c>
      <c r="E1106" s="4" t="inlineStr">
        <is>
          <t>Inmobiliario</t>
        </is>
      </c>
      <c r="F1106" s="4" t="inlineStr">
        <is>
          <t>REIT - Office</t>
        </is>
      </c>
      <c r="G1106" s="4" t="inlineStr">
        <is>
          <t>MCE</t>
        </is>
      </c>
      <c r="H1106" s="4" t="inlineStr">
        <is>
          <t>EUR</t>
        </is>
      </c>
      <c r="I1106" s="5" t="n">
        <v>3155.500544</v>
      </c>
      <c r="J1106" s="6">
        <f>INDEX(FX!$B:$B,MATCH(H1106,FX!$A:$A,0))</f>
        <v/>
      </c>
      <c r="K1106" s="5">
        <f>I1106*J1106</f>
        <v/>
      </c>
      <c r="L1106" s="4">
        <f>IF(U1106&lt;&gt;"",U1106,IF(K1106&gt;=Umbrales!$B$2,"Legendaria",IF(K1106&gt;=Umbrales!$B$3,"Épica",IF(K1106&gt;=Umbrales!$B$4,"Rara",IF(K1106&gt;=Umbrales!$B$5,"Poco común","Común")))))</f>
        <v/>
      </c>
      <c r="M1106" s="5" t="n">
        <v>435.992992</v>
      </c>
      <c r="N1106" s="5" t="n">
        <v>325.022016</v>
      </c>
      <c r="O1106" s="5">
        <f>IF(M1106="","",M1106*J1106)</f>
        <v/>
      </c>
      <c r="P1106" s="5">
        <f>IF(N1106="","",N1106*J1106)</f>
        <v/>
      </c>
      <c r="Q1106" s="7" t="n">
        <v>0.0645</v>
      </c>
      <c r="R1106" s="8" t="n">
        <v>9.509435</v>
      </c>
      <c r="S1106" s="4" t="inlineStr">
        <is>
          <t>IBEX35</t>
        </is>
      </c>
      <c r="T1106" s="9" t="inlineStr">
        <is>
          <t>SI</t>
        </is>
      </c>
      <c r="U1106" s="9" t="inlineStr"/>
      <c r="V1106" s="10">
        <f>Umbrales!$B$9*(K1106/1000)^Umbrales!$B$10</f>
        <v/>
      </c>
    </row>
    <row r="1107">
      <c r="A1107" s="4" t="inlineStr">
        <is>
          <t>SCYR.MC</t>
        </is>
      </c>
      <c r="B1107" s="4" t="inlineStr">
        <is>
          <t>Sacyr, S.A.</t>
        </is>
      </c>
      <c r="C1107" s="4" t="inlineStr">
        <is>
          <t>Spain</t>
        </is>
      </c>
      <c r="D1107" s="4" t="inlineStr">
        <is>
          <t>ES</t>
        </is>
      </c>
      <c r="E1107" s="4" t="inlineStr">
        <is>
          <t>Industria</t>
        </is>
      </c>
      <c r="F1107" s="4" t="inlineStr">
        <is>
          <t>Engineering &amp; Construction</t>
        </is>
      </c>
      <c r="G1107" s="4" t="inlineStr">
        <is>
          <t>MCE</t>
        </is>
      </c>
      <c r="H1107" s="4" t="inlineStr">
        <is>
          <t>EUR</t>
        </is>
      </c>
      <c r="I1107" s="5" t="n">
        <v>3115.323648</v>
      </c>
      <c r="J1107" s="6">
        <f>INDEX(FX!$B:$B,MATCH(H1107,FX!$A:$A,0))</f>
        <v/>
      </c>
      <c r="K1107" s="5">
        <f>I1107*J1107</f>
        <v/>
      </c>
      <c r="L1107" s="4">
        <f>IF(U1107&lt;&gt;"",U1107,IF(K1107&gt;=Umbrales!$B$2,"Legendaria",IF(K1107&gt;=Umbrales!$B$3,"Épica",IF(K1107&gt;=Umbrales!$B$4,"Rara",IF(K1107&gt;=Umbrales!$B$5,"Poco común","Común")))))</f>
        <v/>
      </c>
      <c r="M1107" s="5" t="n">
        <v>4859.82208</v>
      </c>
      <c r="N1107" s="5" t="n">
        <v>133.592</v>
      </c>
      <c r="O1107" s="5">
        <f>IF(M1107="","",M1107*J1107)</f>
        <v/>
      </c>
      <c r="P1107" s="5">
        <f>IF(N1107="","",N1107*J1107)</f>
        <v/>
      </c>
      <c r="Q1107" s="7" t="n">
        <v>0.0513</v>
      </c>
      <c r="R1107" s="8" t="n">
        <v>23.047058</v>
      </c>
      <c r="S1107" s="4" t="inlineStr">
        <is>
          <t>IBEX35</t>
        </is>
      </c>
      <c r="T1107" s="9" t="inlineStr">
        <is>
          <t>SI</t>
        </is>
      </c>
      <c r="U1107" s="9" t="inlineStr"/>
      <c r="V1107" s="10">
        <f>Umbrales!$B$9*(K1107/1000)^Umbrales!$B$10</f>
        <v/>
      </c>
    </row>
    <row r="1108">
      <c r="A1108" s="4" t="inlineStr">
        <is>
          <t>ROVI.MC</t>
        </is>
      </c>
      <c r="B1108" s="4" t="inlineStr">
        <is>
          <t>Laboratorios Farmaceuticos Rovi, S.A.</t>
        </is>
      </c>
      <c r="C1108" s="4" t="inlineStr">
        <is>
          <t>Spain</t>
        </is>
      </c>
      <c r="D1108" s="4" t="inlineStr">
        <is>
          <t>ES</t>
        </is>
      </c>
      <c r="E1108" s="4" t="inlineStr">
        <is>
          <t>Salud</t>
        </is>
      </c>
      <c r="F1108" s="4" t="inlineStr">
        <is>
          <t>Drug Manufacturers - Specialty &amp; Generic</t>
        </is>
      </c>
      <c r="G1108" s="4" t="inlineStr">
        <is>
          <t>MCE</t>
        </is>
      </c>
      <c r="H1108" s="4" t="inlineStr">
        <is>
          <t>EUR</t>
        </is>
      </c>
      <c r="I1108" s="5" t="n">
        <v>2989.315584</v>
      </c>
      <c r="J1108" s="6">
        <f>INDEX(FX!$B:$B,MATCH(H1108,FX!$A:$A,0))</f>
        <v/>
      </c>
      <c r="K1108" s="5">
        <f>I1108*J1108</f>
        <v/>
      </c>
      <c r="L1108" s="4">
        <f>IF(U1108&lt;&gt;"",U1108,IF(K1108&gt;=Umbrales!$B$2,"Legendaria",IF(K1108&gt;=Umbrales!$B$3,"Épica",IF(K1108&gt;=Umbrales!$B$4,"Rara",IF(K1108&gt;=Umbrales!$B$5,"Poco común","Común")))))</f>
        <v/>
      </c>
      <c r="M1108" s="5" t="n">
        <v>773.052992</v>
      </c>
      <c r="N1108" s="5" t="n">
        <v>185.182</v>
      </c>
      <c r="O1108" s="5">
        <f>IF(M1108="","",M1108*J1108)</f>
        <v/>
      </c>
      <c r="P1108" s="5">
        <f>IF(N1108="","",N1108*J1108)</f>
        <v/>
      </c>
      <c r="Q1108" s="7" t="n">
        <v>0.0162</v>
      </c>
      <c r="R1108" s="8" t="n">
        <v>16.14641</v>
      </c>
      <c r="S1108" s="4" t="inlineStr">
        <is>
          <t>IBEX35</t>
        </is>
      </c>
      <c r="T1108" s="9" t="inlineStr">
        <is>
          <t>SI</t>
        </is>
      </c>
      <c r="U1108" s="9" t="inlineStr"/>
      <c r="V1108" s="10">
        <f>Umbrales!$B$9*(K1108/1000)^Umbrales!$B$10</f>
        <v/>
      </c>
    </row>
    <row r="1109">
      <c r="A1109" s="4" t="inlineStr">
        <is>
          <t>VESTA.MX</t>
        </is>
      </c>
      <c r="B1109" s="4" t="inlineStr">
        <is>
          <t>Corporación Inmobiliaria Vesta, S.A.B. de C.V.</t>
        </is>
      </c>
      <c r="C1109" s="4" t="inlineStr">
        <is>
          <t>Mexico</t>
        </is>
      </c>
      <c r="D1109" s="4" t="inlineStr">
        <is>
          <t>MX</t>
        </is>
      </c>
      <c r="E1109" s="4" t="inlineStr">
        <is>
          <t>Inmobiliario</t>
        </is>
      </c>
      <c r="F1109" s="4" t="inlineStr">
        <is>
          <t>Real Estate - Diversified</t>
        </is>
      </c>
      <c r="G1109" s="4" t="inlineStr">
        <is>
          <t>MEX</t>
        </is>
      </c>
      <c r="H1109" s="4" t="inlineStr">
        <is>
          <t>MXN</t>
        </is>
      </c>
      <c r="I1109" s="5" t="n">
        <v>58874.368</v>
      </c>
      <c r="J1109" s="6">
        <f>INDEX(FX!$B:$B,MATCH(H1109,FX!$A:$A,0))</f>
        <v/>
      </c>
      <c r="K1109" s="5">
        <f>I1109*J1109</f>
        <v/>
      </c>
      <c r="L1109" s="4">
        <f>IF(U1109&lt;&gt;"",U1109,IF(K1109&gt;=Umbrales!$B$2,"Legendaria",IF(K1109&gt;=Umbrales!$B$3,"Épica",IF(K1109&gt;=Umbrales!$B$4,"Rara",IF(K1109&gt;=Umbrales!$B$5,"Poco común","Común")))))</f>
        <v/>
      </c>
      <c r="M1109" s="5" t="n">
        <v>304.244832</v>
      </c>
      <c r="N1109" s="5" t="n">
        <v>402.076928</v>
      </c>
      <c r="O1109" s="5">
        <f>IF(M1109="","",M1109*J1109)</f>
        <v/>
      </c>
      <c r="P1109" s="5">
        <f>IF(N1109="","",N1109*J1109)</f>
        <v/>
      </c>
      <c r="Q1109" s="7" t="n">
        <v>0.0231</v>
      </c>
      <c r="R1109" s="8" t="n">
        <v>7.663044</v>
      </c>
      <c r="S1109" s="4" t="inlineStr">
        <is>
          <t>IPC</t>
        </is>
      </c>
      <c r="T1109" s="9" t="inlineStr">
        <is>
          <t>SI</t>
        </is>
      </c>
      <c r="U1109" s="9" t="inlineStr"/>
      <c r="V1109" s="10">
        <f>Umbrales!$B$9*(K1109/1000)^Umbrales!$B$10</f>
        <v/>
      </c>
    </row>
    <row r="1110">
      <c r="A1110" s="4" t="inlineStr">
        <is>
          <t>GCC.MX</t>
        </is>
      </c>
      <c r="B1110" s="4" t="inlineStr">
        <is>
          <t>GCC, S.A.B. de C.V.</t>
        </is>
      </c>
      <c r="C1110" s="4" t="inlineStr">
        <is>
          <t>Mexico</t>
        </is>
      </c>
      <c r="D1110" s="4" t="inlineStr">
        <is>
          <t>MX</t>
        </is>
      </c>
      <c r="E1110" s="4" t="inlineStr">
        <is>
          <t>Materiales</t>
        </is>
      </c>
      <c r="F1110" s="4" t="inlineStr">
        <is>
          <t>Building Materials</t>
        </is>
      </c>
      <c r="G1110" s="4" t="inlineStr">
        <is>
          <t>MEX</t>
        </is>
      </c>
      <c r="H1110" s="4" t="inlineStr">
        <is>
          <t>MXN</t>
        </is>
      </c>
      <c r="I1110" s="5" t="n">
        <v>57691.803648</v>
      </c>
      <c r="J1110" s="6">
        <f>INDEX(FX!$B:$B,MATCH(H1110,FX!$A:$A,0))</f>
        <v/>
      </c>
      <c r="K1110" s="5">
        <f>I1110*J1110</f>
        <v/>
      </c>
      <c r="L1110" s="4">
        <f>IF(U1110&lt;&gt;"",U1110,IF(K1110&gt;=Umbrales!$B$2,"Legendaria",IF(K1110&gt;=Umbrales!$B$3,"Épica",IF(K1110&gt;=Umbrales!$B$4,"Rara",IF(K1110&gt;=Umbrales!$B$5,"Poco común","Común")))))</f>
        <v/>
      </c>
      <c r="M1110" s="5" t="n">
        <v>1512.077952</v>
      </c>
      <c r="N1110" s="5" t="n">
        <v>307.144</v>
      </c>
      <c r="O1110" s="5">
        <f>IF(M1110="","",M1110*J1110)</f>
        <v/>
      </c>
      <c r="P1110" s="5">
        <f>IF(N1110="","",N1110*J1110)</f>
        <v/>
      </c>
      <c r="Q1110" s="7" t="n">
        <v>0.0116</v>
      </c>
      <c r="R1110" s="8" t="n">
        <v>10.447726</v>
      </c>
      <c r="S1110" s="4" t="inlineStr">
        <is>
          <t>IPC</t>
        </is>
      </c>
      <c r="T1110" s="9" t="inlineStr">
        <is>
          <t>SI</t>
        </is>
      </c>
      <c r="U1110" s="9" t="inlineStr"/>
      <c r="V1110" s="10">
        <f>Umbrales!$B$9*(K1110/1000)^Umbrales!$B$10</f>
        <v/>
      </c>
    </row>
    <row r="1111">
      <c r="A1111" s="4" t="inlineStr">
        <is>
          <t>1044.HK</t>
        </is>
      </c>
      <c r="B1111" s="4" t="inlineStr">
        <is>
          <t>Hengan International Group Company Limited</t>
        </is>
      </c>
      <c r="C1111" s="4" t="inlineStr">
        <is>
          <t>China</t>
        </is>
      </c>
      <c r="D1111" s="4" t="inlineStr">
        <is>
          <t>CN</t>
        </is>
      </c>
      <c r="E1111" s="4" t="inlineStr">
        <is>
          <t>Consumo básico</t>
        </is>
      </c>
      <c r="F1111" s="4" t="inlineStr">
        <is>
          <t>Household &amp; Personal Products</t>
        </is>
      </c>
      <c r="G1111" s="4" t="inlineStr">
        <is>
          <t>HKG</t>
        </is>
      </c>
      <c r="H1111" s="4" t="inlineStr">
        <is>
          <t>HKD</t>
        </is>
      </c>
      <c r="I1111" s="5" t="n">
        <v>23028.26496</v>
      </c>
      <c r="J1111" s="6">
        <f>INDEX(FX!$B:$B,MATCH(H1111,FX!$A:$A,0))</f>
        <v/>
      </c>
      <c r="K1111" s="5">
        <f>I1111*J1111</f>
        <v/>
      </c>
      <c r="L1111" s="4">
        <f>IF(U1111&lt;&gt;"",U1111,IF(K1111&gt;=Umbrales!$B$2,"Legendaria",IF(K1111&gt;=Umbrales!$B$3,"Épica",IF(K1111&gt;=Umbrales!$B$4,"Rara",IF(K1111&gt;=Umbrales!$B$5,"Poco común","Común")))))</f>
        <v/>
      </c>
      <c r="M1111" s="5" t="n">
        <v>22352.052224</v>
      </c>
      <c r="N1111" s="5" t="n">
        <v>2416.195072</v>
      </c>
      <c r="O1111" s="5">
        <f>IF(M1111="","",M1111*J1111)</f>
        <v/>
      </c>
      <c r="P1111" s="5">
        <f>IF(N1111="","",N1111*J1111)</f>
        <v/>
      </c>
      <c r="Q1111" s="7" t="n">
        <v>0.08160000000000001</v>
      </c>
      <c r="R1111" s="8" t="n">
        <v>8.447258</v>
      </c>
      <c r="S1111" s="4" t="inlineStr">
        <is>
          <t>HANGSENG</t>
        </is>
      </c>
      <c r="T1111" s="9" t="inlineStr">
        <is>
          <t>SI</t>
        </is>
      </c>
      <c r="U1111" s="9" t="inlineStr"/>
      <c r="V1111" s="10">
        <f>Umbrales!$B$9*(K1111/1000)^Umbrales!$B$10</f>
        <v/>
      </c>
    </row>
    <row r="1112">
      <c r="A1112" s="4" t="inlineStr">
        <is>
          <t>CUERVO.MX</t>
        </is>
      </c>
      <c r="B1112" s="4" t="inlineStr">
        <is>
          <t>Becle, S.A.B. de C.V.</t>
        </is>
      </c>
      <c r="C1112" s="4" t="inlineStr">
        <is>
          <t>Mexico</t>
        </is>
      </c>
      <c r="D1112" s="4" t="inlineStr">
        <is>
          <t>MX</t>
        </is>
      </c>
      <c r="E1112" s="4" t="inlineStr">
        <is>
          <t>Consumo básico</t>
        </is>
      </c>
      <c r="F1112" s="4" t="inlineStr">
        <is>
          <t>Beverages - Wineries &amp; Distilleries</t>
        </is>
      </c>
      <c r="G1112" s="4" t="inlineStr">
        <is>
          <t>MEX</t>
        </is>
      </c>
      <c r="H1112" s="4" t="inlineStr">
        <is>
          <t>MXN</t>
        </is>
      </c>
      <c r="I1112" s="5" t="n">
        <v>53580.34944</v>
      </c>
      <c r="J1112" s="6">
        <f>INDEX(FX!$B:$B,MATCH(H1112,FX!$A:$A,0))</f>
        <v/>
      </c>
      <c r="K1112" s="5">
        <f>I1112*J1112</f>
        <v/>
      </c>
      <c r="L1112" s="4">
        <f>IF(U1112&lt;&gt;"",U1112,IF(K1112&gt;=Umbrales!$B$2,"Legendaria",IF(K1112&gt;=Umbrales!$B$3,"Épica",IF(K1112&gt;=Umbrales!$B$4,"Rara",IF(K1112&gt;=Umbrales!$B$5,"Poco común","Común")))))</f>
        <v/>
      </c>
      <c r="M1112" s="5" t="n">
        <v>39268.446208</v>
      </c>
      <c r="N1112" s="5" t="n">
        <v>7276.75392</v>
      </c>
      <c r="O1112" s="5">
        <f>IF(M1112="","",M1112*J1112)</f>
        <v/>
      </c>
      <c r="P1112" s="5">
        <f>IF(N1112="","",N1112*J1112)</f>
        <v/>
      </c>
      <c r="Q1112" s="7" t="n">
        <v>0.0378</v>
      </c>
      <c r="R1112" s="8" t="n">
        <v>7.173077</v>
      </c>
      <c r="S1112" s="4" t="inlineStr">
        <is>
          <t>IPC</t>
        </is>
      </c>
      <c r="T1112" s="9" t="inlineStr">
        <is>
          <t>SI</t>
        </is>
      </c>
      <c r="U1112" s="9" t="inlineStr"/>
      <c r="V1112" s="10">
        <f>Umbrales!$B$9*(K1112/1000)^Umbrales!$B$10</f>
        <v/>
      </c>
    </row>
    <row r="1113">
      <c r="A1113" s="4" t="inlineStr">
        <is>
          <t>ORBIA.MX</t>
        </is>
      </c>
      <c r="B1113" s="4" t="inlineStr">
        <is>
          <t>Orbia Advance Corporation, S.A.B. de C.V.</t>
        </is>
      </c>
      <c r="C1113" s="4" t="inlineStr">
        <is>
          <t>Mexico</t>
        </is>
      </c>
      <c r="D1113" s="4" t="inlineStr">
        <is>
          <t>MX</t>
        </is>
      </c>
      <c r="E1113" s="4" t="inlineStr">
        <is>
          <t>Industria</t>
        </is>
      </c>
      <c r="F1113" s="4" t="inlineStr">
        <is>
          <t>Conglomerates</t>
        </is>
      </c>
      <c r="G1113" s="4" t="inlineStr">
        <is>
          <t>MEX</t>
        </is>
      </c>
      <c r="H1113" s="4" t="inlineStr">
        <is>
          <t>MXN</t>
        </is>
      </c>
      <c r="I1113" s="5" t="n">
        <v>44884.783104</v>
      </c>
      <c r="J1113" s="6">
        <f>INDEX(FX!$B:$B,MATCH(H1113,FX!$A:$A,0))</f>
        <v/>
      </c>
      <c r="K1113" s="5">
        <f>I1113*J1113</f>
        <v/>
      </c>
      <c r="L1113" s="4">
        <f>IF(U1113&lt;&gt;"",U1113,IF(K1113&gt;=Umbrales!$B$2,"Legendaria",IF(K1113&gt;=Umbrales!$B$3,"Épica",IF(K1113&gt;=Umbrales!$B$4,"Rara",IF(K1113&gt;=Umbrales!$B$5,"Poco común","Común")))))</f>
        <v/>
      </c>
      <c r="M1113" s="5" t="n">
        <v>8156.000256</v>
      </c>
      <c r="N1113" s="5" t="n">
        <v>-300</v>
      </c>
      <c r="O1113" s="5">
        <f>IF(M1113="","",M1113*J1113)</f>
        <v/>
      </c>
      <c r="P1113" s="5">
        <f>IF(N1113="","",N1113*J1113)</f>
        <v/>
      </c>
      <c r="Q1113" s="7" t="n">
        <v>0</v>
      </c>
      <c r="R1113" s="8" t="n"/>
      <c r="S1113" s="4" t="inlineStr">
        <is>
          <t>IPC</t>
        </is>
      </c>
      <c r="T1113" s="9" t="inlineStr">
        <is>
          <t>SI</t>
        </is>
      </c>
      <c r="U1113" s="9" t="inlineStr"/>
      <c r="V1113" s="10">
        <f>Umbrales!$B$9*(K1113/1000)^Umbrales!$B$10</f>
        <v/>
      </c>
    </row>
    <row r="1114">
      <c r="A1114" s="4" t="inlineStr">
        <is>
          <t>SLR.MC</t>
        </is>
      </c>
      <c r="B1114" s="4" t="inlineStr">
        <is>
          <t>Solaria Energía y Medio Ambiente, S.A.</t>
        </is>
      </c>
      <c r="C1114" s="4" t="inlineStr">
        <is>
          <t>Spain</t>
        </is>
      </c>
      <c r="D1114" s="4" t="inlineStr">
        <is>
          <t>ES</t>
        </is>
      </c>
      <c r="E1114" s="4" t="inlineStr">
        <is>
          <t>Servicios públicos</t>
        </is>
      </c>
      <c r="F1114" s="4" t="inlineStr">
        <is>
          <t>Utilities - Renewable</t>
        </is>
      </c>
      <c r="G1114" s="4" t="inlineStr">
        <is>
          <t>MCE</t>
        </is>
      </c>
      <c r="H1114" s="4" t="inlineStr">
        <is>
          <t>EUR</t>
        </is>
      </c>
      <c r="I1114" s="5" t="n">
        <v>2044.466432</v>
      </c>
      <c r="J1114" s="6">
        <f>INDEX(FX!$B:$B,MATCH(H1114,FX!$A:$A,0))</f>
        <v/>
      </c>
      <c r="K1114" s="5">
        <f>I1114*J1114</f>
        <v/>
      </c>
      <c r="L1114" s="4">
        <f>IF(U1114&lt;&gt;"",U1114,IF(K1114&gt;=Umbrales!$B$2,"Legendaria",IF(K1114&gt;=Umbrales!$B$3,"Épica",IF(K1114&gt;=Umbrales!$B$4,"Rara",IF(K1114&gt;=Umbrales!$B$5,"Poco común","Común")))))</f>
        <v/>
      </c>
      <c r="M1114" s="5" t="n">
        <v>371.136992</v>
      </c>
      <c r="N1114" s="5" t="n">
        <v>180.26</v>
      </c>
      <c r="O1114" s="5">
        <f>IF(M1114="","",M1114*J1114)</f>
        <v/>
      </c>
      <c r="P1114" s="5">
        <f>IF(N1114="","",N1114*J1114)</f>
        <v/>
      </c>
      <c r="Q1114" s="7" t="n">
        <v>0</v>
      </c>
      <c r="R1114" s="8" t="n">
        <v>8.005155</v>
      </c>
      <c r="S1114" s="4" t="inlineStr">
        <is>
          <t>IBEX35</t>
        </is>
      </c>
      <c r="T1114" s="9" t="inlineStr">
        <is>
          <t>SI</t>
        </is>
      </c>
      <c r="U1114" s="9" t="inlineStr"/>
      <c r="V1114" s="10">
        <f>Umbrales!$B$9*(K1114/1000)^Umbrales!$B$10</f>
        <v/>
      </c>
    </row>
    <row r="1115">
      <c r="A1115" s="4" t="inlineStr">
        <is>
          <t>ALSEA.MX</t>
        </is>
      </c>
      <c r="B1115" s="4" t="inlineStr">
        <is>
          <t>Alsea, S.A.B. de C.V.</t>
        </is>
      </c>
      <c r="C1115" s="4" t="inlineStr">
        <is>
          <t>Mexico</t>
        </is>
      </c>
      <c r="D1115" s="4" t="inlineStr">
        <is>
          <t>MX</t>
        </is>
      </c>
      <c r="E1115" s="4" t="inlineStr">
        <is>
          <t>Consumo cíclico</t>
        </is>
      </c>
      <c r="F1115" s="4" t="inlineStr">
        <is>
          <t>Restaurants</t>
        </is>
      </c>
      <c r="G1115" s="4" t="inlineStr">
        <is>
          <t>MEX</t>
        </is>
      </c>
      <c r="H1115" s="4" t="inlineStr">
        <is>
          <t>MXN</t>
        </is>
      </c>
      <c r="I1115" s="5" t="n">
        <v>40373.481472</v>
      </c>
      <c r="J1115" s="6">
        <f>INDEX(FX!$B:$B,MATCH(H1115,FX!$A:$A,0))</f>
        <v/>
      </c>
      <c r="K1115" s="5">
        <f>I1115*J1115</f>
        <v/>
      </c>
      <c r="L1115" s="4">
        <f>IF(U1115&lt;&gt;"",U1115,IF(K1115&gt;=Umbrales!$B$2,"Legendaria",IF(K1115&gt;=Umbrales!$B$3,"Épica",IF(K1115&gt;=Umbrales!$B$4,"Rara",IF(K1115&gt;=Umbrales!$B$5,"Poco común","Común")))))</f>
        <v/>
      </c>
      <c r="M1115" s="5" t="n">
        <v>85043.429376</v>
      </c>
      <c r="N1115" s="5" t="n">
        <v>1693.502976</v>
      </c>
      <c r="O1115" s="5">
        <f>IF(M1115="","",M1115*J1115)</f>
        <v/>
      </c>
      <c r="P1115" s="5">
        <f>IF(N1115="","",N1115*J1115)</f>
        <v/>
      </c>
      <c r="Q1115" s="7" t="n">
        <v>0.0202</v>
      </c>
      <c r="R1115" s="8" t="n">
        <v>23.62963</v>
      </c>
      <c r="S1115" s="4" t="inlineStr">
        <is>
          <t>IPC</t>
        </is>
      </c>
      <c r="T1115" s="9" t="inlineStr">
        <is>
          <t>SI</t>
        </is>
      </c>
      <c r="U1115" s="9" t="inlineStr"/>
      <c r="V1115" s="10">
        <f>Umbrales!$B$9*(K1115/1000)^Umbrales!$B$10</f>
        <v/>
      </c>
    </row>
    <row r="1116">
      <c r="A1116" s="4" t="inlineStr">
        <is>
          <t>0968.HK</t>
        </is>
      </c>
      <c r="B1116" s="4" t="inlineStr">
        <is>
          <t>Xinyi Solar Holdings Limited</t>
        </is>
      </c>
      <c r="C1116" s="4" t="inlineStr">
        <is>
          <t>China</t>
        </is>
      </c>
      <c r="D1116" s="4" t="inlineStr">
        <is>
          <t>CN</t>
        </is>
      </c>
      <c r="E1116" s="4" t="inlineStr">
        <is>
          <t>Tecnología</t>
        </is>
      </c>
      <c r="F1116" s="4" t="inlineStr">
        <is>
          <t>Solar</t>
        </is>
      </c>
      <c r="G1116" s="4" t="inlineStr">
        <is>
          <t>HKG</t>
        </is>
      </c>
      <c r="H1116" s="4" t="inlineStr">
        <is>
          <t>HKD</t>
        </is>
      </c>
      <c r="I1116" s="5" t="n">
        <v>16896.131072</v>
      </c>
      <c r="J1116" s="6">
        <f>INDEX(FX!$B:$B,MATCH(H1116,FX!$A:$A,0))</f>
        <v/>
      </c>
      <c r="K1116" s="5">
        <f>I1116*J1116</f>
        <v/>
      </c>
      <c r="L1116" s="4">
        <f>IF(U1116&lt;&gt;"",U1116,IF(K1116&gt;=Umbrales!$B$2,"Legendaria",IF(K1116&gt;=Umbrales!$B$3,"Épica",IF(K1116&gt;=Umbrales!$B$4,"Rara",IF(K1116&gt;=Umbrales!$B$5,"Poco común","Común")))))</f>
        <v/>
      </c>
      <c r="M1116" s="5" t="n">
        <v>18359.5008</v>
      </c>
      <c r="N1116" s="5" t="n">
        <v>137.786</v>
      </c>
      <c r="O1116" s="5">
        <f>IF(M1116="","",M1116*J1116)</f>
        <v/>
      </c>
      <c r="P1116" s="5">
        <f>IF(N1116="","",N1116*J1116)</f>
        <v/>
      </c>
      <c r="Q1116" s="7" t="n">
        <v>0.005500000000000001</v>
      </c>
      <c r="R1116" s="8" t="n">
        <v>92.5</v>
      </c>
      <c r="S1116" s="4" t="inlineStr">
        <is>
          <t>HANGSENG</t>
        </is>
      </c>
      <c r="T1116" s="9" t="inlineStr">
        <is>
          <t>SI</t>
        </is>
      </c>
      <c r="U1116" s="9" t="inlineStr"/>
      <c r="V1116" s="10">
        <f>Umbrales!$B$9*(K1116/1000)^Umbrales!$B$10</f>
        <v/>
      </c>
    </row>
    <row r="1117">
      <c r="A1117" s="4" t="inlineStr">
        <is>
          <t>AVIO.MI</t>
        </is>
      </c>
      <c r="B1117" s="4" t="inlineStr">
        <is>
          <t>Avio S.p.A.</t>
        </is>
      </c>
      <c r="C1117" s="4" t="inlineStr">
        <is>
          <t>Italy</t>
        </is>
      </c>
      <c r="D1117" s="4" t="inlineStr">
        <is>
          <t>IT</t>
        </is>
      </c>
      <c r="E1117" s="4" t="inlineStr">
        <is>
          <t>Industria</t>
        </is>
      </c>
      <c r="F1117" s="4" t="inlineStr">
        <is>
          <t>Aerospace &amp; Defense</t>
        </is>
      </c>
      <c r="G1117" s="4" t="inlineStr">
        <is>
          <t>MIL</t>
        </is>
      </c>
      <c r="H1117" s="4" t="inlineStr">
        <is>
          <t>EUR</t>
        </is>
      </c>
      <c r="I1117" s="5" t="n">
        <v>1353.949568</v>
      </c>
      <c r="J1117" s="6">
        <f>INDEX(FX!$B:$B,MATCH(H1117,FX!$A:$A,0))</f>
        <v/>
      </c>
      <c r="K1117" s="5">
        <f>I1117*J1117</f>
        <v/>
      </c>
      <c r="L1117" s="4">
        <f>IF(U1117&lt;&gt;"",U1117,IF(K1117&gt;=Umbrales!$B$2,"Legendaria",IF(K1117&gt;=Umbrales!$B$3,"Épica",IF(K1117&gt;=Umbrales!$B$4,"Rara",IF(K1117&gt;=Umbrales!$B$5,"Poco común","Común")))))</f>
        <v/>
      </c>
      <c r="M1117" s="5" t="n">
        <v>600.5712</v>
      </c>
      <c r="N1117" s="5" t="n">
        <v>20.720224</v>
      </c>
      <c r="O1117" s="5">
        <f>IF(M1117="","",M1117*J1117)</f>
        <v/>
      </c>
      <c r="P1117" s="5">
        <f>IF(N1117="","",N1117*J1117)</f>
        <v/>
      </c>
      <c r="Q1117" s="7" t="n">
        <v>0.0052</v>
      </c>
      <c r="R1117" s="8" t="n">
        <v>57.509804</v>
      </c>
      <c r="S1117" s="4" t="inlineStr">
        <is>
          <t>FTSEMIB</t>
        </is>
      </c>
      <c r="T1117" s="9" t="inlineStr">
        <is>
          <t>SI</t>
        </is>
      </c>
      <c r="U1117" s="9" t="inlineStr"/>
      <c r="V1117" s="10">
        <f>Umbrales!$B$9*(K1117/1000)^Umbrales!$B$10</f>
        <v/>
      </c>
    </row>
    <row r="1118">
      <c r="A1118" s="4" t="inlineStr">
        <is>
          <t>0881.HK</t>
        </is>
      </c>
      <c r="B1118" s="4" t="inlineStr">
        <is>
          <t>Zhongsheng Group Holdings Limited</t>
        </is>
      </c>
      <c r="C1118" s="4" t="inlineStr">
        <is>
          <t>China</t>
        </is>
      </c>
      <c r="D1118" s="4" t="inlineStr">
        <is>
          <t>CN</t>
        </is>
      </c>
      <c r="E1118" s="4" t="inlineStr">
        <is>
          <t>Consumo cíclico</t>
        </is>
      </c>
      <c r="F1118" s="4" t="inlineStr">
        <is>
          <t>Auto &amp; Truck Dealerships</t>
        </is>
      </c>
      <c r="G1118" s="4" t="inlineStr">
        <is>
          <t>HKG</t>
        </is>
      </c>
      <c r="H1118" s="4" t="inlineStr">
        <is>
          <t>HKD</t>
        </is>
      </c>
      <c r="I1118" s="5" t="n">
        <v>5491.425792</v>
      </c>
      <c r="J1118" s="6">
        <f>INDEX(FX!$B:$B,MATCH(H1118,FX!$A:$A,0))</f>
        <v/>
      </c>
      <c r="K1118" s="5">
        <f>I1118*J1118</f>
        <v/>
      </c>
      <c r="L1118" s="4">
        <f>IF(U1118&lt;&gt;"",U1118,IF(K1118&gt;=Umbrales!$B$2,"Legendaria",IF(K1118&gt;=Umbrales!$B$3,"Épica",IF(K1118&gt;=Umbrales!$B$4,"Rara",IF(K1118&gt;=Umbrales!$B$5,"Poco común","Común")))))</f>
        <v/>
      </c>
      <c r="M1118" s="5" t="n">
        <v>150103.605248</v>
      </c>
      <c r="N1118" s="5" t="n">
        <v>-2573.99808</v>
      </c>
      <c r="O1118" s="5">
        <f>IF(M1118="","",M1118*J1118)</f>
        <v/>
      </c>
      <c r="P1118" s="5">
        <f>IF(N1118="","",N1118*J1118)</f>
        <v/>
      </c>
      <c r="Q1118" s="7" t="n">
        <v>0</v>
      </c>
      <c r="R1118" s="8" t="n"/>
      <c r="S1118" s="4" t="inlineStr">
        <is>
          <t>HANGSENG</t>
        </is>
      </c>
      <c r="T1118" s="9" t="inlineStr">
        <is>
          <t>SI</t>
        </is>
      </c>
      <c r="U1118" s="9" t="inlineStr"/>
      <c r="V1118" s="10">
        <f>Umbrales!$B$9*(K1118/1000)^Umbrales!$B$10</f>
        <v/>
      </c>
    </row>
  </sheetData>
  <autoFilter ref="A1:V1118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4" customWidth="1" min="3" max="3"/>
  </cols>
  <sheetData>
    <row r="1">
      <c r="A1" s="3" t="inlineStr">
        <is>
          <t>Moneda</t>
        </is>
      </c>
      <c r="B1" s="3" t="inlineStr">
        <is>
          <t>USD por unidad</t>
        </is>
      </c>
      <c r="C1" s="3" t="inlineStr">
        <is>
          <t>Fuente</t>
        </is>
      </c>
    </row>
    <row r="2">
      <c r="A2" s="4" t="inlineStr">
        <is>
          <t>AUD</t>
        </is>
      </c>
      <c r="B2" s="11" t="n">
        <v>0.6922810673713684</v>
      </c>
      <c r="C2" s="4" t="inlineStr">
        <is>
          <t>Yahoo Finance AUDUSD=X, cierre 2026-10-15</t>
        </is>
      </c>
    </row>
    <row r="3">
      <c r="A3" s="4" t="inlineStr">
        <is>
          <t>BRL</t>
        </is>
      </c>
      <c r="B3" s="11" t="n">
        <v>0.1982907354831696</v>
      </c>
      <c r="C3" s="4" t="inlineStr">
        <is>
          <t>Yahoo Finance BRLUSD=X, cierre 2026-10-15</t>
        </is>
      </c>
    </row>
    <row r="4">
      <c r="A4" s="4" t="inlineStr">
        <is>
          <t>CAD</t>
        </is>
      </c>
      <c r="B4" s="11" t="n">
        <v>0.7047415375709534</v>
      </c>
      <c r="C4" s="4" t="inlineStr">
        <is>
          <t>Yahoo Finance CADUSD=X, cierre 2026-10-15</t>
        </is>
      </c>
    </row>
    <row r="5">
      <c r="A5" s="4" t="inlineStr">
        <is>
          <t>CHF</t>
        </is>
      </c>
      <c r="B5" s="11" t="n">
        <v>1.206156253814697</v>
      </c>
      <c r="C5" s="4" t="inlineStr">
        <is>
          <t>Yahoo Finance CHFUSD=X, cierre 2026-10-15</t>
        </is>
      </c>
    </row>
    <row r="6">
      <c r="A6" s="4" t="inlineStr">
        <is>
          <t>CNY</t>
        </is>
      </c>
      <c r="B6" s="11" t="n">
        <v>0.1496961116790771</v>
      </c>
      <c r="C6" s="4" t="inlineStr">
        <is>
          <t>Yahoo Finance CNYUSD=X, cierre 2026-10-15</t>
        </is>
      </c>
    </row>
    <row r="7">
      <c r="A7" s="4" t="inlineStr">
        <is>
          <t>DKK</t>
        </is>
      </c>
      <c r="B7" s="11" t="n">
        <v>0.1499511152505875</v>
      </c>
      <c r="C7" s="4" t="inlineStr">
        <is>
          <t>Yahoo Finance DKKUSD=X, cierre 2026-10-15</t>
        </is>
      </c>
    </row>
    <row r="8">
      <c r="A8" s="4" t="inlineStr">
        <is>
          <t>EUR</t>
        </is>
      </c>
      <c r="B8" s="11" t="n">
        <v>1.121201872825623</v>
      </c>
      <c r="C8" s="4" t="inlineStr">
        <is>
          <t>Yahoo Finance EURUSD=X, cierre 2026-10-15</t>
        </is>
      </c>
    </row>
    <row r="9">
      <c r="A9" s="4" t="inlineStr">
        <is>
          <t>GBP</t>
        </is>
      </c>
      <c r="B9" s="11" t="n">
        <v>1.325486421585083</v>
      </c>
      <c r="C9" s="4" t="inlineStr">
        <is>
          <t>Yahoo Finance GBPUSD=X, cierre 2026-10-15</t>
        </is>
      </c>
    </row>
    <row r="10">
      <c r="A10" s="4" t="inlineStr">
        <is>
          <t>HKD</t>
        </is>
      </c>
      <c r="B10" s="11" t="n">
        <v>0.1274486035108566</v>
      </c>
      <c r="C10" s="4" t="inlineStr">
        <is>
          <t>Yahoo Finance HKDUSD=X, cierre 2026-10-15</t>
        </is>
      </c>
    </row>
    <row r="11">
      <c r="A11" s="4" t="inlineStr">
        <is>
          <t>INR</t>
        </is>
      </c>
      <c r="B11" s="11" t="n">
        <v>0.01052133180201054</v>
      </c>
      <c r="C11" s="4" t="inlineStr">
        <is>
          <t>Yahoo Finance INRUSD=X, cierre 2026-10-15</t>
        </is>
      </c>
    </row>
    <row r="12">
      <c r="A12" s="4" t="inlineStr">
        <is>
          <t>JPY</t>
        </is>
      </c>
      <c r="B12" s="11" t="n">
        <v>0.006329995580017567</v>
      </c>
      <c r="C12" s="4" t="inlineStr">
        <is>
          <t>Yahoo Finance JPYUSD=X, cierre 2026-10-15</t>
        </is>
      </c>
    </row>
    <row r="13">
      <c r="A13" s="4" t="inlineStr">
        <is>
          <t>KRW</t>
        </is>
      </c>
      <c r="B13" s="11" t="n">
        <v>0.0007440033368766308</v>
      </c>
      <c r="C13" s="4" t="inlineStr">
        <is>
          <t>Yahoo Finance KRWUSD=X, cierre 2026-10-15</t>
        </is>
      </c>
    </row>
    <row r="14">
      <c r="A14" s="4" t="inlineStr">
        <is>
          <t>MXN</t>
        </is>
      </c>
      <c r="B14" s="11" t="n">
        <v>0.05422129109501839</v>
      </c>
      <c r="C14" s="4" t="inlineStr">
        <is>
          <t>Yahoo Finance MXNUSD=X, cierre 2026-10-15</t>
        </is>
      </c>
    </row>
    <row r="15">
      <c r="A15" s="4" t="inlineStr">
        <is>
          <t>NOK</t>
        </is>
      </c>
      <c r="B15" s="11" t="n">
        <v>0.1055092662572861</v>
      </c>
      <c r="C15" s="4" t="inlineStr">
        <is>
          <t>Yahoo Finance NOKUSD=X, cierre 2026-10-15</t>
        </is>
      </c>
    </row>
    <row r="16">
      <c r="A16" s="4" t="inlineStr">
        <is>
          <t>SAR</t>
        </is>
      </c>
      <c r="B16" s="11" t="n">
        <v>0.2665529251098633</v>
      </c>
      <c r="C16" s="4" t="inlineStr">
        <is>
          <t>Yahoo Finance SARUSD=X, cierre 2026-10-15</t>
        </is>
      </c>
    </row>
    <row r="17">
      <c r="A17" s="4" t="inlineStr">
        <is>
          <t>SEK</t>
        </is>
      </c>
      <c r="B17" s="11" t="n">
        <v>0.1004739329218864</v>
      </c>
      <c r="C17" s="4" t="inlineStr">
        <is>
          <t>Yahoo Finance SEKUSD=X, cierre 2026-10-15</t>
        </is>
      </c>
    </row>
    <row r="18">
      <c r="A18" s="4" t="inlineStr">
        <is>
          <t>TWD</t>
        </is>
      </c>
      <c r="B18" s="11" t="n">
        <v>0.03088135458528996</v>
      </c>
      <c r="C18" s="4" t="inlineStr">
        <is>
          <t>Yahoo Finance TWDUSD=X, cierre 2026-10-15</t>
        </is>
      </c>
    </row>
    <row r="19">
      <c r="A19" s="4" t="inlineStr">
        <is>
          <t>USD</t>
        </is>
      </c>
      <c r="B19" s="11" t="n">
        <v>1</v>
      </c>
      <c r="C19" s="4" t="inlineStr">
        <is>
          <t>Yahoo Finance USDUSD=X, cierre 2026-10-15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12" customWidth="1" min="4" max="4"/>
    <col width="12" customWidth="1" min="5" max="5"/>
  </cols>
  <sheetData>
    <row r="1">
      <c r="A1" s="3" t="inlineStr">
        <is>
          <t>Rareza</t>
        </is>
      </c>
      <c r="B1" s="3" t="inlineStr">
        <is>
          <t>Cap. mínima (M USD)</t>
        </is>
      </c>
      <c r="C1" s="3" t="inlineStr">
        <is>
          <t>Probabilidad gacha</t>
        </is>
      </c>
      <c r="D1" s="3" t="inlineStr">
        <is>
          <t>Empresas</t>
        </is>
      </c>
      <c r="E1" s="3" t="inlineStr">
        <is>
          <t>% del total</t>
        </is>
      </c>
    </row>
    <row r="2">
      <c r="A2" s="4" t="inlineStr">
        <is>
          <t>Legendaria</t>
        </is>
      </c>
      <c r="B2" s="12" t="n">
        <v>1000000</v>
      </c>
      <c r="C2" s="13" t="n">
        <v>0.01</v>
      </c>
      <c r="D2" s="4">
        <f>COUNTIFS(Empresas!$L:$L,A2,Empresas!$T:$T,"SI")</f>
        <v/>
      </c>
      <c r="E2" s="14">
        <f>IF(SUM($D$2:$D$6)=0,0,D2/SUM($D$2:$D$6))</f>
        <v/>
      </c>
    </row>
    <row r="3">
      <c r="A3" s="4" t="inlineStr">
        <is>
          <t>Épica</t>
        </is>
      </c>
      <c r="B3" s="12" t="n">
        <v>250000</v>
      </c>
      <c r="C3" s="13" t="n">
        <v>0.05</v>
      </c>
      <c r="D3" s="4">
        <f>COUNTIFS(Empresas!$L:$L,A3,Empresas!$T:$T,"SI")</f>
        <v/>
      </c>
      <c r="E3" s="14">
        <f>IF(SUM($D$2:$D$6)=0,0,D3/SUM($D$2:$D$6))</f>
        <v/>
      </c>
    </row>
    <row r="4">
      <c r="A4" s="4" t="inlineStr">
        <is>
          <t>Rara</t>
        </is>
      </c>
      <c r="B4" s="12" t="n">
        <v>80000</v>
      </c>
      <c r="C4" s="13" t="n">
        <v>0.12</v>
      </c>
      <c r="D4" s="4">
        <f>COUNTIFS(Empresas!$L:$L,A4,Empresas!$T:$T,"SI")</f>
        <v/>
      </c>
      <c r="E4" s="14">
        <f>IF(SUM($D$2:$D$6)=0,0,D4/SUM($D$2:$D$6))</f>
        <v/>
      </c>
    </row>
    <row r="5">
      <c r="A5" s="4" t="inlineStr">
        <is>
          <t>Poco común</t>
        </is>
      </c>
      <c r="B5" s="12" t="n">
        <v>25000</v>
      </c>
      <c r="C5" s="13" t="n">
        <v>0.27</v>
      </c>
      <c r="D5" s="4">
        <f>COUNTIFS(Empresas!$L:$L,A5,Empresas!$T:$T,"SI")</f>
        <v/>
      </c>
      <c r="E5" s="14">
        <f>IF(SUM($D$2:$D$6)=0,0,D5/SUM($D$2:$D$6))</f>
        <v/>
      </c>
    </row>
    <row r="6">
      <c r="A6" s="4" t="inlineStr">
        <is>
          <t>Común</t>
        </is>
      </c>
      <c r="B6" s="12" t="n">
        <v>0</v>
      </c>
      <c r="C6" s="13" t="n">
        <v>0.55</v>
      </c>
      <c r="D6" s="4">
        <f>COUNTIFS(Empresas!$L:$L,A6,Empresas!$T:$T,"SI")</f>
        <v/>
      </c>
      <c r="E6" s="14">
        <f>IF(SUM($D$2:$D$6)=0,0,D6/SUM($D$2:$D$6))</f>
        <v/>
      </c>
    </row>
    <row r="7">
      <c r="A7" s="1" t="inlineStr">
        <is>
          <t>Total</t>
        </is>
      </c>
      <c r="B7" s="4" t="n"/>
      <c r="C7" s="14">
        <f>SUM(C2:C6)</f>
        <v/>
      </c>
      <c r="D7" s="4">
        <f>SUM(D2:D6)</f>
        <v/>
      </c>
      <c r="E7" s="4" t="n"/>
    </row>
    <row r="8">
      <c r="A8" s="4" t="n"/>
      <c r="B8" s="4" t="n"/>
      <c r="C8" s="4" t="n"/>
      <c r="D8" s="4" t="n"/>
      <c r="E8" s="4" t="n"/>
    </row>
    <row r="9">
      <c r="A9" s="4" t="inlineStr">
        <is>
          <t>Coeficiente ingresos</t>
        </is>
      </c>
      <c r="B9" s="9" t="n">
        <v>0.05</v>
      </c>
      <c r="C9" s="4" t="n"/>
      <c r="D9" s="4" t="n"/>
      <c r="E9" s="4" t="n"/>
    </row>
    <row r="10">
      <c r="A10" s="4" t="inlineStr">
        <is>
          <t>Exponente ingresos</t>
        </is>
      </c>
      <c r="B10" s="9" t="n">
        <v>0.75</v>
      </c>
      <c r="C10" s="4" t="n"/>
      <c r="D10" s="4" t="n"/>
      <c r="E10" s="4" t="n"/>
    </row>
    <row r="11">
      <c r="A11" s="4" t="inlineStr">
        <is>
          <t>ingresos/s = coeficiente × (Cap. USD en miles de millones) ^ exponente</t>
        </is>
      </c>
      <c r="B11" s="4" t="n"/>
      <c r="C11" s="4" t="n"/>
      <c r="D11" s="4" t="n"/>
      <c r="E11" s="4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2026-10-15T14:57:07Z</dcterms:created>
  <dcterms:modified xmlns:dcterms="http://purl.org/dc/terms/" xmlns:xsi="http://www.w3.org/2001/XMLSchema-instance" xsi:type="dcterms:W3CDTF">2026-10-15T14:57:08Z</dcterms:modified>
</cp:coreProperties>
</file>